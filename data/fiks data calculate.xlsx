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0E3C1102-C086-4389-BD14-D1DFC09B5D9B}" xr6:coauthVersionLast="47" xr6:coauthVersionMax="47" xr10:uidLastSave="{00000000-0000-0000-0000-000000000000}"/>
  <bookViews>
    <workbookView xWindow="3384" yWindow="3384" windowWidth="17280" windowHeight="9420" xr2:uid="{00000000-000D-0000-FFFF-FFFF00000000}"/>
  </bookViews>
  <sheets>
    <sheet name="perhitungan" sheetId="1" r:id="rId1"/>
    <sheet name="keterangan" sheetId="2" r:id="rId2"/>
    <sheet name="non distress" sheetId="3" r:id="rId3"/>
    <sheet name="distres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3" i="1" l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2" i="1"/>
  <c r="Q2" i="1"/>
  <c r="AJ4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2" i="1"/>
  <c r="AJ6" i="1" s="1"/>
  <c r="AG563" i="1"/>
  <c r="AG562" i="1"/>
  <c r="AG561" i="1"/>
  <c r="AG560" i="1"/>
  <c r="AG559" i="1"/>
  <c r="AG558" i="1"/>
  <c r="AG557" i="1"/>
  <c r="AG556" i="1"/>
  <c r="AG555" i="1"/>
  <c r="AG554" i="1"/>
  <c r="AG553" i="1"/>
  <c r="AG552" i="1"/>
  <c r="AG551" i="1"/>
  <c r="AG550" i="1"/>
  <c r="AG549" i="1"/>
  <c r="AG548" i="1"/>
  <c r="AG547" i="1"/>
  <c r="AG546" i="1"/>
  <c r="AG545" i="1"/>
  <c r="AG544" i="1"/>
  <c r="AG543" i="1"/>
  <c r="AG542" i="1"/>
  <c r="AG541" i="1"/>
  <c r="AG540" i="1"/>
  <c r="AG539" i="1"/>
  <c r="AG538" i="1"/>
  <c r="AG537" i="1"/>
  <c r="AG536" i="1"/>
  <c r="AG535" i="1"/>
  <c r="AG534" i="1"/>
  <c r="AG533" i="1"/>
  <c r="AG532" i="1"/>
  <c r="AG531" i="1"/>
  <c r="AG530" i="1"/>
  <c r="AG529" i="1"/>
  <c r="AG528" i="1"/>
  <c r="AG527" i="1"/>
  <c r="AG526" i="1"/>
  <c r="AG525" i="1"/>
  <c r="AG524" i="1"/>
  <c r="AG523" i="1"/>
  <c r="AG522" i="1"/>
  <c r="AG521" i="1"/>
  <c r="AG520" i="1"/>
  <c r="AG519" i="1"/>
  <c r="AG518" i="1"/>
  <c r="AG517" i="1"/>
  <c r="AG516" i="1"/>
  <c r="AG515" i="1"/>
  <c r="AG514" i="1"/>
  <c r="AG513" i="1"/>
  <c r="AG512" i="1"/>
  <c r="AG511" i="1"/>
  <c r="AG510" i="1"/>
  <c r="AG509" i="1"/>
  <c r="AG508" i="1"/>
  <c r="AG507" i="1"/>
  <c r="AG506" i="1"/>
  <c r="AG505" i="1"/>
  <c r="AG504" i="1"/>
  <c r="AG503" i="1"/>
  <c r="AG502" i="1"/>
  <c r="AG501" i="1"/>
  <c r="AG500" i="1"/>
  <c r="AG499" i="1"/>
  <c r="AG498" i="1"/>
  <c r="AG497" i="1"/>
  <c r="AG496" i="1"/>
  <c r="AG495" i="1"/>
  <c r="AG494" i="1"/>
  <c r="AG493" i="1"/>
  <c r="AG492" i="1"/>
  <c r="AG491" i="1"/>
  <c r="AG490" i="1"/>
  <c r="AG489" i="1"/>
  <c r="AG488" i="1"/>
  <c r="AG487" i="1"/>
  <c r="AG486" i="1"/>
  <c r="AG485" i="1"/>
  <c r="AG484" i="1"/>
  <c r="AG483" i="1"/>
  <c r="AG482" i="1"/>
  <c r="AG481" i="1"/>
  <c r="AG480" i="1"/>
  <c r="AG479" i="1"/>
  <c r="AG478" i="1"/>
  <c r="AG477" i="1"/>
  <c r="AG476" i="1"/>
  <c r="AG475" i="1"/>
  <c r="AG474" i="1"/>
  <c r="AG473" i="1"/>
  <c r="AG472" i="1"/>
  <c r="AG471" i="1"/>
  <c r="AG470" i="1"/>
  <c r="AG469" i="1"/>
  <c r="AG468" i="1"/>
  <c r="AG467" i="1"/>
  <c r="AG466" i="1"/>
  <c r="AG465" i="1"/>
  <c r="AG464" i="1"/>
  <c r="AG463" i="1"/>
  <c r="AG462" i="1"/>
  <c r="AG461" i="1"/>
  <c r="AG460" i="1"/>
  <c r="AG459" i="1"/>
  <c r="AG458" i="1"/>
  <c r="AG457" i="1"/>
  <c r="AG456" i="1"/>
  <c r="AG455" i="1"/>
  <c r="AG454" i="1"/>
  <c r="AG453" i="1"/>
  <c r="AG452" i="1"/>
  <c r="AG451" i="1"/>
  <c r="AG450" i="1"/>
  <c r="AG449" i="1"/>
  <c r="AG448" i="1"/>
  <c r="AG447" i="1"/>
  <c r="AG446" i="1"/>
  <c r="AG445" i="1"/>
  <c r="AG444" i="1"/>
  <c r="AG443" i="1"/>
  <c r="AG442" i="1"/>
  <c r="AG441" i="1"/>
  <c r="AG440" i="1"/>
  <c r="AG439" i="1"/>
  <c r="AG438" i="1"/>
  <c r="AG437" i="1"/>
  <c r="AG436" i="1"/>
  <c r="AG435" i="1"/>
  <c r="AG434" i="1"/>
  <c r="AG433" i="1"/>
  <c r="AG432" i="1"/>
  <c r="AG431" i="1"/>
  <c r="AG430" i="1"/>
  <c r="AG429" i="1"/>
  <c r="AG428" i="1"/>
  <c r="AG427" i="1"/>
  <c r="AG426" i="1"/>
  <c r="AG425" i="1"/>
  <c r="AG424" i="1"/>
  <c r="AG423" i="1"/>
  <c r="AG422" i="1"/>
  <c r="AG421" i="1"/>
  <c r="AG420" i="1"/>
  <c r="AG419" i="1"/>
  <c r="AG418" i="1"/>
  <c r="AG417" i="1"/>
  <c r="AG416" i="1"/>
  <c r="AG415" i="1"/>
  <c r="AG414" i="1"/>
  <c r="AG413" i="1"/>
  <c r="AG412" i="1"/>
  <c r="AG411" i="1"/>
  <c r="AG410" i="1"/>
  <c r="AG409" i="1"/>
  <c r="AG408" i="1"/>
  <c r="AG407" i="1"/>
  <c r="AG406" i="1"/>
  <c r="AG405" i="1"/>
  <c r="AG404" i="1"/>
  <c r="AG403" i="1"/>
  <c r="AG402" i="1"/>
  <c r="AG401" i="1"/>
  <c r="AG400" i="1"/>
  <c r="AG399" i="1"/>
  <c r="AG398" i="1"/>
  <c r="AG397" i="1"/>
  <c r="AG396" i="1"/>
  <c r="AG395" i="1"/>
  <c r="AG394" i="1"/>
  <c r="AG393" i="1"/>
  <c r="AG392" i="1"/>
  <c r="AG391" i="1"/>
  <c r="AG390" i="1"/>
  <c r="AG389" i="1"/>
  <c r="AG388" i="1"/>
  <c r="AG387" i="1"/>
  <c r="AG386" i="1"/>
  <c r="AG385" i="1"/>
  <c r="AG384" i="1"/>
  <c r="AG383" i="1"/>
  <c r="AG382" i="1"/>
  <c r="AG381" i="1"/>
  <c r="AG380" i="1"/>
  <c r="AG379" i="1"/>
  <c r="AG378" i="1"/>
  <c r="AG377" i="1"/>
  <c r="AG376" i="1"/>
  <c r="AG375" i="1"/>
  <c r="AG374" i="1"/>
  <c r="AG373" i="1"/>
  <c r="AG372" i="1"/>
  <c r="AG371" i="1"/>
  <c r="AG370" i="1"/>
  <c r="AG369" i="1"/>
  <c r="AG368" i="1"/>
  <c r="AG367" i="1"/>
  <c r="AG366" i="1"/>
  <c r="AG365" i="1"/>
  <c r="AG364" i="1"/>
  <c r="AG363" i="1"/>
  <c r="AG362" i="1"/>
  <c r="AG361" i="1"/>
  <c r="AG360" i="1"/>
  <c r="AG359" i="1"/>
  <c r="AG358" i="1"/>
  <c r="AG357" i="1"/>
  <c r="AG356" i="1"/>
  <c r="AG355" i="1"/>
  <c r="AG354" i="1"/>
  <c r="AG353" i="1"/>
  <c r="AG352" i="1"/>
  <c r="AG351" i="1"/>
  <c r="AG350" i="1"/>
  <c r="AG349" i="1"/>
  <c r="AG348" i="1"/>
  <c r="AG347" i="1"/>
  <c r="AG346" i="1"/>
  <c r="AG345" i="1"/>
  <c r="AG344" i="1"/>
  <c r="AG343" i="1"/>
  <c r="AG342" i="1"/>
  <c r="AG341" i="1"/>
  <c r="AG340" i="1"/>
  <c r="AG339" i="1"/>
  <c r="AG338" i="1"/>
  <c r="AG337" i="1"/>
  <c r="AG336" i="1"/>
  <c r="AG335" i="1"/>
  <c r="AG334" i="1"/>
  <c r="AG333" i="1"/>
  <c r="AG332" i="1"/>
  <c r="AG331" i="1"/>
  <c r="AG330" i="1"/>
  <c r="AG329" i="1"/>
  <c r="AG328" i="1"/>
  <c r="AG327" i="1"/>
  <c r="AG326" i="1"/>
  <c r="AG325" i="1"/>
  <c r="AG324" i="1"/>
  <c r="AG323" i="1"/>
  <c r="AG322" i="1"/>
  <c r="AG321" i="1"/>
  <c r="AG320" i="1"/>
  <c r="AG319" i="1"/>
  <c r="AG318" i="1"/>
  <c r="AG317" i="1"/>
  <c r="AG316" i="1"/>
  <c r="AG315" i="1"/>
  <c r="AG314" i="1"/>
  <c r="AG313" i="1"/>
  <c r="AG312" i="1"/>
  <c r="AG311" i="1"/>
  <c r="AG310" i="1"/>
  <c r="AG309" i="1"/>
  <c r="AG308" i="1"/>
  <c r="AG307" i="1"/>
  <c r="AG306" i="1"/>
  <c r="AG305" i="1"/>
  <c r="AG304" i="1"/>
  <c r="AG303" i="1"/>
  <c r="AG302" i="1"/>
  <c r="AG301" i="1"/>
  <c r="AG300" i="1"/>
  <c r="AG299" i="1"/>
  <c r="AG298" i="1"/>
  <c r="AG297" i="1"/>
  <c r="AG296" i="1"/>
  <c r="AG295" i="1"/>
  <c r="AG294" i="1"/>
  <c r="AG293" i="1"/>
  <c r="AG292" i="1"/>
  <c r="AG291" i="1"/>
  <c r="AG290" i="1"/>
  <c r="AG289" i="1"/>
  <c r="AG288" i="1"/>
  <c r="AG287" i="1"/>
  <c r="AG286" i="1"/>
  <c r="AG285" i="1"/>
  <c r="AG284" i="1"/>
  <c r="AG283" i="1"/>
  <c r="AG282" i="1"/>
  <c r="AG281" i="1"/>
  <c r="AG280" i="1"/>
  <c r="AG279" i="1"/>
  <c r="AG278" i="1"/>
  <c r="AG277" i="1"/>
  <c r="AG276" i="1"/>
  <c r="AG275" i="1"/>
  <c r="AG274" i="1"/>
  <c r="AG273" i="1"/>
  <c r="AG272" i="1"/>
  <c r="AG271" i="1"/>
  <c r="AG270" i="1"/>
  <c r="AG269" i="1"/>
  <c r="AG268" i="1"/>
  <c r="AG267" i="1"/>
  <c r="AG266" i="1"/>
  <c r="AG265" i="1"/>
  <c r="AG264" i="1"/>
  <c r="AG263" i="1"/>
  <c r="AG262" i="1"/>
  <c r="AG261" i="1"/>
  <c r="AG260" i="1"/>
  <c r="AG259" i="1"/>
  <c r="AG258" i="1"/>
  <c r="AG257" i="1"/>
  <c r="AG256" i="1"/>
  <c r="AG255" i="1"/>
  <c r="AG254" i="1"/>
  <c r="AG253" i="1"/>
  <c r="AG252" i="1"/>
  <c r="AG251" i="1"/>
  <c r="AG250" i="1"/>
  <c r="AG249" i="1"/>
  <c r="AG248" i="1"/>
  <c r="AG247" i="1"/>
  <c r="AG246" i="1"/>
  <c r="AG245" i="1"/>
  <c r="AG244" i="1"/>
  <c r="AG243" i="1"/>
  <c r="AG242" i="1"/>
  <c r="AG241" i="1"/>
  <c r="AG240" i="1"/>
  <c r="AG239" i="1"/>
  <c r="AG238" i="1"/>
  <c r="AG237" i="1"/>
  <c r="AG236" i="1"/>
  <c r="AG235" i="1"/>
  <c r="AG234" i="1"/>
  <c r="AG233" i="1"/>
  <c r="AG232" i="1"/>
  <c r="AG231" i="1"/>
  <c r="AG230" i="1"/>
  <c r="AG229" i="1"/>
  <c r="AG228" i="1"/>
  <c r="AG227" i="1"/>
  <c r="AG226" i="1"/>
  <c r="AG225" i="1"/>
  <c r="AG224" i="1"/>
  <c r="AG223" i="1"/>
  <c r="AG222" i="1"/>
  <c r="AG221" i="1"/>
  <c r="AG220" i="1"/>
  <c r="AG219" i="1"/>
  <c r="AG218" i="1"/>
  <c r="AG217" i="1"/>
  <c r="AG216" i="1"/>
  <c r="AG215" i="1"/>
  <c r="AG214" i="1"/>
  <c r="AG213" i="1"/>
  <c r="AG212" i="1"/>
  <c r="AG211" i="1"/>
  <c r="AG210" i="1"/>
  <c r="AG209" i="1"/>
  <c r="AG208" i="1"/>
  <c r="AG207" i="1"/>
  <c r="AG206" i="1"/>
  <c r="AG205" i="1"/>
  <c r="AG204" i="1"/>
  <c r="AG203" i="1"/>
  <c r="AG202" i="1"/>
  <c r="AG201" i="1"/>
  <c r="AG200" i="1"/>
  <c r="AG199" i="1"/>
  <c r="AG198" i="1"/>
  <c r="AG197" i="1"/>
  <c r="AG196" i="1"/>
  <c r="AG195" i="1"/>
  <c r="AG194" i="1"/>
  <c r="AG193" i="1"/>
  <c r="AG192" i="1"/>
  <c r="AG191" i="1"/>
  <c r="AG190" i="1"/>
  <c r="AG189" i="1"/>
  <c r="AG188" i="1"/>
  <c r="AG187" i="1"/>
  <c r="AG186" i="1"/>
  <c r="AG185" i="1"/>
  <c r="AG184" i="1"/>
  <c r="AG183" i="1"/>
  <c r="AG182" i="1"/>
  <c r="AG181" i="1"/>
  <c r="AG180" i="1"/>
  <c r="AG179" i="1"/>
  <c r="AG178" i="1"/>
  <c r="AG177" i="1"/>
  <c r="AG176" i="1"/>
  <c r="AG175" i="1"/>
  <c r="AG174" i="1"/>
  <c r="AG173" i="1"/>
  <c r="AG172" i="1"/>
  <c r="AG171" i="1"/>
  <c r="AG170" i="1"/>
  <c r="AG169" i="1"/>
  <c r="AG168" i="1"/>
  <c r="AG167" i="1"/>
  <c r="AG166" i="1"/>
  <c r="AG165" i="1"/>
  <c r="AG164" i="1"/>
  <c r="AG163" i="1"/>
  <c r="AG162" i="1"/>
  <c r="AG161" i="1"/>
  <c r="AG160" i="1"/>
  <c r="AG159" i="1"/>
  <c r="AG158" i="1"/>
  <c r="AG157" i="1"/>
  <c r="AG156" i="1"/>
  <c r="AG155" i="1"/>
  <c r="AG154" i="1"/>
  <c r="AG153" i="1"/>
  <c r="AG152" i="1"/>
  <c r="AG151" i="1"/>
  <c r="AG150" i="1"/>
  <c r="AG149" i="1"/>
  <c r="AG148" i="1"/>
  <c r="AG147" i="1"/>
  <c r="AG146" i="1"/>
  <c r="AG145" i="1"/>
  <c r="AG144" i="1"/>
  <c r="AG143" i="1"/>
  <c r="AG142" i="1"/>
  <c r="AG141" i="1"/>
  <c r="AG140" i="1"/>
  <c r="AG139" i="1"/>
  <c r="AG138" i="1"/>
  <c r="AG137" i="1"/>
  <c r="AG136" i="1"/>
  <c r="AG135" i="1"/>
  <c r="AG134" i="1"/>
  <c r="AG133" i="1"/>
  <c r="AG132" i="1"/>
  <c r="AG131" i="1"/>
  <c r="AG130" i="1"/>
  <c r="AG129" i="1"/>
  <c r="AG128" i="1"/>
  <c r="AG127" i="1"/>
  <c r="AG126" i="1"/>
  <c r="AG125" i="1"/>
  <c r="AG124" i="1"/>
  <c r="AG123" i="1"/>
  <c r="AG122" i="1"/>
  <c r="AG121" i="1"/>
  <c r="AG120" i="1"/>
  <c r="AG119" i="1"/>
  <c r="AG118" i="1"/>
  <c r="AG117" i="1"/>
  <c r="AG116" i="1"/>
  <c r="AG115" i="1"/>
  <c r="AG114" i="1"/>
  <c r="AG113" i="1"/>
  <c r="AG112" i="1"/>
  <c r="AG111" i="1"/>
  <c r="AG110" i="1"/>
  <c r="AG109" i="1"/>
  <c r="AG108" i="1"/>
  <c r="AG107" i="1"/>
  <c r="AG106" i="1"/>
  <c r="AG105" i="1"/>
  <c r="AG104" i="1"/>
  <c r="AG103" i="1"/>
  <c r="AG102" i="1"/>
  <c r="AG101" i="1"/>
  <c r="AG100" i="1"/>
  <c r="AG99" i="1"/>
  <c r="AG98" i="1"/>
  <c r="AG97" i="1"/>
  <c r="AG96" i="1"/>
  <c r="AG95" i="1"/>
  <c r="AG94" i="1"/>
  <c r="AG93" i="1"/>
  <c r="AG92" i="1"/>
  <c r="AG91" i="1"/>
  <c r="AG90" i="1"/>
  <c r="AG89" i="1"/>
  <c r="AG88" i="1"/>
  <c r="AG87" i="1"/>
  <c r="AG86" i="1"/>
  <c r="AG85" i="1"/>
  <c r="AG84" i="1"/>
  <c r="AG83" i="1"/>
  <c r="AG82" i="1"/>
  <c r="AG81" i="1"/>
  <c r="AG80" i="1"/>
  <c r="AG79" i="1"/>
  <c r="AG78" i="1"/>
  <c r="AG77" i="1"/>
  <c r="AG76" i="1"/>
  <c r="AG75" i="1"/>
  <c r="AG74" i="1"/>
  <c r="AG73" i="1"/>
  <c r="AG72" i="1"/>
  <c r="AG71" i="1"/>
  <c r="AG70" i="1"/>
  <c r="AG69" i="1"/>
  <c r="AG68" i="1"/>
  <c r="AG67" i="1"/>
  <c r="AG66" i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3" i="1"/>
  <c r="AG4" i="1"/>
  <c r="AG5" i="1"/>
  <c r="AG2" i="1"/>
  <c r="L711" i="1"/>
  <c r="AA718" i="1" l="1"/>
  <c r="Z718" i="1"/>
  <c r="Y718" i="1"/>
  <c r="X718" i="1"/>
  <c r="AA717" i="1"/>
  <c r="Z717" i="1"/>
  <c r="Y717" i="1"/>
  <c r="X717" i="1"/>
  <c r="Y715" i="1"/>
  <c r="AA716" i="1"/>
  <c r="Z716" i="1"/>
  <c r="Y716" i="1"/>
  <c r="X716" i="1"/>
  <c r="AA715" i="1"/>
  <c r="Z715" i="1"/>
  <c r="X715" i="1"/>
  <c r="R715" i="1"/>
  <c r="T722" i="1" s="1"/>
  <c r="U718" i="1"/>
  <c r="W725" i="1" s="1"/>
  <c r="T718" i="1"/>
  <c r="V725" i="1" s="1"/>
  <c r="S718" i="1"/>
  <c r="U725" i="1" s="1"/>
  <c r="R718" i="1"/>
  <c r="T725" i="1" s="1"/>
  <c r="U717" i="1"/>
  <c r="W724" i="1" s="1"/>
  <c r="T717" i="1"/>
  <c r="V724" i="1" s="1"/>
  <c r="S717" i="1"/>
  <c r="U724" i="1" s="1"/>
  <c r="R717" i="1"/>
  <c r="T724" i="1" s="1"/>
  <c r="U716" i="1"/>
  <c r="W723" i="1" s="1"/>
  <c r="T716" i="1"/>
  <c r="V723" i="1" s="1"/>
  <c r="S716" i="1"/>
  <c r="U723" i="1" s="1"/>
  <c r="R716" i="1"/>
  <c r="T723" i="1" s="1"/>
  <c r="U715" i="1"/>
  <c r="W722" i="1" s="1"/>
  <c r="T715" i="1"/>
  <c r="V722" i="1" s="1"/>
  <c r="S715" i="1"/>
  <c r="U722" i="1" s="1"/>
  <c r="P2" i="1"/>
  <c r="R2" i="1" s="1"/>
  <c r="P3" i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P11" i="1"/>
  <c r="Q11" i="1" s="1"/>
  <c r="P12" i="1"/>
  <c r="Q12" i="1" s="1"/>
  <c r="P13" i="1"/>
  <c r="Q13" i="1" s="1"/>
  <c r="P14" i="1"/>
  <c r="Q14" i="1" s="1"/>
  <c r="P15" i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P23" i="1"/>
  <c r="Q23" i="1" s="1"/>
  <c r="P24" i="1"/>
  <c r="Q24" i="1" s="1"/>
  <c r="P25" i="1"/>
  <c r="Q25" i="1" s="1"/>
  <c r="P26" i="1"/>
  <c r="Q26" i="1" s="1"/>
  <c r="P27" i="1"/>
  <c r="P28" i="1"/>
  <c r="Q28" i="1" s="1"/>
  <c r="P29" i="1"/>
  <c r="P30" i="1"/>
  <c r="Q30" i="1" s="1"/>
  <c r="P31" i="1"/>
  <c r="Q31" i="1" s="1"/>
  <c r="P32" i="1"/>
  <c r="Q32" i="1" s="1"/>
  <c r="P33" i="1"/>
  <c r="Q33" i="1" s="1"/>
  <c r="P34" i="1"/>
  <c r="P35" i="1"/>
  <c r="Q35" i="1" s="1"/>
  <c r="P36" i="1"/>
  <c r="Q36" i="1" s="1"/>
  <c r="P37" i="1"/>
  <c r="R37" i="1" s="1"/>
  <c r="P38" i="1"/>
  <c r="Q38" i="1" s="1"/>
  <c r="P39" i="1"/>
  <c r="P40" i="1"/>
  <c r="Q40" i="1" s="1"/>
  <c r="P41" i="1"/>
  <c r="P42" i="1"/>
  <c r="P43" i="1"/>
  <c r="Q43" i="1" s="1"/>
  <c r="P44" i="1"/>
  <c r="Q44" i="1" s="1"/>
  <c r="P45" i="1"/>
  <c r="Q45" i="1" s="1"/>
  <c r="P46" i="1"/>
  <c r="R46" i="1" s="1"/>
  <c r="P47" i="1"/>
  <c r="Q47" i="1" s="1"/>
  <c r="P48" i="1"/>
  <c r="Q48" i="1" s="1"/>
  <c r="P49" i="1"/>
  <c r="Q49" i="1" s="1"/>
  <c r="P50" i="1"/>
  <c r="R50" i="1" s="1"/>
  <c r="P51" i="1"/>
  <c r="Q51" i="1" s="1"/>
  <c r="P52" i="1"/>
  <c r="Q52" i="1" s="1"/>
  <c r="P53" i="1"/>
  <c r="P54" i="1"/>
  <c r="P55" i="1"/>
  <c r="P56" i="1"/>
  <c r="Q56" i="1" s="1"/>
  <c r="P57" i="1"/>
  <c r="Q57" i="1" s="1"/>
  <c r="P58" i="1"/>
  <c r="R58" i="1" s="1"/>
  <c r="P59" i="1"/>
  <c r="R59" i="1" s="1"/>
  <c r="P60" i="1"/>
  <c r="Q60" i="1" s="1"/>
  <c r="P61" i="1"/>
  <c r="Q61" i="1" s="1"/>
  <c r="P62" i="1"/>
  <c r="Q62" i="1" s="1"/>
  <c r="P63" i="1"/>
  <c r="P64" i="1"/>
  <c r="Q64" i="1" s="1"/>
  <c r="P65" i="1"/>
  <c r="P66" i="1"/>
  <c r="P67" i="1"/>
  <c r="P68" i="1"/>
  <c r="P69" i="1"/>
  <c r="Q69" i="1" s="1"/>
  <c r="P70" i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P77" i="1"/>
  <c r="Q77" i="1" s="1"/>
  <c r="P78" i="1"/>
  <c r="P79" i="1"/>
  <c r="P80" i="1"/>
  <c r="P81" i="1"/>
  <c r="P82" i="1"/>
  <c r="P83" i="1"/>
  <c r="Q83" i="1" s="1"/>
  <c r="P84" i="1"/>
  <c r="R84" i="1" s="1"/>
  <c r="P85" i="1"/>
  <c r="R85" i="1" s="1"/>
  <c r="P86" i="1"/>
  <c r="Q86" i="1" s="1"/>
  <c r="P87" i="1"/>
  <c r="Q87" i="1" s="1"/>
  <c r="P88" i="1"/>
  <c r="Q88" i="1" s="1"/>
  <c r="P89" i="1"/>
  <c r="P90" i="1"/>
  <c r="Q90" i="1" s="1"/>
  <c r="P91" i="1"/>
  <c r="P92" i="1"/>
  <c r="P93" i="1"/>
  <c r="P94" i="1"/>
  <c r="R94" i="1" s="1"/>
  <c r="P95" i="1"/>
  <c r="R95" i="1" s="1"/>
  <c r="P96" i="1"/>
  <c r="Q96" i="1" s="1"/>
  <c r="P97" i="1"/>
  <c r="Q97" i="1" s="1"/>
  <c r="P98" i="1"/>
  <c r="Q98" i="1" s="1"/>
  <c r="P99" i="1"/>
  <c r="Q99" i="1" s="1"/>
  <c r="P100" i="1"/>
  <c r="Q100" i="1" s="1"/>
  <c r="P101" i="1"/>
  <c r="Q101" i="1" s="1"/>
  <c r="P102" i="1"/>
  <c r="P103" i="1"/>
  <c r="Q103" i="1" s="1"/>
  <c r="P104" i="1"/>
  <c r="P105" i="1"/>
  <c r="P106" i="1"/>
  <c r="P107" i="1"/>
  <c r="P108" i="1"/>
  <c r="Q108" i="1" s="1"/>
  <c r="P109" i="1"/>
  <c r="Q109" i="1" s="1"/>
  <c r="P110" i="1"/>
  <c r="Q110" i="1" s="1"/>
  <c r="P111" i="1"/>
  <c r="Q111" i="1" s="1"/>
  <c r="P112" i="1"/>
  <c r="Q112" i="1" s="1"/>
  <c r="P113" i="1"/>
  <c r="Q113" i="1" s="1"/>
  <c r="P114" i="1"/>
  <c r="Q114" i="1" s="1"/>
  <c r="P115" i="1"/>
  <c r="P116" i="1"/>
  <c r="Q116" i="1" s="1"/>
  <c r="P117" i="1"/>
  <c r="R117" i="1" s="1"/>
  <c r="P118" i="1"/>
  <c r="R118" i="1" s="1"/>
  <c r="P119" i="1"/>
  <c r="R119" i="1" s="1"/>
  <c r="P120" i="1"/>
  <c r="R120" i="1" s="1"/>
  <c r="P121" i="1"/>
  <c r="Q121" i="1" s="1"/>
  <c r="P122" i="1"/>
  <c r="Q122" i="1" s="1"/>
  <c r="P123" i="1"/>
  <c r="Q123" i="1" s="1"/>
  <c r="P124" i="1"/>
  <c r="Q124" i="1" s="1"/>
  <c r="P125" i="1"/>
  <c r="Q125" i="1" s="1"/>
  <c r="P126" i="1"/>
  <c r="P127" i="1"/>
  <c r="P128" i="1"/>
  <c r="Q128" i="1" s="1"/>
  <c r="P129" i="1"/>
  <c r="R129" i="1" s="1"/>
  <c r="P130" i="1"/>
  <c r="P131" i="1"/>
  <c r="Q131" i="1" s="1"/>
  <c r="P132" i="1"/>
  <c r="P133" i="1"/>
  <c r="Q133" i="1" s="1"/>
  <c r="P134" i="1"/>
  <c r="Q134" i="1" s="1"/>
  <c r="P135" i="1"/>
  <c r="R135" i="1" s="1"/>
  <c r="P136" i="1"/>
  <c r="R136" i="1" s="1"/>
  <c r="P137" i="1"/>
  <c r="Q137" i="1" s="1"/>
  <c r="P138" i="1"/>
  <c r="Q138" i="1" s="1"/>
  <c r="P139" i="1"/>
  <c r="Q139" i="1" s="1"/>
  <c r="P140" i="1"/>
  <c r="Q140" i="1" s="1"/>
  <c r="P141" i="1"/>
  <c r="P142" i="1"/>
  <c r="P143" i="1"/>
  <c r="P144" i="1"/>
  <c r="Q144" i="1" s="1"/>
  <c r="P145" i="1"/>
  <c r="P146" i="1"/>
  <c r="P147" i="1"/>
  <c r="Q147" i="1" s="1"/>
  <c r="P148" i="1"/>
  <c r="Q148" i="1" s="1"/>
  <c r="P149" i="1"/>
  <c r="Q149" i="1" s="1"/>
  <c r="P150" i="1"/>
  <c r="Q150" i="1" s="1"/>
  <c r="P151" i="1"/>
  <c r="Q151" i="1" s="1"/>
  <c r="P152" i="1"/>
  <c r="P153" i="1"/>
  <c r="P154" i="1"/>
  <c r="P155" i="1"/>
  <c r="P156" i="1"/>
  <c r="P157" i="1"/>
  <c r="Q157" i="1" s="1"/>
  <c r="P158" i="1"/>
  <c r="R158" i="1" s="1"/>
  <c r="P159" i="1"/>
  <c r="Q159" i="1" s="1"/>
  <c r="P160" i="1"/>
  <c r="Q160" i="1" s="1"/>
  <c r="P161" i="1"/>
  <c r="R161" i="1" s="1"/>
  <c r="P162" i="1"/>
  <c r="R162" i="1" s="1"/>
  <c r="P163" i="1"/>
  <c r="P164" i="1"/>
  <c r="R164" i="1" s="1"/>
  <c r="P165" i="1"/>
  <c r="R165" i="1" s="1"/>
  <c r="P166" i="1"/>
  <c r="P167" i="1"/>
  <c r="Q167" i="1" s="1"/>
  <c r="P168" i="1"/>
  <c r="Q168" i="1" s="1"/>
  <c r="P169" i="1"/>
  <c r="Q169" i="1" s="1"/>
  <c r="P170" i="1"/>
  <c r="Q170" i="1" s="1"/>
  <c r="P171" i="1"/>
  <c r="Q171" i="1" s="1"/>
  <c r="P172" i="1"/>
  <c r="Q172" i="1" s="1"/>
  <c r="P173" i="1"/>
  <c r="Q173" i="1" s="1"/>
  <c r="P174" i="1"/>
  <c r="Q174" i="1" s="1"/>
  <c r="P175" i="1"/>
  <c r="P176" i="1"/>
  <c r="R176" i="1" s="1"/>
  <c r="P177" i="1"/>
  <c r="Q177" i="1" s="1"/>
  <c r="P178" i="1"/>
  <c r="R178" i="1" s="1"/>
  <c r="P179" i="1"/>
  <c r="P180" i="1"/>
  <c r="Q180" i="1" s="1"/>
  <c r="P181" i="1"/>
  <c r="Q181" i="1" s="1"/>
  <c r="P182" i="1"/>
  <c r="Q182" i="1" s="1"/>
  <c r="P183" i="1"/>
  <c r="Q183" i="1" s="1"/>
  <c r="P184" i="1"/>
  <c r="Q184" i="1" s="1"/>
  <c r="P185" i="1"/>
  <c r="P186" i="1"/>
  <c r="Q186" i="1" s="1"/>
  <c r="P187" i="1"/>
  <c r="R187" i="1" s="1"/>
  <c r="P188" i="1"/>
  <c r="R188" i="1" s="1"/>
  <c r="P189" i="1"/>
  <c r="P190" i="1"/>
  <c r="P191" i="1"/>
  <c r="Q191" i="1" s="1"/>
  <c r="P192" i="1"/>
  <c r="Q192" i="1" s="1"/>
  <c r="P193" i="1"/>
  <c r="Q193" i="1" s="1"/>
  <c r="P194" i="1"/>
  <c r="R194" i="1" s="1"/>
  <c r="P195" i="1"/>
  <c r="P196" i="1"/>
  <c r="Q196" i="1" s="1"/>
  <c r="P197" i="1"/>
  <c r="Q197" i="1" s="1"/>
  <c r="P198" i="1"/>
  <c r="Q198" i="1" s="1"/>
  <c r="P199" i="1"/>
  <c r="Q199" i="1" s="1"/>
  <c r="P200" i="1"/>
  <c r="P201" i="1"/>
  <c r="P202" i="1"/>
  <c r="Q202" i="1" s="1"/>
  <c r="P203" i="1"/>
  <c r="Q203" i="1" s="1"/>
  <c r="P204" i="1"/>
  <c r="R204" i="1" s="1"/>
  <c r="P205" i="1"/>
  <c r="R205" i="1" s="1"/>
  <c r="P206" i="1"/>
  <c r="Q206" i="1" s="1"/>
  <c r="P207" i="1"/>
  <c r="Q207" i="1" s="1"/>
  <c r="P208" i="1"/>
  <c r="Q208" i="1" s="1"/>
  <c r="P209" i="1"/>
  <c r="Q209" i="1" s="1"/>
  <c r="P210" i="1"/>
  <c r="P211" i="1"/>
  <c r="P212" i="1"/>
  <c r="P213" i="1"/>
  <c r="P214" i="1"/>
  <c r="P215" i="1"/>
  <c r="Q215" i="1" s="1"/>
  <c r="P216" i="1"/>
  <c r="Q216" i="1" s="1"/>
  <c r="P217" i="1"/>
  <c r="Q217" i="1" s="1"/>
  <c r="P218" i="1"/>
  <c r="Q218" i="1" s="1"/>
  <c r="P219" i="1"/>
  <c r="Q219" i="1" s="1"/>
  <c r="P220" i="1"/>
  <c r="P221" i="1"/>
  <c r="Q221" i="1" s="1"/>
  <c r="P222" i="1"/>
  <c r="P223" i="1"/>
  <c r="R223" i="1" s="1"/>
  <c r="P224" i="1"/>
  <c r="P225" i="1"/>
  <c r="Q225" i="1" s="1"/>
  <c r="P226" i="1"/>
  <c r="R226" i="1" s="1"/>
  <c r="P227" i="1"/>
  <c r="Q227" i="1" s="1"/>
  <c r="P228" i="1"/>
  <c r="Q228" i="1" s="1"/>
  <c r="P229" i="1"/>
  <c r="Q229" i="1" s="1"/>
  <c r="P230" i="1"/>
  <c r="Q230" i="1" s="1"/>
  <c r="P231" i="1"/>
  <c r="P232" i="1"/>
  <c r="Q232" i="1" s="1"/>
  <c r="P233" i="1"/>
  <c r="R233" i="1" s="1"/>
  <c r="P234" i="1"/>
  <c r="Q234" i="1" s="1"/>
  <c r="P235" i="1"/>
  <c r="Q235" i="1" s="1"/>
  <c r="P236" i="1"/>
  <c r="Q236" i="1" s="1"/>
  <c r="P237" i="1"/>
  <c r="P238" i="1"/>
  <c r="Q238" i="1" s="1"/>
  <c r="P239" i="1"/>
  <c r="Q239" i="1" s="1"/>
  <c r="P240" i="1"/>
  <c r="Q240" i="1" s="1"/>
  <c r="P241" i="1"/>
  <c r="Q241" i="1" s="1"/>
  <c r="P242" i="1"/>
  <c r="P243" i="1"/>
  <c r="P244" i="1"/>
  <c r="Q244" i="1" s="1"/>
  <c r="P245" i="1"/>
  <c r="Q245" i="1" s="1"/>
  <c r="P246" i="1"/>
  <c r="P247" i="1"/>
  <c r="Q247" i="1" s="1"/>
  <c r="P248" i="1"/>
  <c r="P249" i="1"/>
  <c r="P250" i="1"/>
  <c r="Q250" i="1" s="1"/>
  <c r="P251" i="1"/>
  <c r="Q251" i="1" s="1"/>
  <c r="P252" i="1"/>
  <c r="R252" i="1" s="1"/>
  <c r="P253" i="1"/>
  <c r="P254" i="1"/>
  <c r="Q254" i="1" s="1"/>
  <c r="P255" i="1"/>
  <c r="Q255" i="1" s="1"/>
  <c r="P256" i="1"/>
  <c r="P257" i="1"/>
  <c r="Q257" i="1" s="1"/>
  <c r="P258" i="1"/>
  <c r="P259" i="1"/>
  <c r="P260" i="1"/>
  <c r="P261" i="1"/>
  <c r="P262" i="1"/>
  <c r="R262" i="1" s="1"/>
  <c r="P263" i="1"/>
  <c r="Q263" i="1" s="1"/>
  <c r="P264" i="1"/>
  <c r="Q264" i="1" s="1"/>
  <c r="P265" i="1"/>
  <c r="Q265" i="1" s="1"/>
  <c r="P266" i="1"/>
  <c r="Q266" i="1" s="1"/>
  <c r="P267" i="1"/>
  <c r="Q267" i="1" s="1"/>
  <c r="P268" i="1"/>
  <c r="P269" i="1"/>
  <c r="P270" i="1"/>
  <c r="P271" i="1"/>
  <c r="P272" i="1"/>
  <c r="R272" i="1" s="1"/>
  <c r="P273" i="1"/>
  <c r="Q273" i="1" s="1"/>
  <c r="P274" i="1"/>
  <c r="R274" i="1" s="1"/>
  <c r="P275" i="1"/>
  <c r="Q275" i="1" s="1"/>
  <c r="P276" i="1"/>
  <c r="Q276" i="1" s="1"/>
  <c r="P277" i="1"/>
  <c r="Q277" i="1" s="1"/>
  <c r="P278" i="1"/>
  <c r="Q278" i="1" s="1"/>
  <c r="P279" i="1"/>
  <c r="Q279" i="1" s="1"/>
  <c r="P280" i="1"/>
  <c r="Q280" i="1" s="1"/>
  <c r="P281" i="1"/>
  <c r="P282" i="1"/>
  <c r="Q282" i="1" s="1"/>
  <c r="P283" i="1"/>
  <c r="Q283" i="1" s="1"/>
  <c r="P284" i="1"/>
  <c r="R284" i="1" s="1"/>
  <c r="P285" i="1"/>
  <c r="P286" i="1"/>
  <c r="P287" i="1"/>
  <c r="P288" i="1"/>
  <c r="Q288" i="1" s="1"/>
  <c r="P289" i="1"/>
  <c r="Q289" i="1" s="1"/>
  <c r="P290" i="1"/>
  <c r="R290" i="1" s="1"/>
  <c r="P291" i="1"/>
  <c r="R291" i="1" s="1"/>
  <c r="P292" i="1"/>
  <c r="Q292" i="1" s="1"/>
  <c r="P293" i="1"/>
  <c r="Q293" i="1" s="1"/>
  <c r="P294" i="1"/>
  <c r="P295" i="1"/>
  <c r="Q295" i="1" s="1"/>
  <c r="P296" i="1"/>
  <c r="P297" i="1"/>
  <c r="P298" i="1"/>
  <c r="P299" i="1"/>
  <c r="P300" i="1"/>
  <c r="P301" i="1"/>
  <c r="P302" i="1"/>
  <c r="Q302" i="1" s="1"/>
  <c r="P303" i="1"/>
  <c r="Q303" i="1" s="1"/>
  <c r="P304" i="1"/>
  <c r="Q304" i="1" s="1"/>
  <c r="P305" i="1"/>
  <c r="Q305" i="1" s="1"/>
  <c r="P306" i="1"/>
  <c r="P307" i="1"/>
  <c r="P308" i="1"/>
  <c r="Q308" i="1" s="1"/>
  <c r="P309" i="1"/>
  <c r="P310" i="1"/>
  <c r="P311" i="1"/>
  <c r="Q311" i="1" s="1"/>
  <c r="P312" i="1"/>
  <c r="Q312" i="1" s="1"/>
  <c r="P313" i="1"/>
  <c r="R313" i="1" s="1"/>
  <c r="P314" i="1"/>
  <c r="Q314" i="1" s="1"/>
  <c r="P315" i="1"/>
  <c r="Q315" i="1" s="1"/>
  <c r="P316" i="1"/>
  <c r="P317" i="1"/>
  <c r="Q317" i="1" s="1"/>
  <c r="P318" i="1"/>
  <c r="Q318" i="1" s="1"/>
  <c r="P319" i="1"/>
  <c r="R319" i="1" s="1"/>
  <c r="P320" i="1"/>
  <c r="P321" i="1"/>
  <c r="Q321" i="1" s="1"/>
  <c r="P322" i="1"/>
  <c r="R322" i="1" s="1"/>
  <c r="P323" i="1"/>
  <c r="P324" i="1"/>
  <c r="Q324" i="1" s="1"/>
  <c r="P325" i="1"/>
  <c r="P326" i="1"/>
  <c r="P327" i="1"/>
  <c r="Q327" i="1" s="1"/>
  <c r="P328" i="1"/>
  <c r="Q328" i="1" s="1"/>
  <c r="P329" i="1"/>
  <c r="R329" i="1" s="1"/>
  <c r="P330" i="1"/>
  <c r="P331" i="1"/>
  <c r="Q331" i="1" s="1"/>
  <c r="P332" i="1"/>
  <c r="R332" i="1" s="1"/>
  <c r="P333" i="1"/>
  <c r="P334" i="1"/>
  <c r="Q334" i="1" s="1"/>
  <c r="P335" i="1"/>
  <c r="P336" i="1"/>
  <c r="P337" i="1"/>
  <c r="P338" i="1"/>
  <c r="P339" i="1"/>
  <c r="P340" i="1"/>
  <c r="P341" i="1"/>
  <c r="Q341" i="1" s="1"/>
  <c r="P342" i="1"/>
  <c r="Q342" i="1" s="1"/>
  <c r="P343" i="1"/>
  <c r="Q343" i="1" s="1"/>
  <c r="P344" i="1"/>
  <c r="Q344" i="1" s="1"/>
  <c r="P345" i="1"/>
  <c r="Q345" i="1" s="1"/>
  <c r="P346" i="1"/>
  <c r="P347" i="1"/>
  <c r="P348" i="1"/>
  <c r="P349" i="1"/>
  <c r="R349" i="1" s="1"/>
  <c r="P350" i="1"/>
  <c r="P351" i="1"/>
  <c r="R351" i="1" s="1"/>
  <c r="P352" i="1"/>
  <c r="R352" i="1" s="1"/>
  <c r="P353" i="1"/>
  <c r="Q353" i="1" s="1"/>
  <c r="P354" i="1"/>
  <c r="Q354" i="1" s="1"/>
  <c r="P355" i="1"/>
  <c r="Q355" i="1" s="1"/>
  <c r="P356" i="1"/>
  <c r="P357" i="1"/>
  <c r="P358" i="1"/>
  <c r="Q358" i="1" s="1"/>
  <c r="P359" i="1"/>
  <c r="Q359" i="1" s="1"/>
  <c r="P360" i="1"/>
  <c r="Q360" i="1" s="1"/>
  <c r="P361" i="1"/>
  <c r="R361" i="1" s="1"/>
  <c r="P362" i="1"/>
  <c r="P363" i="1"/>
  <c r="Q363" i="1" s="1"/>
  <c r="P364" i="1"/>
  <c r="P365" i="1"/>
  <c r="P366" i="1"/>
  <c r="P367" i="1"/>
  <c r="P368" i="1"/>
  <c r="P369" i="1"/>
  <c r="Q369" i="1" s="1"/>
  <c r="P370" i="1"/>
  <c r="Q370" i="1" s="1"/>
  <c r="P371" i="1"/>
  <c r="Q371" i="1" s="1"/>
  <c r="P372" i="1"/>
  <c r="P373" i="1"/>
  <c r="Q373" i="1" s="1"/>
  <c r="P374" i="1"/>
  <c r="Q374" i="1" s="1"/>
  <c r="P375" i="1"/>
  <c r="P376" i="1"/>
  <c r="P377" i="1"/>
  <c r="P378" i="1"/>
  <c r="R378" i="1" s="1"/>
  <c r="P379" i="1"/>
  <c r="R379" i="1" s="1"/>
  <c r="P380" i="1"/>
  <c r="R380" i="1" s="1"/>
  <c r="P381" i="1"/>
  <c r="P382" i="1"/>
  <c r="Q382" i="1" s="1"/>
  <c r="P383" i="1"/>
  <c r="P384" i="1"/>
  <c r="P385" i="1"/>
  <c r="P386" i="1"/>
  <c r="Q386" i="1" s="1"/>
  <c r="P387" i="1"/>
  <c r="Q387" i="1" s="1"/>
  <c r="P388" i="1"/>
  <c r="Q388" i="1" s="1"/>
  <c r="P389" i="1"/>
  <c r="Q389" i="1" s="1"/>
  <c r="P390" i="1"/>
  <c r="R390" i="1" s="1"/>
  <c r="P391" i="1"/>
  <c r="P392" i="1"/>
  <c r="Q392" i="1" s="1"/>
  <c r="P393" i="1"/>
  <c r="R393" i="1" s="1"/>
  <c r="P394" i="1"/>
  <c r="P395" i="1"/>
  <c r="P396" i="1"/>
  <c r="R396" i="1" s="1"/>
  <c r="P397" i="1"/>
  <c r="Q397" i="1" s="1"/>
  <c r="P398" i="1"/>
  <c r="Q398" i="1" s="1"/>
  <c r="P399" i="1"/>
  <c r="Q399" i="1" s="1"/>
  <c r="P400" i="1"/>
  <c r="Q400" i="1" s="1"/>
  <c r="P401" i="1"/>
  <c r="Q401" i="1" s="1"/>
  <c r="P402" i="1"/>
  <c r="P403" i="1"/>
  <c r="Q403" i="1" s="1"/>
  <c r="P404" i="1"/>
  <c r="P405" i="1"/>
  <c r="Q405" i="1" s="1"/>
  <c r="P406" i="1"/>
  <c r="Q406" i="1" s="1"/>
  <c r="P407" i="1"/>
  <c r="P408" i="1"/>
  <c r="P409" i="1"/>
  <c r="R409" i="1" s="1"/>
  <c r="P410" i="1"/>
  <c r="P411" i="1"/>
  <c r="Q411" i="1" s="1"/>
  <c r="P412" i="1"/>
  <c r="P413" i="1"/>
  <c r="P414" i="1"/>
  <c r="P415" i="1"/>
  <c r="P416" i="1"/>
  <c r="Q416" i="1" s="1"/>
  <c r="P417" i="1"/>
  <c r="Q417" i="1" s="1"/>
  <c r="P418" i="1"/>
  <c r="R418" i="1" s="1"/>
  <c r="P419" i="1"/>
  <c r="R419" i="1" s="1"/>
  <c r="P420" i="1"/>
  <c r="Q420" i="1" s="1"/>
  <c r="P421" i="1"/>
  <c r="Q421" i="1" s="1"/>
  <c r="P422" i="1"/>
  <c r="R422" i="1" s="1"/>
  <c r="P423" i="1"/>
  <c r="R423" i="1" s="1"/>
  <c r="P424" i="1"/>
  <c r="P425" i="1"/>
  <c r="R425" i="1" s="1"/>
  <c r="P426" i="1"/>
  <c r="P427" i="1"/>
  <c r="Q427" i="1" s="1"/>
  <c r="P428" i="1"/>
  <c r="Q428" i="1" s="1"/>
  <c r="P429" i="1"/>
  <c r="P430" i="1"/>
  <c r="P431" i="1"/>
  <c r="Q431" i="1" s="1"/>
  <c r="P432" i="1"/>
  <c r="Q432" i="1" s="1"/>
  <c r="P433" i="1"/>
  <c r="P434" i="1"/>
  <c r="Q434" i="1" s="1"/>
  <c r="P435" i="1"/>
  <c r="Q435" i="1" s="1"/>
  <c r="P436" i="1"/>
  <c r="Q436" i="1" s="1"/>
  <c r="P437" i="1"/>
  <c r="R437" i="1" s="1"/>
  <c r="P438" i="1"/>
  <c r="Q438" i="1" s="1"/>
  <c r="P439" i="1"/>
  <c r="Q439" i="1" s="1"/>
  <c r="P440" i="1"/>
  <c r="Q440" i="1" s="1"/>
  <c r="P441" i="1"/>
  <c r="P442" i="1"/>
  <c r="P443" i="1"/>
  <c r="P444" i="1"/>
  <c r="P445" i="1"/>
  <c r="Q445" i="1" s="1"/>
  <c r="P446" i="1"/>
  <c r="Q446" i="1" s="1"/>
  <c r="P447" i="1"/>
  <c r="Q447" i="1" s="1"/>
  <c r="P448" i="1"/>
  <c r="Q448" i="1" s="1"/>
  <c r="P449" i="1"/>
  <c r="Q449" i="1" s="1"/>
  <c r="P450" i="1"/>
  <c r="Q450" i="1" s="1"/>
  <c r="P451" i="1"/>
  <c r="Q451" i="1" s="1"/>
  <c r="P452" i="1"/>
  <c r="P453" i="1"/>
  <c r="P454" i="1"/>
  <c r="P455" i="1"/>
  <c r="Q455" i="1" s="1"/>
  <c r="P456" i="1"/>
  <c r="R456" i="1" s="1"/>
  <c r="P457" i="1"/>
  <c r="Q457" i="1" s="1"/>
  <c r="P458" i="1"/>
  <c r="P459" i="1"/>
  <c r="Q459" i="1" s="1"/>
  <c r="P460" i="1"/>
  <c r="P461" i="1"/>
  <c r="R461" i="1" s="1"/>
  <c r="P462" i="1"/>
  <c r="P463" i="1"/>
  <c r="Q463" i="1" s="1"/>
  <c r="P464" i="1"/>
  <c r="Q464" i="1" s="1"/>
  <c r="P465" i="1"/>
  <c r="P466" i="1"/>
  <c r="Q466" i="1" s="1"/>
  <c r="P467" i="1"/>
  <c r="Q467" i="1" s="1"/>
  <c r="P468" i="1"/>
  <c r="Q468" i="1" s="1"/>
  <c r="P469" i="1"/>
  <c r="Q469" i="1" s="1"/>
  <c r="P470" i="1"/>
  <c r="P471" i="1"/>
  <c r="P472" i="1"/>
  <c r="P473" i="1"/>
  <c r="P474" i="1"/>
  <c r="R474" i="1" s="1"/>
  <c r="P475" i="1"/>
  <c r="Q475" i="1" s="1"/>
  <c r="P476" i="1"/>
  <c r="R476" i="1" s="1"/>
  <c r="P477" i="1"/>
  <c r="Q477" i="1" s="1"/>
  <c r="P478" i="1"/>
  <c r="Q478" i="1" s="1"/>
  <c r="P479" i="1"/>
  <c r="Q479" i="1" s="1"/>
  <c r="P480" i="1"/>
  <c r="Q480" i="1" s="1"/>
  <c r="P481" i="1"/>
  <c r="P482" i="1"/>
  <c r="R482" i="1" s="1"/>
  <c r="P483" i="1"/>
  <c r="Q483" i="1" s="1"/>
  <c r="P484" i="1"/>
  <c r="P485" i="1"/>
  <c r="Q485" i="1" s="1"/>
  <c r="P486" i="1"/>
  <c r="P487" i="1"/>
  <c r="P488" i="1"/>
  <c r="P489" i="1"/>
  <c r="P490" i="1"/>
  <c r="P491" i="1"/>
  <c r="P492" i="1"/>
  <c r="P493" i="1"/>
  <c r="Q493" i="1" s="1"/>
  <c r="P494" i="1"/>
  <c r="Q494" i="1" s="1"/>
  <c r="P495" i="1"/>
  <c r="P496" i="1"/>
  <c r="Q496" i="1" s="1"/>
  <c r="P497" i="1"/>
  <c r="P498" i="1"/>
  <c r="P499" i="1"/>
  <c r="P500" i="1"/>
  <c r="P501" i="1"/>
  <c r="Q501" i="1" s="1"/>
  <c r="P502" i="1"/>
  <c r="R502" i="1" s="1"/>
  <c r="P503" i="1"/>
  <c r="R503" i="1" s="1"/>
  <c r="P504" i="1"/>
  <c r="Q504" i="1" s="1"/>
  <c r="P505" i="1"/>
  <c r="Q505" i="1" s="1"/>
  <c r="P506" i="1"/>
  <c r="P507" i="1"/>
  <c r="Q507" i="1" s="1"/>
  <c r="P508" i="1"/>
  <c r="P509" i="1"/>
  <c r="P510" i="1"/>
  <c r="P511" i="1"/>
  <c r="P512" i="1"/>
  <c r="P513" i="1"/>
  <c r="R513" i="1" s="1"/>
  <c r="P514" i="1"/>
  <c r="Q514" i="1" s="1"/>
  <c r="P515" i="1"/>
  <c r="R515" i="1" s="1"/>
  <c r="P516" i="1"/>
  <c r="Q516" i="1" s="1"/>
  <c r="P517" i="1"/>
  <c r="Q517" i="1" s="1"/>
  <c r="P518" i="1"/>
  <c r="P519" i="1"/>
  <c r="P520" i="1"/>
  <c r="P521" i="1"/>
  <c r="Q521" i="1" s="1"/>
  <c r="P522" i="1"/>
  <c r="P523" i="1"/>
  <c r="P524" i="1"/>
  <c r="R524" i="1" s="1"/>
  <c r="P525" i="1"/>
  <c r="Q525" i="1" s="1"/>
  <c r="P526" i="1"/>
  <c r="P527" i="1"/>
  <c r="Q527" i="1" s="1"/>
  <c r="P528" i="1"/>
  <c r="Q528" i="1" s="1"/>
  <c r="P529" i="1"/>
  <c r="P530" i="1"/>
  <c r="P531" i="1"/>
  <c r="P532" i="1"/>
  <c r="Q532" i="1" s="1"/>
  <c r="P533" i="1"/>
  <c r="R533" i="1" s="1"/>
  <c r="P534" i="1"/>
  <c r="P535" i="1"/>
  <c r="P536" i="1"/>
  <c r="Q536" i="1" s="1"/>
  <c r="P537" i="1"/>
  <c r="P538" i="1"/>
  <c r="Q538" i="1" s="1"/>
  <c r="P539" i="1"/>
  <c r="R539" i="1" s="1"/>
  <c r="P540" i="1"/>
  <c r="R540" i="1" s="1"/>
  <c r="P541" i="1"/>
  <c r="R541" i="1" s="1"/>
  <c r="P542" i="1"/>
  <c r="R542" i="1" s="1"/>
  <c r="P543" i="1"/>
  <c r="Q543" i="1" s="1"/>
  <c r="P544" i="1"/>
  <c r="Q544" i="1" s="1"/>
  <c r="P545" i="1"/>
  <c r="P546" i="1"/>
  <c r="P547" i="1"/>
  <c r="Q547" i="1" s="1"/>
  <c r="P548" i="1"/>
  <c r="Q548" i="1" s="1"/>
  <c r="P549" i="1"/>
  <c r="P550" i="1"/>
  <c r="Q550" i="1" s="1"/>
  <c r="P551" i="1"/>
  <c r="Q551" i="1" s="1"/>
  <c r="P552" i="1"/>
  <c r="Q552" i="1" s="1"/>
  <c r="P553" i="1"/>
  <c r="R553" i="1" s="1"/>
  <c r="P554" i="1"/>
  <c r="Q554" i="1" s="1"/>
  <c r="P555" i="1"/>
  <c r="Q555" i="1" s="1"/>
  <c r="P556" i="1"/>
  <c r="P557" i="1"/>
  <c r="P558" i="1"/>
  <c r="P559" i="1"/>
  <c r="P560" i="1"/>
  <c r="P561" i="1"/>
  <c r="Q561" i="1" s="1"/>
  <c r="P562" i="1"/>
  <c r="R562" i="1" s="1"/>
  <c r="P563" i="1"/>
  <c r="R563" i="1" s="1"/>
  <c r="P564" i="1"/>
  <c r="Q564" i="1" s="1"/>
  <c r="P565" i="1"/>
  <c r="P566" i="1"/>
  <c r="Q566" i="1" s="1"/>
  <c r="P567" i="1"/>
  <c r="P568" i="1"/>
  <c r="P569" i="1"/>
  <c r="Q569" i="1" s="1"/>
  <c r="P570" i="1"/>
  <c r="P571" i="1"/>
  <c r="P572" i="1"/>
  <c r="R572" i="1" s="1"/>
  <c r="P573" i="1"/>
  <c r="Q573" i="1" s="1"/>
  <c r="P574" i="1"/>
  <c r="P575" i="1"/>
  <c r="Q575" i="1" s="1"/>
  <c r="P576" i="1"/>
  <c r="P577" i="1"/>
  <c r="R577" i="1" s="1"/>
  <c r="P578" i="1"/>
  <c r="P579" i="1"/>
  <c r="P580" i="1"/>
  <c r="P581" i="1"/>
  <c r="Q581" i="1" s="1"/>
  <c r="P582" i="1"/>
  <c r="Q582" i="1" s="1"/>
  <c r="P583" i="1"/>
  <c r="P584" i="1"/>
  <c r="P585" i="1"/>
  <c r="P586" i="1"/>
  <c r="Q586" i="1" s="1"/>
  <c r="P587" i="1"/>
  <c r="Q587" i="1" s="1"/>
  <c r="P588" i="1"/>
  <c r="P589" i="1"/>
  <c r="P590" i="1"/>
  <c r="Q590" i="1" s="1"/>
  <c r="P591" i="1"/>
  <c r="Q591" i="1" s="1"/>
  <c r="P592" i="1"/>
  <c r="Q592" i="1" s="1"/>
  <c r="P593" i="1"/>
  <c r="P594" i="1"/>
  <c r="Q594" i="1" s="1"/>
  <c r="P595" i="1"/>
  <c r="P596" i="1"/>
  <c r="Q596" i="1" s="1"/>
  <c r="P597" i="1"/>
  <c r="P598" i="1"/>
  <c r="R598" i="1" s="1"/>
  <c r="P599" i="1"/>
  <c r="R599" i="1" s="1"/>
  <c r="P600" i="1"/>
  <c r="P601" i="1"/>
  <c r="R601" i="1" s="1"/>
  <c r="P602" i="1"/>
  <c r="Q602" i="1" s="1"/>
  <c r="P603" i="1"/>
  <c r="P604" i="1"/>
  <c r="Q604" i="1" s="1"/>
  <c r="P605" i="1"/>
  <c r="Q605" i="1" s="1"/>
  <c r="P606" i="1"/>
  <c r="P607" i="1"/>
  <c r="Q607" i="1" s="1"/>
  <c r="P608" i="1"/>
  <c r="P609" i="1"/>
  <c r="P610" i="1"/>
  <c r="R610" i="1" s="1"/>
  <c r="P611" i="1"/>
  <c r="P612" i="1"/>
  <c r="Q612" i="1" s="1"/>
  <c r="P613" i="1"/>
  <c r="P614" i="1"/>
  <c r="P615" i="1"/>
  <c r="P616" i="1"/>
  <c r="P617" i="1"/>
  <c r="Q617" i="1" s="1"/>
  <c r="P618" i="1"/>
  <c r="Q618" i="1" s="1"/>
  <c r="P619" i="1"/>
  <c r="R619" i="1" s="1"/>
  <c r="P620" i="1"/>
  <c r="Q620" i="1" s="1"/>
  <c r="P621" i="1"/>
  <c r="P622" i="1"/>
  <c r="P623" i="1"/>
  <c r="P624" i="1"/>
  <c r="P625" i="1"/>
  <c r="P626" i="1"/>
  <c r="P627" i="1"/>
  <c r="P628" i="1"/>
  <c r="R628" i="1" s="1"/>
  <c r="P629" i="1"/>
  <c r="Q629" i="1" s="1"/>
  <c r="P630" i="1"/>
  <c r="R630" i="1" s="1"/>
  <c r="P631" i="1"/>
  <c r="R631" i="1" s="1"/>
  <c r="P632" i="1"/>
  <c r="P633" i="1"/>
  <c r="P634" i="1"/>
  <c r="P635" i="1"/>
  <c r="P636" i="1"/>
  <c r="P637" i="1"/>
  <c r="P638" i="1"/>
  <c r="Q638" i="1" s="1"/>
  <c r="P639" i="1"/>
  <c r="Q639" i="1" s="1"/>
  <c r="P640" i="1"/>
  <c r="Q640" i="1" s="1"/>
  <c r="P641" i="1"/>
  <c r="Q641" i="1" s="1"/>
  <c r="P642" i="1"/>
  <c r="Q642" i="1" s="1"/>
  <c r="P643" i="1"/>
  <c r="P644" i="1"/>
  <c r="P645" i="1"/>
  <c r="P646" i="1"/>
  <c r="P647" i="1"/>
  <c r="P648" i="1"/>
  <c r="P649" i="1"/>
  <c r="P650" i="1"/>
  <c r="Q650" i="1" s="1"/>
  <c r="P651" i="1"/>
  <c r="P652" i="1"/>
  <c r="P653" i="1"/>
  <c r="R653" i="1" s="1"/>
  <c r="P654" i="1"/>
  <c r="R654" i="1" s="1"/>
  <c r="P655" i="1"/>
  <c r="R655" i="1" s="1"/>
  <c r="P656" i="1"/>
  <c r="R656" i="1" s="1"/>
  <c r="P657" i="1"/>
  <c r="R657" i="1" s="1"/>
  <c r="P658" i="1"/>
  <c r="Q658" i="1" s="1"/>
  <c r="P659" i="1"/>
  <c r="Q659" i="1" s="1"/>
  <c r="P660" i="1"/>
  <c r="P661" i="1"/>
  <c r="P662" i="1"/>
  <c r="P663" i="1"/>
  <c r="P664" i="1"/>
  <c r="P665" i="1"/>
  <c r="Q665" i="1" s="1"/>
  <c r="P666" i="1"/>
  <c r="P667" i="1"/>
  <c r="Q667" i="1" s="1"/>
  <c r="P668" i="1"/>
  <c r="Q668" i="1" s="1"/>
  <c r="P669" i="1"/>
  <c r="R669" i="1" s="1"/>
  <c r="P670" i="1"/>
  <c r="P671" i="1"/>
  <c r="P672" i="1"/>
  <c r="P673" i="1"/>
  <c r="P674" i="1"/>
  <c r="P675" i="1"/>
  <c r="P676" i="1"/>
  <c r="P677" i="1"/>
  <c r="R677" i="1" s="1"/>
  <c r="P678" i="1"/>
  <c r="R678" i="1" s="1"/>
  <c r="P679" i="1"/>
  <c r="Q679" i="1" s="1"/>
  <c r="P680" i="1"/>
  <c r="P681" i="1"/>
  <c r="P682" i="1"/>
  <c r="P683" i="1"/>
  <c r="P684" i="1"/>
  <c r="R684" i="1" s="1"/>
  <c r="P685" i="1"/>
  <c r="P686" i="1"/>
  <c r="P687" i="1"/>
  <c r="R687" i="1" s="1"/>
  <c r="P688" i="1"/>
  <c r="P689" i="1"/>
  <c r="P690" i="1"/>
  <c r="P691" i="1"/>
  <c r="P692" i="1"/>
  <c r="R692" i="1" s="1"/>
  <c r="P693" i="1"/>
  <c r="P694" i="1"/>
  <c r="Q694" i="1" s="1"/>
  <c r="P695" i="1"/>
  <c r="Q695" i="1" s="1"/>
  <c r="P696" i="1"/>
  <c r="R696" i="1" s="1"/>
  <c r="P697" i="1"/>
  <c r="Q697" i="1" s="1"/>
  <c r="P698" i="1"/>
  <c r="P699" i="1"/>
  <c r="P700" i="1"/>
  <c r="P701" i="1"/>
  <c r="P702" i="1"/>
  <c r="P703" i="1"/>
  <c r="Q703" i="1" s="1"/>
  <c r="P704" i="1"/>
  <c r="Q704" i="1" s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2" i="1"/>
  <c r="A706" i="1"/>
  <c r="R354" i="1" l="1"/>
  <c r="R17" i="1"/>
  <c r="R6" i="1"/>
  <c r="R7" i="1"/>
  <c r="R345" i="1"/>
  <c r="R477" i="1"/>
  <c r="R479" i="1"/>
  <c r="R25" i="1"/>
  <c r="R480" i="1"/>
  <c r="R48" i="1"/>
  <c r="R640" i="1"/>
  <c r="R96" i="1"/>
  <c r="R697" i="1"/>
  <c r="R97" i="1"/>
  <c r="Q687" i="1"/>
  <c r="R238" i="1"/>
  <c r="Q422" i="1"/>
  <c r="R239" i="1"/>
  <c r="Q120" i="1"/>
  <c r="R245" i="1"/>
  <c r="Q119" i="1"/>
  <c r="Q117" i="1"/>
  <c r="R30" i="1"/>
  <c r="R134" i="1"/>
  <c r="R360" i="1"/>
  <c r="R494" i="1"/>
  <c r="Q677" i="1"/>
  <c r="Q419" i="1"/>
  <c r="R359" i="1"/>
  <c r="R35" i="1"/>
  <c r="R137" i="1"/>
  <c r="R277" i="1"/>
  <c r="R369" i="1"/>
  <c r="R516" i="1"/>
  <c r="Q655" i="1"/>
  <c r="Q418" i="1"/>
  <c r="R36" i="1"/>
  <c r="R147" i="1"/>
  <c r="R278" i="1"/>
  <c r="Q654" i="1"/>
  <c r="Q351" i="1"/>
  <c r="R169" i="1"/>
  <c r="R283" i="1"/>
  <c r="R389" i="1"/>
  <c r="R538" i="1"/>
  <c r="Q601" i="1"/>
  <c r="R60" i="1"/>
  <c r="R173" i="1"/>
  <c r="R292" i="1"/>
  <c r="R547" i="1"/>
  <c r="Q332" i="1"/>
  <c r="R62" i="1"/>
  <c r="R181" i="1"/>
  <c r="R318" i="1"/>
  <c r="R431" i="1"/>
  <c r="Q563" i="1"/>
  <c r="R71" i="1"/>
  <c r="R206" i="1"/>
  <c r="R436" i="1"/>
  <c r="R573" i="1"/>
  <c r="Q562" i="1"/>
  <c r="Q226" i="1"/>
  <c r="R72" i="1"/>
  <c r="R207" i="1"/>
  <c r="R327" i="1"/>
  <c r="R592" i="1"/>
  <c r="Q187" i="1"/>
  <c r="Q513" i="1"/>
  <c r="R90" i="1"/>
  <c r="R215" i="1"/>
  <c r="R446" i="1"/>
  <c r="R639" i="1"/>
  <c r="Q515" i="1"/>
  <c r="Q162" i="1"/>
  <c r="R160" i="1"/>
  <c r="R64" i="1"/>
  <c r="R170" i="1"/>
  <c r="R575" i="1"/>
  <c r="R98" i="1"/>
  <c r="R138" i="1"/>
  <c r="R216" i="1"/>
  <c r="R536" i="1"/>
  <c r="R590" i="1"/>
  <c r="R641" i="1"/>
  <c r="Q657" i="1"/>
  <c r="Q503" i="1"/>
  <c r="Q409" i="1"/>
  <c r="Q322" i="1"/>
  <c r="R4" i="1"/>
  <c r="R38" i="1"/>
  <c r="R73" i="1"/>
  <c r="R99" i="1"/>
  <c r="R140" i="1"/>
  <c r="R180" i="1"/>
  <c r="R217" i="1"/>
  <c r="R254" i="1"/>
  <c r="R293" i="1"/>
  <c r="R331" i="1"/>
  <c r="R363" i="1"/>
  <c r="R400" i="1"/>
  <c r="R447" i="1"/>
  <c r="R485" i="1"/>
  <c r="R591" i="1"/>
  <c r="R642" i="1"/>
  <c r="Q656" i="1"/>
  <c r="Q572" i="1"/>
  <c r="Q390" i="1"/>
  <c r="Q313" i="1"/>
  <c r="Q188" i="1"/>
  <c r="R478" i="1"/>
  <c r="R47" i="1"/>
  <c r="R75" i="1"/>
  <c r="R110" i="1"/>
  <c r="R148" i="1"/>
  <c r="R218" i="1"/>
  <c r="R257" i="1"/>
  <c r="R295" i="1"/>
  <c r="R370" i="1"/>
  <c r="R401" i="1"/>
  <c r="R449" i="1"/>
  <c r="R667" i="1"/>
  <c r="Q380" i="1"/>
  <c r="Q85" i="1"/>
  <c r="R11" i="1"/>
  <c r="R49" i="1"/>
  <c r="R83" i="1"/>
  <c r="R112" i="1"/>
  <c r="R219" i="1"/>
  <c r="R263" i="1"/>
  <c r="R334" i="1"/>
  <c r="R371" i="1"/>
  <c r="R450" i="1"/>
  <c r="R496" i="1"/>
  <c r="R552" i="1"/>
  <c r="R596" i="1"/>
  <c r="R668" i="1"/>
  <c r="Q653" i="1"/>
  <c r="Q542" i="1"/>
  <c r="Q476" i="1"/>
  <c r="Q378" i="1"/>
  <c r="Q161" i="1"/>
  <c r="Q84" i="1"/>
  <c r="R100" i="1"/>
  <c r="R448" i="1"/>
  <c r="R12" i="1"/>
  <c r="R51" i="1"/>
  <c r="R113" i="1"/>
  <c r="R196" i="1"/>
  <c r="R264" i="1"/>
  <c r="R302" i="1"/>
  <c r="R341" i="1"/>
  <c r="R373" i="1"/>
  <c r="R451" i="1"/>
  <c r="R504" i="1"/>
  <c r="R605" i="1"/>
  <c r="Q631" i="1"/>
  <c r="Q456" i="1"/>
  <c r="Q361" i="1"/>
  <c r="Q291" i="1"/>
  <c r="Q158" i="1"/>
  <c r="Q59" i="1"/>
  <c r="R13" i="1"/>
  <c r="R114" i="1"/>
  <c r="R157" i="1"/>
  <c r="R197" i="1"/>
  <c r="R228" i="1"/>
  <c r="R265" i="1"/>
  <c r="R303" i="1"/>
  <c r="R342" i="1"/>
  <c r="R374" i="1"/>
  <c r="R417" i="1"/>
  <c r="R564" i="1"/>
  <c r="R612" i="1"/>
  <c r="Q630" i="1"/>
  <c r="Q540" i="1"/>
  <c r="Q50" i="1"/>
  <c r="R314" i="1"/>
  <c r="R517" i="1"/>
  <c r="R74" i="1"/>
  <c r="R493" i="1"/>
  <c r="R650" i="1"/>
  <c r="R86" i="1"/>
  <c r="R121" i="1"/>
  <c r="R198" i="1"/>
  <c r="R232" i="1"/>
  <c r="R266" i="1"/>
  <c r="R304" i="1"/>
  <c r="R344" i="1"/>
  <c r="R466" i="1"/>
  <c r="R514" i="1"/>
  <c r="R679" i="1"/>
  <c r="Q539" i="1"/>
  <c r="Q37" i="1"/>
  <c r="R255" i="1"/>
  <c r="Q95" i="1"/>
  <c r="R23" i="1"/>
  <c r="R61" i="1"/>
  <c r="R88" i="1"/>
  <c r="R122" i="1"/>
  <c r="R159" i="1"/>
  <c r="R276" i="1"/>
  <c r="R305" i="1"/>
  <c r="R388" i="1"/>
  <c r="R421" i="1"/>
  <c r="R467" i="1"/>
  <c r="R566" i="1"/>
  <c r="R638" i="1"/>
  <c r="Q619" i="1"/>
  <c r="Q423" i="1"/>
  <c r="Q352" i="1"/>
  <c r="Q262" i="1"/>
  <c r="Q129" i="1"/>
  <c r="R666" i="1"/>
  <c r="Q666" i="1"/>
  <c r="Q580" i="1"/>
  <c r="R580" i="1"/>
  <c r="R339" i="1"/>
  <c r="Q339" i="1"/>
  <c r="Q300" i="1"/>
  <c r="R300" i="1"/>
  <c r="R175" i="1"/>
  <c r="Q175" i="1"/>
  <c r="R106" i="1"/>
  <c r="Q106" i="1"/>
  <c r="R22" i="1"/>
  <c r="Q22" i="1"/>
  <c r="Q599" i="1"/>
  <c r="Q608" i="1"/>
  <c r="R608" i="1"/>
  <c r="R579" i="1"/>
  <c r="Q579" i="1"/>
  <c r="R560" i="1"/>
  <c r="Q560" i="1"/>
  <c r="Q531" i="1"/>
  <c r="R531" i="1"/>
  <c r="Q415" i="1"/>
  <c r="R415" i="1"/>
  <c r="R222" i="1"/>
  <c r="Q222" i="1"/>
  <c r="Q105" i="1"/>
  <c r="R105" i="1"/>
  <c r="Q482" i="1"/>
  <c r="Q636" i="1"/>
  <c r="R636" i="1"/>
  <c r="R588" i="1"/>
  <c r="Q588" i="1"/>
  <c r="R491" i="1"/>
  <c r="Q491" i="1"/>
  <c r="R443" i="1"/>
  <c r="Q443" i="1"/>
  <c r="Q414" i="1"/>
  <c r="R414" i="1"/>
  <c r="Q376" i="1"/>
  <c r="R376" i="1"/>
  <c r="Q347" i="1"/>
  <c r="R347" i="1"/>
  <c r="Q212" i="1"/>
  <c r="R212" i="1"/>
  <c r="R673" i="1"/>
  <c r="Q673" i="1"/>
  <c r="R625" i="1"/>
  <c r="Q625" i="1"/>
  <c r="R529" i="1"/>
  <c r="Q529" i="1"/>
  <c r="Q356" i="1"/>
  <c r="R356" i="1"/>
  <c r="R328" i="1"/>
  <c r="R634" i="1"/>
  <c r="Q634" i="1"/>
  <c r="R615" i="1"/>
  <c r="Q615" i="1"/>
  <c r="Q557" i="1"/>
  <c r="R557" i="1"/>
  <c r="Q519" i="1"/>
  <c r="R519" i="1"/>
  <c r="R336" i="1"/>
  <c r="Q336" i="1"/>
  <c r="Q258" i="1"/>
  <c r="R258" i="1"/>
  <c r="Q210" i="1"/>
  <c r="R210" i="1"/>
  <c r="Q142" i="1"/>
  <c r="R142" i="1"/>
  <c r="Q66" i="1"/>
  <c r="R66" i="1"/>
  <c r="Q54" i="1"/>
  <c r="R54" i="1"/>
  <c r="Q42" i="1"/>
  <c r="R42" i="1"/>
  <c r="R432" i="1"/>
  <c r="Q577" i="1"/>
  <c r="Q461" i="1"/>
  <c r="Q290" i="1"/>
  <c r="Q691" i="1"/>
  <c r="R691" i="1"/>
  <c r="Q681" i="1"/>
  <c r="R681" i="1"/>
  <c r="Q672" i="1"/>
  <c r="R672" i="1"/>
  <c r="Q662" i="1"/>
  <c r="R662" i="1"/>
  <c r="Q643" i="1"/>
  <c r="R643" i="1"/>
  <c r="Q633" i="1"/>
  <c r="R633" i="1"/>
  <c r="Q624" i="1"/>
  <c r="R624" i="1"/>
  <c r="Q614" i="1"/>
  <c r="R614" i="1"/>
  <c r="Q595" i="1"/>
  <c r="R595" i="1"/>
  <c r="Q585" i="1"/>
  <c r="R585" i="1"/>
  <c r="Q576" i="1"/>
  <c r="R576" i="1"/>
  <c r="Q537" i="1"/>
  <c r="R537" i="1"/>
  <c r="Q518" i="1"/>
  <c r="R518" i="1"/>
  <c r="Q508" i="1"/>
  <c r="R508" i="1"/>
  <c r="Q498" i="1"/>
  <c r="R498" i="1"/>
  <c r="Q460" i="1"/>
  <c r="R460" i="1"/>
  <c r="Q412" i="1"/>
  <c r="R412" i="1"/>
  <c r="Q402" i="1"/>
  <c r="R402" i="1"/>
  <c r="Q383" i="1"/>
  <c r="R383" i="1"/>
  <c r="Q364" i="1"/>
  <c r="R364" i="1"/>
  <c r="Q335" i="1"/>
  <c r="R335" i="1"/>
  <c r="Q325" i="1"/>
  <c r="R325" i="1"/>
  <c r="Q296" i="1"/>
  <c r="R296" i="1"/>
  <c r="Q286" i="1"/>
  <c r="R286" i="1"/>
  <c r="Q248" i="1"/>
  <c r="R248" i="1"/>
  <c r="Q200" i="1"/>
  <c r="R200" i="1"/>
  <c r="Q190" i="1"/>
  <c r="R190" i="1"/>
  <c r="Q141" i="1"/>
  <c r="R141" i="1"/>
  <c r="Q132" i="1"/>
  <c r="R132" i="1"/>
  <c r="Q89" i="1"/>
  <c r="R89" i="1"/>
  <c r="Q65" i="1"/>
  <c r="R65" i="1"/>
  <c r="Q53" i="1"/>
  <c r="R53" i="1"/>
  <c r="Q41" i="1"/>
  <c r="R41" i="1"/>
  <c r="Q29" i="1"/>
  <c r="R29" i="1"/>
  <c r="R33" i="1"/>
  <c r="R57" i="1"/>
  <c r="R77" i="1"/>
  <c r="R123" i="1"/>
  <c r="R144" i="1"/>
  <c r="R182" i="1"/>
  <c r="R203" i="1"/>
  <c r="R221" i="1"/>
  <c r="R241" i="1"/>
  <c r="R288" i="1"/>
  <c r="R355" i="1"/>
  <c r="R405" i="1"/>
  <c r="R434" i="1"/>
  <c r="R483" i="1"/>
  <c r="R548" i="1"/>
  <c r="R617" i="1"/>
  <c r="Q692" i="1"/>
  <c r="Q136" i="1"/>
  <c r="R101" i="1"/>
  <c r="R124" i="1"/>
  <c r="R183" i="1"/>
  <c r="R289" i="1"/>
  <c r="R308" i="1"/>
  <c r="R386" i="1"/>
  <c r="R406" i="1"/>
  <c r="R435" i="1"/>
  <c r="R463" i="1"/>
  <c r="R550" i="1"/>
  <c r="R586" i="1"/>
  <c r="R618" i="1"/>
  <c r="Q396" i="1"/>
  <c r="Q135" i="1"/>
  <c r="R473" i="1"/>
  <c r="Q473" i="1"/>
  <c r="Q377" i="1"/>
  <c r="R377" i="1"/>
  <c r="R242" i="1"/>
  <c r="Q242" i="1"/>
  <c r="R155" i="1"/>
  <c r="Q155" i="1"/>
  <c r="Q10" i="1"/>
  <c r="R10" i="1"/>
  <c r="R675" i="1"/>
  <c r="Q675" i="1"/>
  <c r="Q646" i="1"/>
  <c r="R646" i="1"/>
  <c r="Q492" i="1"/>
  <c r="R492" i="1"/>
  <c r="Q453" i="1"/>
  <c r="R453" i="1"/>
  <c r="Q348" i="1"/>
  <c r="R348" i="1"/>
  <c r="Q261" i="1"/>
  <c r="R261" i="1"/>
  <c r="Q213" i="1"/>
  <c r="R213" i="1"/>
  <c r="R174" i="1"/>
  <c r="R693" i="1"/>
  <c r="Q693" i="1"/>
  <c r="R645" i="1"/>
  <c r="Q645" i="1"/>
  <c r="R549" i="1"/>
  <c r="Q549" i="1"/>
  <c r="R511" i="1"/>
  <c r="Q511" i="1"/>
  <c r="R472" i="1"/>
  <c r="Q472" i="1"/>
  <c r="Q366" i="1"/>
  <c r="R366" i="1"/>
  <c r="Q337" i="1"/>
  <c r="R337" i="1"/>
  <c r="Q260" i="1"/>
  <c r="R260" i="1"/>
  <c r="Q163" i="1"/>
  <c r="R163" i="1"/>
  <c r="Q153" i="1"/>
  <c r="R153" i="1"/>
  <c r="Q115" i="1"/>
  <c r="R115" i="1"/>
  <c r="Q80" i="1"/>
  <c r="R80" i="1"/>
  <c r="R8" i="1"/>
  <c r="R279" i="1"/>
  <c r="R569" i="1"/>
  <c r="R607" i="1"/>
  <c r="R703" i="1"/>
  <c r="Q223" i="1"/>
  <c r="R664" i="1"/>
  <c r="Q664" i="1"/>
  <c r="Q558" i="1"/>
  <c r="R558" i="1"/>
  <c r="R452" i="1"/>
  <c r="Q452" i="1"/>
  <c r="Q413" i="1"/>
  <c r="R413" i="1"/>
  <c r="Q91" i="1"/>
  <c r="R91" i="1"/>
  <c r="Q55" i="1"/>
  <c r="R55" i="1"/>
  <c r="Q94" i="1"/>
  <c r="R682" i="1"/>
  <c r="Q682" i="1"/>
  <c r="R644" i="1"/>
  <c r="Q644" i="1"/>
  <c r="R499" i="1"/>
  <c r="Q499" i="1"/>
  <c r="Q384" i="1"/>
  <c r="R384" i="1"/>
  <c r="Q326" i="1"/>
  <c r="R326" i="1"/>
  <c r="Q297" i="1"/>
  <c r="R297" i="1"/>
  <c r="Q268" i="1"/>
  <c r="R268" i="1"/>
  <c r="R249" i="1"/>
  <c r="Q249" i="1"/>
  <c r="Q220" i="1"/>
  <c r="R220" i="1"/>
  <c r="Q78" i="1"/>
  <c r="R78" i="1"/>
  <c r="R56" i="1"/>
  <c r="R202" i="1"/>
  <c r="R240" i="1"/>
  <c r="R403" i="1"/>
  <c r="Q699" i="1"/>
  <c r="R699" i="1"/>
  <c r="Q603" i="1"/>
  <c r="R603" i="1"/>
  <c r="Q574" i="1"/>
  <c r="R574" i="1"/>
  <c r="Q391" i="1"/>
  <c r="R391" i="1"/>
  <c r="Q381" i="1"/>
  <c r="R381" i="1"/>
  <c r="Q372" i="1"/>
  <c r="R372" i="1"/>
  <c r="Q362" i="1"/>
  <c r="R362" i="1"/>
  <c r="Q333" i="1"/>
  <c r="R333" i="1"/>
  <c r="Q323" i="1"/>
  <c r="R323" i="1"/>
  <c r="Q294" i="1"/>
  <c r="R294" i="1"/>
  <c r="Q285" i="1"/>
  <c r="R285" i="1"/>
  <c r="Q256" i="1"/>
  <c r="R256" i="1"/>
  <c r="Q246" i="1"/>
  <c r="R246" i="1"/>
  <c r="Q237" i="1"/>
  <c r="R237" i="1"/>
  <c r="Q189" i="1"/>
  <c r="R189" i="1"/>
  <c r="Q179" i="1"/>
  <c r="R179" i="1"/>
  <c r="Q130" i="1"/>
  <c r="R130" i="1"/>
  <c r="Q39" i="1"/>
  <c r="R39" i="1"/>
  <c r="Q27" i="1"/>
  <c r="R27" i="1"/>
  <c r="Q15" i="1"/>
  <c r="R15" i="1"/>
  <c r="Q3" i="1"/>
  <c r="R3" i="1"/>
  <c r="R103" i="1"/>
  <c r="R184" i="1"/>
  <c r="R227" i="1"/>
  <c r="R358" i="1"/>
  <c r="R387" i="1"/>
  <c r="R464" i="1"/>
  <c r="R551" i="1"/>
  <c r="R587" i="1"/>
  <c r="Q684" i="1"/>
  <c r="Q628" i="1"/>
  <c r="Q393" i="1"/>
  <c r="Q194" i="1"/>
  <c r="Q58" i="1"/>
  <c r="R18" i="1"/>
  <c r="R125" i="1"/>
  <c r="R267" i="1"/>
  <c r="R416" i="1"/>
  <c r="R521" i="1"/>
  <c r="Q678" i="1"/>
  <c r="Q329" i="1"/>
  <c r="Q685" i="1"/>
  <c r="R685" i="1"/>
  <c r="Q570" i="1"/>
  <c r="R570" i="1"/>
  <c r="R271" i="1"/>
  <c r="Q271" i="1"/>
  <c r="R185" i="1"/>
  <c r="Q185" i="1"/>
  <c r="R444" i="1"/>
  <c r="Q444" i="1"/>
  <c r="Q357" i="1"/>
  <c r="R357" i="1"/>
  <c r="R338" i="1"/>
  <c r="Q338" i="1"/>
  <c r="Q309" i="1"/>
  <c r="R309" i="1"/>
  <c r="Q299" i="1"/>
  <c r="R299" i="1"/>
  <c r="Q270" i="1"/>
  <c r="R270" i="1"/>
  <c r="Q154" i="1"/>
  <c r="R154" i="1"/>
  <c r="Q93" i="1"/>
  <c r="R93" i="1"/>
  <c r="Q674" i="1"/>
  <c r="R674" i="1"/>
  <c r="R578" i="1"/>
  <c r="Q578" i="1"/>
  <c r="R462" i="1"/>
  <c r="Q462" i="1"/>
  <c r="Q433" i="1"/>
  <c r="R433" i="1"/>
  <c r="Q395" i="1"/>
  <c r="R395" i="1"/>
  <c r="Q298" i="1"/>
  <c r="R298" i="1"/>
  <c r="R702" i="1"/>
  <c r="Q702" i="1"/>
  <c r="R683" i="1"/>
  <c r="Q683" i="1"/>
  <c r="R635" i="1"/>
  <c r="Q635" i="1"/>
  <c r="R606" i="1"/>
  <c r="Q606" i="1"/>
  <c r="R490" i="1"/>
  <c r="Q490" i="1"/>
  <c r="R394" i="1"/>
  <c r="Q394" i="1"/>
  <c r="R365" i="1"/>
  <c r="Q365" i="1"/>
  <c r="R346" i="1"/>
  <c r="Q346" i="1"/>
  <c r="Q259" i="1"/>
  <c r="R259" i="1"/>
  <c r="Q143" i="1"/>
  <c r="R143" i="1"/>
  <c r="R67" i="1"/>
  <c r="Q67" i="1"/>
  <c r="R31" i="1"/>
  <c r="R280" i="1"/>
  <c r="R704" i="1"/>
  <c r="R701" i="1"/>
  <c r="Q701" i="1"/>
  <c r="R663" i="1"/>
  <c r="Q663" i="1"/>
  <c r="Q470" i="1"/>
  <c r="R470" i="1"/>
  <c r="Q441" i="1"/>
  <c r="R441" i="1"/>
  <c r="R316" i="1"/>
  <c r="Q316" i="1"/>
  <c r="Q287" i="1"/>
  <c r="R287" i="1"/>
  <c r="Q201" i="1"/>
  <c r="R201" i="1"/>
  <c r="Q204" i="1"/>
  <c r="Q680" i="1"/>
  <c r="R680" i="1"/>
  <c r="R688" i="1"/>
  <c r="Q688" i="1"/>
  <c r="R19" i="1"/>
  <c r="R43" i="1"/>
  <c r="R111" i="1"/>
  <c r="R191" i="1"/>
  <c r="R208" i="1"/>
  <c r="R229" i="1"/>
  <c r="R250" i="1"/>
  <c r="R315" i="1"/>
  <c r="R439" i="1"/>
  <c r="R528" i="1"/>
  <c r="Q502" i="1"/>
  <c r="Q252" i="1"/>
  <c r="Q46" i="1"/>
  <c r="R637" i="1"/>
  <c r="Q637" i="1"/>
  <c r="R589" i="1"/>
  <c r="Q589" i="1"/>
  <c r="R512" i="1"/>
  <c r="Q512" i="1"/>
  <c r="R81" i="1"/>
  <c r="Q81" i="1"/>
  <c r="Q626" i="1"/>
  <c r="R626" i="1"/>
  <c r="Q597" i="1"/>
  <c r="R597" i="1"/>
  <c r="R559" i="1"/>
  <c r="Q559" i="1"/>
  <c r="R530" i="1"/>
  <c r="Q530" i="1"/>
  <c r="Q424" i="1"/>
  <c r="R424" i="1"/>
  <c r="Q385" i="1"/>
  <c r="R385" i="1"/>
  <c r="Q231" i="1"/>
  <c r="R231" i="1"/>
  <c r="Q92" i="1"/>
  <c r="R92" i="1"/>
  <c r="R616" i="1"/>
  <c r="Q616" i="1"/>
  <c r="R510" i="1"/>
  <c r="Q510" i="1"/>
  <c r="Q307" i="1"/>
  <c r="R307" i="1"/>
  <c r="Q269" i="1"/>
  <c r="R269" i="1"/>
  <c r="Q211" i="1"/>
  <c r="R211" i="1"/>
  <c r="Q689" i="1"/>
  <c r="R689" i="1"/>
  <c r="Q670" i="1"/>
  <c r="R670" i="1"/>
  <c r="Q651" i="1"/>
  <c r="R651" i="1"/>
  <c r="Q622" i="1"/>
  <c r="R622" i="1"/>
  <c r="Q593" i="1"/>
  <c r="R593" i="1"/>
  <c r="Q584" i="1"/>
  <c r="R584" i="1"/>
  <c r="Q458" i="1"/>
  <c r="R458" i="1"/>
  <c r="Q429" i="1"/>
  <c r="R429" i="1"/>
  <c r="R20" i="1"/>
  <c r="R44" i="1"/>
  <c r="R87" i="1"/>
  <c r="R149" i="1"/>
  <c r="R171" i="1"/>
  <c r="R192" i="1"/>
  <c r="R251" i="1"/>
  <c r="R275" i="1"/>
  <c r="R317" i="1"/>
  <c r="R468" i="1"/>
  <c r="R555" i="1"/>
  <c r="R694" i="1"/>
  <c r="Q425" i="1"/>
  <c r="Q319" i="1"/>
  <c r="Q233" i="1"/>
  <c r="Q165" i="1"/>
  <c r="R676" i="1"/>
  <c r="Q676" i="1"/>
  <c r="Q647" i="1"/>
  <c r="R647" i="1"/>
  <c r="R522" i="1"/>
  <c r="Q522" i="1"/>
  <c r="Q454" i="1"/>
  <c r="R454" i="1"/>
  <c r="Q368" i="1"/>
  <c r="R368" i="1"/>
  <c r="R281" i="1"/>
  <c r="Q281" i="1"/>
  <c r="R145" i="1"/>
  <c r="Q145" i="1"/>
  <c r="Q126" i="1"/>
  <c r="R126" i="1"/>
  <c r="R82" i="1"/>
  <c r="Q82" i="1"/>
  <c r="Q70" i="1"/>
  <c r="R70" i="1"/>
  <c r="R34" i="1"/>
  <c r="Q34" i="1"/>
  <c r="Q627" i="1"/>
  <c r="R627" i="1"/>
  <c r="Q367" i="1"/>
  <c r="R367" i="1"/>
  <c r="Q598" i="1"/>
  <c r="R481" i="1"/>
  <c r="Q481" i="1"/>
  <c r="Q104" i="1"/>
  <c r="R104" i="1"/>
  <c r="Q68" i="1"/>
  <c r="R68" i="1"/>
  <c r="R116" i="1"/>
  <c r="R568" i="1"/>
  <c r="Q568" i="1"/>
  <c r="Q520" i="1"/>
  <c r="R520" i="1"/>
  <c r="R500" i="1"/>
  <c r="Q500" i="1"/>
  <c r="R471" i="1"/>
  <c r="Q471" i="1"/>
  <c r="Q442" i="1"/>
  <c r="R442" i="1"/>
  <c r="R404" i="1"/>
  <c r="Q404" i="1"/>
  <c r="R375" i="1"/>
  <c r="Q375" i="1"/>
  <c r="Q79" i="1"/>
  <c r="R79" i="1"/>
  <c r="R9" i="1"/>
  <c r="R567" i="1"/>
  <c r="Q567" i="1"/>
  <c r="Q509" i="1"/>
  <c r="R509" i="1"/>
  <c r="Q489" i="1"/>
  <c r="R489" i="1"/>
  <c r="R306" i="1"/>
  <c r="Q306" i="1"/>
  <c r="Q152" i="1"/>
  <c r="R152" i="1"/>
  <c r="Q102" i="1"/>
  <c r="R102" i="1"/>
  <c r="R32" i="1"/>
  <c r="R665" i="1"/>
  <c r="Q632" i="1"/>
  <c r="R632" i="1"/>
  <c r="Q545" i="1"/>
  <c r="R545" i="1"/>
  <c r="Q526" i="1"/>
  <c r="R526" i="1"/>
  <c r="Q506" i="1"/>
  <c r="R506" i="1"/>
  <c r="Q487" i="1"/>
  <c r="R487" i="1"/>
  <c r="Q410" i="1"/>
  <c r="R410" i="1"/>
  <c r="Q63" i="1"/>
  <c r="R63" i="1"/>
  <c r="R5" i="1"/>
  <c r="R21" i="1"/>
  <c r="R45" i="1"/>
  <c r="R69" i="1"/>
  <c r="R133" i="1"/>
  <c r="R151" i="1"/>
  <c r="R172" i="1"/>
  <c r="R193" i="1"/>
  <c r="R230" i="1"/>
  <c r="R343" i="1"/>
  <c r="R420" i="1"/>
  <c r="R469" i="1"/>
  <c r="R501" i="1"/>
  <c r="R532" i="1"/>
  <c r="R695" i="1"/>
  <c r="Q541" i="1"/>
  <c r="Q164" i="1"/>
  <c r="Q700" i="1"/>
  <c r="R700" i="1"/>
  <c r="Q690" i="1"/>
  <c r="R690" i="1"/>
  <c r="Q671" i="1"/>
  <c r="R671" i="1"/>
  <c r="Q661" i="1"/>
  <c r="R661" i="1"/>
  <c r="Q652" i="1"/>
  <c r="R652" i="1"/>
  <c r="Q623" i="1"/>
  <c r="R623" i="1"/>
  <c r="Q613" i="1"/>
  <c r="R613" i="1"/>
  <c r="Q565" i="1"/>
  <c r="R565" i="1"/>
  <c r="Q556" i="1"/>
  <c r="R556" i="1"/>
  <c r="Q546" i="1"/>
  <c r="R546" i="1"/>
  <c r="Q497" i="1"/>
  <c r="R497" i="1"/>
  <c r="Q488" i="1"/>
  <c r="R488" i="1"/>
  <c r="Q430" i="1"/>
  <c r="R430" i="1"/>
  <c r="R24" i="1"/>
  <c r="R76" i="1"/>
  <c r="R128" i="1"/>
  <c r="R139" i="1"/>
  <c r="R150" i="1"/>
  <c r="R186" i="1"/>
  <c r="R209" i="1"/>
  <c r="R244" i="1"/>
  <c r="R282" i="1"/>
  <c r="R321" i="1"/>
  <c r="R392" i="1"/>
  <c r="R438" i="1"/>
  <c r="R455" i="1"/>
  <c r="R554" i="1"/>
  <c r="R594" i="1"/>
  <c r="R620" i="1"/>
  <c r="Q533" i="1"/>
  <c r="Q474" i="1"/>
  <c r="Q379" i="1"/>
  <c r="Q349" i="1"/>
  <c r="Q284" i="1"/>
  <c r="Q118" i="1"/>
  <c r="Q698" i="1"/>
  <c r="R698" i="1"/>
  <c r="Q660" i="1"/>
  <c r="R660" i="1"/>
  <c r="Q621" i="1"/>
  <c r="R621" i="1"/>
  <c r="Q583" i="1"/>
  <c r="R583" i="1"/>
  <c r="Q535" i="1"/>
  <c r="R535" i="1"/>
  <c r="Q486" i="1"/>
  <c r="R486" i="1"/>
  <c r="R26" i="1"/>
  <c r="R52" i="1"/>
  <c r="R177" i="1"/>
  <c r="R199" i="1"/>
  <c r="R234" i="1"/>
  <c r="R440" i="1"/>
  <c r="Q696" i="1"/>
  <c r="Q669" i="1"/>
  <c r="Q274" i="1"/>
  <c r="Q178" i="1"/>
  <c r="R14" i="1"/>
  <c r="R40" i="1"/>
  <c r="R235" i="1"/>
  <c r="R273" i="1"/>
  <c r="R311" i="1"/>
  <c r="R397" i="1"/>
  <c r="R411" i="1"/>
  <c r="R427" i="1"/>
  <c r="R457" i="1"/>
  <c r="R505" i="1"/>
  <c r="R525" i="1"/>
  <c r="R561" i="1"/>
  <c r="R602" i="1"/>
  <c r="Q553" i="1"/>
  <c r="Q524" i="1"/>
  <c r="Q437" i="1"/>
  <c r="R534" i="1"/>
  <c r="Q534" i="1"/>
  <c r="Q495" i="1"/>
  <c r="R495" i="1"/>
  <c r="Q465" i="1"/>
  <c r="R465" i="1"/>
  <c r="R408" i="1"/>
  <c r="Q408" i="1"/>
  <c r="R350" i="1"/>
  <c r="Q350" i="1"/>
  <c r="R28" i="1"/>
  <c r="R108" i="1"/>
  <c r="R131" i="1"/>
  <c r="R167" i="1"/>
  <c r="R225" i="1"/>
  <c r="R236" i="1"/>
  <c r="R247" i="1"/>
  <c r="R312" i="1"/>
  <c r="R324" i="1"/>
  <c r="R398" i="1"/>
  <c r="R428" i="1"/>
  <c r="R507" i="1"/>
  <c r="R543" i="1"/>
  <c r="R581" i="1"/>
  <c r="R658" i="1"/>
  <c r="Q610" i="1"/>
  <c r="Q272" i="1"/>
  <c r="Q176" i="1"/>
  <c r="R649" i="1"/>
  <c r="Q649" i="1"/>
  <c r="R611" i="1"/>
  <c r="Q611" i="1"/>
  <c r="Q686" i="1"/>
  <c r="R686" i="1"/>
  <c r="Q648" i="1"/>
  <c r="R648" i="1"/>
  <c r="Q609" i="1"/>
  <c r="R609" i="1"/>
  <c r="R600" i="1"/>
  <c r="Q600" i="1"/>
  <c r="Q571" i="1"/>
  <c r="R571" i="1"/>
  <c r="Q523" i="1"/>
  <c r="R523" i="1"/>
  <c r="Q484" i="1"/>
  <c r="R484" i="1"/>
  <c r="Q426" i="1"/>
  <c r="R426" i="1"/>
  <c r="Q407" i="1"/>
  <c r="R407" i="1"/>
  <c r="Q340" i="1"/>
  <c r="R340" i="1"/>
  <c r="R330" i="1"/>
  <c r="Q330" i="1"/>
  <c r="Q320" i="1"/>
  <c r="R320" i="1"/>
  <c r="Q310" i="1"/>
  <c r="R310" i="1"/>
  <c r="R301" i="1"/>
  <c r="Q301" i="1"/>
  <c r="Q253" i="1"/>
  <c r="R253" i="1"/>
  <c r="R243" i="1"/>
  <c r="Q243" i="1"/>
  <c r="Q224" i="1"/>
  <c r="R224" i="1"/>
  <c r="R214" i="1"/>
  <c r="Q214" i="1"/>
  <c r="Q195" i="1"/>
  <c r="R195" i="1"/>
  <c r="Q166" i="1"/>
  <c r="R166" i="1"/>
  <c r="R156" i="1"/>
  <c r="Q156" i="1"/>
  <c r="Q146" i="1"/>
  <c r="R146" i="1"/>
  <c r="R127" i="1"/>
  <c r="Q127" i="1"/>
  <c r="Q107" i="1"/>
  <c r="R107" i="1"/>
  <c r="R16" i="1"/>
  <c r="R109" i="1"/>
  <c r="R168" i="1"/>
  <c r="R353" i="1"/>
  <c r="R382" i="1"/>
  <c r="R399" i="1"/>
  <c r="R445" i="1"/>
  <c r="R459" i="1"/>
  <c r="R475" i="1"/>
  <c r="R527" i="1"/>
  <c r="R544" i="1"/>
  <c r="R582" i="1"/>
  <c r="R604" i="1"/>
  <c r="R629" i="1"/>
  <c r="R659" i="1"/>
  <c r="Q205" i="1"/>
  <c r="Q708" i="1" l="1"/>
  <c r="Q707" i="1"/>
  <c r="V707" i="1" l="1"/>
  <c r="T707" i="1"/>
  <c r="Q709" i="1"/>
  <c r="R707" i="1" l="1"/>
  <c r="R708" i="1"/>
  <c r="U708" i="1"/>
  <c r="U707" i="1"/>
  <c r="V708" i="1"/>
  <c r="V711" i="1" s="1"/>
  <c r="T708" i="1"/>
  <c r="T711" i="1" s="1"/>
  <c r="S708" i="1"/>
  <c r="S707" i="1"/>
  <c r="U711" i="1" l="1"/>
  <c r="T729" i="1" a="1"/>
  <c r="T729" i="1" s="1"/>
  <c r="S711" i="1"/>
  <c r="T732" i="1" l="1"/>
  <c r="T731" i="1"/>
  <c r="T730" i="1"/>
  <c r="X391" i="1" s="1"/>
  <c r="AB391" i="1" l="1"/>
  <c r="AC391" i="1"/>
  <c r="X214" i="1"/>
  <c r="X2" i="1"/>
  <c r="X254" i="1"/>
  <c r="X611" i="1"/>
  <c r="X420" i="1"/>
  <c r="X634" i="1"/>
  <c r="X629" i="1"/>
  <c r="X444" i="1"/>
  <c r="X641" i="1"/>
  <c r="X225" i="1"/>
  <c r="X563" i="1"/>
  <c r="X700" i="1"/>
  <c r="X198" i="1"/>
  <c r="X242" i="1"/>
  <c r="X400" i="1"/>
  <c r="X127" i="1"/>
  <c r="X112" i="1"/>
  <c r="X654" i="1"/>
  <c r="X658" i="1"/>
  <c r="X649" i="1"/>
  <c r="X613" i="1"/>
  <c r="X210" i="1"/>
  <c r="X369" i="1"/>
  <c r="X600" i="1"/>
  <c r="X409" i="1"/>
  <c r="X452" i="1"/>
  <c r="X544" i="1"/>
  <c r="X35" i="1"/>
  <c r="X222" i="1"/>
  <c r="X426" i="1"/>
  <c r="X256" i="1"/>
  <c r="X3" i="1"/>
  <c r="X478" i="1"/>
  <c r="X599" i="1"/>
  <c r="X557" i="1"/>
  <c r="X699" i="1"/>
  <c r="X368" i="1"/>
  <c r="X257" i="1"/>
  <c r="X204" i="1"/>
  <c r="X229" i="1"/>
  <c r="X116" i="1"/>
  <c r="X555" i="1"/>
  <c r="X417" i="1"/>
  <c r="X81" i="1"/>
  <c r="X349" i="1"/>
  <c r="X539" i="1"/>
  <c r="X433" i="1"/>
  <c r="X43" i="1"/>
  <c r="X411" i="1"/>
  <c r="X385" i="1"/>
  <c r="X236" i="1"/>
  <c r="X440" i="1"/>
  <c r="X499" i="1"/>
  <c r="X224" i="1"/>
  <c r="X107" i="1"/>
  <c r="X431" i="1"/>
  <c r="X343" i="1"/>
  <c r="X517" i="1"/>
  <c r="X617" i="1"/>
  <c r="X267" i="1"/>
  <c r="X119" i="1"/>
  <c r="X132" i="1"/>
  <c r="X293" i="1"/>
  <c r="X123" i="1"/>
  <c r="X370" i="1"/>
  <c r="X106" i="1"/>
  <c r="X122" i="1"/>
  <c r="X590" i="1"/>
  <c r="X361" i="1"/>
  <c r="X569" i="1"/>
  <c r="X482" i="1"/>
  <c r="X278" i="1"/>
  <c r="X702" i="1"/>
  <c r="X655" i="1"/>
  <c r="X467" i="1"/>
  <c r="X262" i="1"/>
  <c r="X562" i="1"/>
  <c r="X432" i="1"/>
  <c r="X223" i="1"/>
  <c r="X313" i="1"/>
  <c r="X446" i="1"/>
  <c r="X239" i="1"/>
  <c r="X466" i="1"/>
  <c r="X511" i="1"/>
  <c r="X274" i="1"/>
  <c r="X25" i="1"/>
  <c r="X679" i="1"/>
  <c r="X648" i="1"/>
  <c r="X462" i="1"/>
  <c r="X253" i="1"/>
  <c r="X696" i="1"/>
  <c r="X554" i="1"/>
  <c r="X360" i="1"/>
  <c r="X139" i="1"/>
  <c r="X618" i="1"/>
  <c r="X427" i="1"/>
  <c r="X215" i="1"/>
  <c r="X260" i="1"/>
  <c r="X441" i="1"/>
  <c r="X230" i="1"/>
  <c r="X514" i="1"/>
  <c r="X455" i="1"/>
  <c r="X248" i="1"/>
  <c r="X682" i="1"/>
  <c r="X550" i="1"/>
  <c r="X154" i="1"/>
  <c r="X703" i="1"/>
  <c r="X421" i="1"/>
  <c r="X626" i="1"/>
  <c r="X438" i="1"/>
  <c r="X227" i="1"/>
  <c r="X381" i="1"/>
  <c r="X237" i="1"/>
  <c r="X93" i="1"/>
  <c r="X128" i="1"/>
  <c r="X55" i="1"/>
  <c r="X29" i="1"/>
  <c r="X317" i="1"/>
  <c r="X17" i="1"/>
  <c r="X556" i="1"/>
  <c r="X412" i="1"/>
  <c r="X268" i="1"/>
  <c r="X124" i="1"/>
  <c r="X581" i="1"/>
  <c r="X281" i="1"/>
  <c r="X688" i="1"/>
  <c r="X567" i="1"/>
  <c r="X423" i="1"/>
  <c r="X279" i="1"/>
  <c r="X135" i="1"/>
  <c r="X402" i="1"/>
  <c r="X238" i="1"/>
  <c r="X429" i="1"/>
  <c r="X524" i="1"/>
  <c r="X324" i="1"/>
  <c r="X179" i="1"/>
  <c r="X690" i="1"/>
  <c r="X408" i="1"/>
  <c r="X194" i="1"/>
  <c r="X188" i="1"/>
  <c r="X422" i="1"/>
  <c r="X212" i="1"/>
  <c r="X61" i="1"/>
  <c r="X487" i="1"/>
  <c r="X110" i="1"/>
  <c r="X644" i="1"/>
  <c r="X372" i="1"/>
  <c r="X596" i="1"/>
  <c r="X405" i="1"/>
  <c r="X191" i="1"/>
  <c r="X357" i="1"/>
  <c r="X213" i="1"/>
  <c r="X69" i="1"/>
  <c r="X104" i="1"/>
  <c r="X31" i="1"/>
  <c r="X593" i="1"/>
  <c r="X269" i="1"/>
  <c r="X676" i="1"/>
  <c r="X532" i="1"/>
  <c r="X388" i="1"/>
  <c r="X244" i="1"/>
  <c r="X100" i="1"/>
  <c r="X533" i="1"/>
  <c r="X233" i="1"/>
  <c r="X687" i="1"/>
  <c r="X543" i="1"/>
  <c r="X399" i="1"/>
  <c r="X255" i="1"/>
  <c r="X111" i="1"/>
  <c r="X625" i="1"/>
  <c r="X226" i="1"/>
  <c r="X187" i="1"/>
  <c r="X203" i="1"/>
  <c r="X635" i="1"/>
  <c r="X296" i="1"/>
  <c r="X585" i="1"/>
  <c r="X610" i="1"/>
  <c r="X419" i="1"/>
  <c r="X206" i="1"/>
  <c r="X667" i="1"/>
  <c r="X384" i="1"/>
  <c r="X167" i="1"/>
  <c r="X575" i="1"/>
  <c r="X398" i="1"/>
  <c r="X186" i="1"/>
  <c r="X561" i="1"/>
  <c r="X430" i="1"/>
  <c r="X218" i="1"/>
  <c r="X332" i="1"/>
  <c r="X606" i="1"/>
  <c r="X602" i="1"/>
  <c r="X414" i="1"/>
  <c r="X200" i="1"/>
  <c r="X205" i="1"/>
  <c r="X506" i="1"/>
  <c r="X307" i="1"/>
  <c r="X78" i="1"/>
  <c r="X570" i="1"/>
  <c r="X378" i="1"/>
  <c r="X157" i="1"/>
  <c r="X673" i="1"/>
  <c r="X393" i="1"/>
  <c r="X178" i="1"/>
  <c r="X407" i="1"/>
  <c r="X193" i="1"/>
  <c r="X674" i="1"/>
  <c r="X439" i="1"/>
  <c r="X91" i="1"/>
  <c r="X566" i="1"/>
  <c r="X336" i="1"/>
  <c r="X578" i="1"/>
  <c r="X390" i="1"/>
  <c r="X170" i="1"/>
  <c r="X345" i="1"/>
  <c r="X201" i="1"/>
  <c r="X57" i="1"/>
  <c r="X92" i="1"/>
  <c r="X19" i="1"/>
  <c r="X545" i="1"/>
  <c r="X245" i="1"/>
  <c r="X664" i="1"/>
  <c r="X520" i="1"/>
  <c r="X376" i="1"/>
  <c r="X232" i="1"/>
  <c r="X88" i="1"/>
  <c r="X497" i="1"/>
  <c r="X221" i="1"/>
  <c r="X675" i="1"/>
  <c r="X531" i="1"/>
  <c r="X387" i="1"/>
  <c r="X243" i="1"/>
  <c r="X99" i="1"/>
  <c r="X168" i="1"/>
  <c r="X416" i="1"/>
  <c r="X623" i="1"/>
  <c r="X529" i="1"/>
  <c r="X217" i="1"/>
  <c r="X97" i="1"/>
  <c r="X551" i="1"/>
  <c r="X470" i="1"/>
  <c r="X595" i="1"/>
  <c r="X404" i="1"/>
  <c r="X190" i="1"/>
  <c r="X608" i="1"/>
  <c r="X367" i="1"/>
  <c r="X145" i="1"/>
  <c r="X680" i="1"/>
  <c r="X383" i="1"/>
  <c r="X166" i="1"/>
  <c r="X666" i="1"/>
  <c r="X415" i="1"/>
  <c r="X202" i="1"/>
  <c r="X85" i="1"/>
  <c r="X573" i="1"/>
  <c r="X587" i="1"/>
  <c r="X396" i="1"/>
  <c r="X181" i="1"/>
  <c r="X691" i="1"/>
  <c r="X491" i="1"/>
  <c r="X288" i="1"/>
  <c r="X49" i="1"/>
  <c r="X553" i="1"/>
  <c r="X359" i="1"/>
  <c r="X138" i="1"/>
  <c r="X614" i="1"/>
  <c r="X374" i="1"/>
  <c r="X156" i="1"/>
  <c r="X704" i="1"/>
  <c r="X392" i="1"/>
  <c r="X175" i="1"/>
  <c r="X659" i="1"/>
  <c r="X406" i="1"/>
  <c r="X71" i="1"/>
  <c r="X518" i="1"/>
  <c r="X300" i="1"/>
  <c r="X564" i="1"/>
  <c r="X371" i="1"/>
  <c r="X151" i="1"/>
  <c r="X333" i="1"/>
  <c r="X189" i="1"/>
  <c r="X45" i="1"/>
  <c r="X80" i="1"/>
  <c r="X7" i="1"/>
  <c r="X521" i="1"/>
  <c r="X209" i="1"/>
  <c r="X652" i="1"/>
  <c r="X508" i="1"/>
  <c r="X364" i="1"/>
  <c r="X220" i="1"/>
  <c r="X76" i="1"/>
  <c r="X473" i="1"/>
  <c r="X197" i="1"/>
  <c r="X663" i="1"/>
  <c r="X519" i="1"/>
  <c r="X375" i="1"/>
  <c r="X231" i="1"/>
  <c r="X87" i="1"/>
  <c r="X434" i="1"/>
  <c r="X653" i="1"/>
  <c r="X463" i="1"/>
  <c r="X620" i="1"/>
  <c r="X394" i="1"/>
  <c r="X547" i="1"/>
  <c r="X671" i="1"/>
  <c r="X577" i="1"/>
  <c r="X386" i="1"/>
  <c r="X169" i="1"/>
  <c r="X546" i="1"/>
  <c r="X348" i="1"/>
  <c r="X126" i="1"/>
  <c r="X622" i="1"/>
  <c r="X366" i="1"/>
  <c r="X144" i="1"/>
  <c r="X607" i="1"/>
  <c r="X397" i="1"/>
  <c r="X182" i="1"/>
  <c r="X637" i="1"/>
  <c r="X559" i="1"/>
  <c r="X572" i="1"/>
  <c r="X380" i="1"/>
  <c r="X162" i="1"/>
  <c r="X661" i="1"/>
  <c r="X476" i="1"/>
  <c r="X271" i="1"/>
  <c r="X23" i="1"/>
  <c r="X538" i="1"/>
  <c r="X342" i="1"/>
  <c r="X118" i="1"/>
  <c r="X552" i="1"/>
  <c r="X358" i="1"/>
  <c r="X134" i="1"/>
  <c r="X689" i="1"/>
  <c r="X373" i="1"/>
  <c r="X155" i="1"/>
  <c r="X584" i="1"/>
  <c r="X355" i="1"/>
  <c r="X38" i="1"/>
  <c r="X685" i="1"/>
  <c r="X264" i="1"/>
  <c r="X549" i="1"/>
  <c r="X354" i="1"/>
  <c r="X131" i="1"/>
  <c r="X321" i="1"/>
  <c r="X177" i="1"/>
  <c r="X33" i="1"/>
  <c r="X68" i="1"/>
  <c r="X66" i="1"/>
  <c r="X509" i="1"/>
  <c r="X185" i="1"/>
  <c r="X640" i="1"/>
  <c r="X496" i="1"/>
  <c r="X352" i="1"/>
  <c r="X208" i="1"/>
  <c r="X64" i="1"/>
  <c r="X449" i="1"/>
  <c r="X173" i="1"/>
  <c r="X651" i="1"/>
  <c r="X507" i="1"/>
  <c r="X363" i="1"/>
  <c r="X219" i="1"/>
  <c r="X75" i="1"/>
  <c r="X142" i="1"/>
  <c r="X647" i="1"/>
  <c r="X458" i="1"/>
  <c r="X252" i="1"/>
  <c r="X638" i="1"/>
  <c r="X523" i="1"/>
  <c r="X323" i="1"/>
  <c r="X96" i="1"/>
  <c r="X537" i="1"/>
  <c r="X338" i="1"/>
  <c r="X115" i="1"/>
  <c r="X631" i="1"/>
  <c r="X356" i="1"/>
  <c r="X133" i="1"/>
  <c r="X672" i="1"/>
  <c r="X319" i="1"/>
  <c r="X12" i="1"/>
  <c r="X643" i="1"/>
  <c r="X174" i="1"/>
  <c r="X534" i="1"/>
  <c r="X335" i="1"/>
  <c r="X109" i="1"/>
  <c r="X309" i="1"/>
  <c r="X165" i="1"/>
  <c r="X21" i="1"/>
  <c r="X56" i="1"/>
  <c r="X54" i="1"/>
  <c r="X485" i="1"/>
  <c r="X161" i="1"/>
  <c r="X628" i="1"/>
  <c r="X484" i="1"/>
  <c r="X340" i="1"/>
  <c r="X196" i="1"/>
  <c r="X52" i="1"/>
  <c r="X425" i="1"/>
  <c r="X149" i="1"/>
  <c r="X639" i="1"/>
  <c r="X495" i="1"/>
  <c r="X351" i="1"/>
  <c r="X207" i="1"/>
  <c r="X63" i="1"/>
  <c r="X331" i="1"/>
  <c r="X130" i="1"/>
  <c r="X344" i="1"/>
  <c r="X74" i="1"/>
  <c r="X686" i="1"/>
  <c r="X337" i="1"/>
  <c r="X114" i="1"/>
  <c r="X594" i="1"/>
  <c r="X698" i="1"/>
  <c r="X516" i="1"/>
  <c r="X318" i="1"/>
  <c r="X90" i="1"/>
  <c r="X297" i="1"/>
  <c r="X153" i="1"/>
  <c r="X9" i="1"/>
  <c r="X44" i="1"/>
  <c r="X42" i="1"/>
  <c r="X461" i="1"/>
  <c r="X137" i="1"/>
  <c r="X616" i="1"/>
  <c r="X472" i="1"/>
  <c r="X328" i="1"/>
  <c r="X184" i="1"/>
  <c r="X40" i="1"/>
  <c r="X413" i="1"/>
  <c r="X125" i="1"/>
  <c r="X627" i="1"/>
  <c r="X483" i="1"/>
  <c r="X339" i="1"/>
  <c r="X195" i="1"/>
  <c r="X51" i="1"/>
  <c r="X528" i="1"/>
  <c r="X347" i="1"/>
  <c r="X560" i="1"/>
  <c r="X526" i="1"/>
  <c r="X597" i="1"/>
  <c r="X513" i="1"/>
  <c r="X527" i="1"/>
  <c r="X693" i="1"/>
  <c r="X694" i="1"/>
  <c r="X120" i="1"/>
  <c r="X235" i="1"/>
  <c r="X306" i="1"/>
  <c r="X95" i="1"/>
  <c r="X583" i="1"/>
  <c r="X677" i="1"/>
  <c r="X530" i="1"/>
  <c r="X334" i="1"/>
  <c r="X108" i="1"/>
  <c r="X498" i="1"/>
  <c r="X295" i="1"/>
  <c r="X60" i="1"/>
  <c r="X512" i="1"/>
  <c r="X311" i="1"/>
  <c r="X83" i="1"/>
  <c r="X665" i="1"/>
  <c r="X346" i="1"/>
  <c r="X121" i="1"/>
  <c r="X650" i="1"/>
  <c r="X445" i="1"/>
  <c r="X525" i="1"/>
  <c r="X325" i="1"/>
  <c r="X98" i="1"/>
  <c r="X619" i="1"/>
  <c r="X428" i="1"/>
  <c r="X216" i="1"/>
  <c r="X277" i="1"/>
  <c r="X490" i="1"/>
  <c r="X287" i="1"/>
  <c r="X48" i="1"/>
  <c r="X504" i="1"/>
  <c r="X302" i="1"/>
  <c r="X73" i="1"/>
  <c r="X630" i="1"/>
  <c r="X320" i="1"/>
  <c r="X94" i="1"/>
  <c r="X503" i="1"/>
  <c r="X247" i="1"/>
  <c r="X403" i="1"/>
  <c r="X535" i="1"/>
  <c r="X684" i="1"/>
  <c r="X501" i="1"/>
  <c r="X299" i="1"/>
  <c r="X70" i="1"/>
  <c r="X285" i="1"/>
  <c r="X141" i="1"/>
  <c r="X176" i="1"/>
  <c r="X32" i="1"/>
  <c r="X30" i="1"/>
  <c r="X437" i="1"/>
  <c r="X113" i="1"/>
  <c r="X604" i="1"/>
  <c r="X460" i="1"/>
  <c r="X316" i="1"/>
  <c r="X172" i="1"/>
  <c r="X28" i="1"/>
  <c r="X377" i="1"/>
  <c r="X101" i="1"/>
  <c r="X615" i="1"/>
  <c r="X471" i="1"/>
  <c r="X327" i="1"/>
  <c r="X183" i="1"/>
  <c r="X39" i="1"/>
  <c r="X150" i="1"/>
  <c r="X574" i="1"/>
  <c r="X382" i="1"/>
  <c r="X558" i="1"/>
  <c r="X548" i="1"/>
  <c r="X312" i="1"/>
  <c r="X330" i="1"/>
  <c r="X362" i="1"/>
  <c r="X540" i="1"/>
  <c r="X443" i="1"/>
  <c r="X505" i="1"/>
  <c r="X322" i="1"/>
  <c r="X283" i="1"/>
  <c r="X565" i="1"/>
  <c r="X646" i="1"/>
  <c r="X697" i="1"/>
  <c r="X515" i="1"/>
  <c r="X314" i="1"/>
  <c r="X86" i="1"/>
  <c r="X480" i="1"/>
  <c r="X276" i="1"/>
  <c r="X34" i="1"/>
  <c r="X494" i="1"/>
  <c r="X294" i="1"/>
  <c r="X59" i="1"/>
  <c r="X621" i="1"/>
  <c r="X326" i="1"/>
  <c r="X102" i="1"/>
  <c r="X636" i="1"/>
  <c r="X692" i="1"/>
  <c r="X510" i="1"/>
  <c r="X308" i="1"/>
  <c r="X79" i="1"/>
  <c r="X601" i="1"/>
  <c r="X410" i="1"/>
  <c r="X199" i="1"/>
  <c r="X241" i="1"/>
  <c r="X475" i="1"/>
  <c r="X270" i="1"/>
  <c r="X22" i="1"/>
  <c r="X489" i="1"/>
  <c r="X286" i="1"/>
  <c r="X47" i="1"/>
  <c r="X598" i="1"/>
  <c r="X301" i="1"/>
  <c r="X72" i="1"/>
  <c r="X701" i="1"/>
  <c r="X228" i="1"/>
  <c r="X146" i="1"/>
  <c r="X502" i="1"/>
  <c r="X670" i="1"/>
  <c r="X486" i="1"/>
  <c r="X282" i="1"/>
  <c r="X37" i="1"/>
  <c r="X273" i="1"/>
  <c r="X129" i="1"/>
  <c r="X164" i="1"/>
  <c r="X20" i="1"/>
  <c r="X18" i="1"/>
  <c r="X401" i="1"/>
  <c r="X89" i="1"/>
  <c r="X592" i="1"/>
  <c r="X448" i="1"/>
  <c r="X304" i="1"/>
  <c r="X160" i="1"/>
  <c r="X16" i="1"/>
  <c r="X353" i="1"/>
  <c r="X77" i="1"/>
  <c r="X603" i="1"/>
  <c r="X459" i="1"/>
  <c r="X315" i="1"/>
  <c r="X171" i="1"/>
  <c r="X27" i="1"/>
  <c r="X350" i="1"/>
  <c r="X84" i="1"/>
  <c r="X103" i="1"/>
  <c r="X143" i="1"/>
  <c r="X493" i="1"/>
  <c r="X633" i="1"/>
  <c r="X418" i="1"/>
  <c r="X522" i="1"/>
  <c r="X582" i="1"/>
  <c r="X645" i="1"/>
  <c r="X683" i="1"/>
  <c r="X500" i="1"/>
  <c r="X298" i="1"/>
  <c r="X62" i="1"/>
  <c r="X465" i="1"/>
  <c r="X259" i="1"/>
  <c r="X609" i="1"/>
  <c r="X479" i="1"/>
  <c r="X275" i="1"/>
  <c r="X26" i="1"/>
  <c r="X588" i="1"/>
  <c r="X310" i="1"/>
  <c r="X82" i="1"/>
  <c r="X589" i="1"/>
  <c r="X678" i="1"/>
  <c r="X492" i="1"/>
  <c r="X289" i="1"/>
  <c r="X50" i="1"/>
  <c r="X586" i="1"/>
  <c r="X395" i="1"/>
  <c r="X180" i="1"/>
  <c r="X681" i="1"/>
  <c r="X457" i="1"/>
  <c r="X251" i="1"/>
  <c r="X576" i="1"/>
  <c r="X474" i="1"/>
  <c r="X266" i="1"/>
  <c r="X14" i="1"/>
  <c r="X536" i="1"/>
  <c r="X284" i="1"/>
  <c r="X46" i="1"/>
  <c r="X657" i="1"/>
  <c r="X211" i="1"/>
  <c r="X695" i="1"/>
  <c r="X469" i="1"/>
  <c r="X656" i="1"/>
  <c r="X468" i="1"/>
  <c r="X263" i="1"/>
  <c r="X11" i="1"/>
  <c r="X261" i="1"/>
  <c r="X117" i="1"/>
  <c r="X152" i="1"/>
  <c r="X8" i="1"/>
  <c r="X6" i="1"/>
  <c r="X365" i="1"/>
  <c r="X65" i="1"/>
  <c r="X580" i="1"/>
  <c r="X436" i="1"/>
  <c r="X292" i="1"/>
  <c r="X148" i="1"/>
  <c r="X4" i="1"/>
  <c r="X329" i="1"/>
  <c r="X53" i="1"/>
  <c r="X591" i="1"/>
  <c r="X447" i="1"/>
  <c r="X303" i="1"/>
  <c r="X159" i="1"/>
  <c r="X15" i="1"/>
  <c r="X163" i="1"/>
  <c r="X669" i="1"/>
  <c r="X36" i="1"/>
  <c r="X450" i="1"/>
  <c r="X240" i="1"/>
  <c r="X481" i="1"/>
  <c r="X464" i="1"/>
  <c r="X258" i="1"/>
  <c r="X624" i="1"/>
  <c r="X541" i="1"/>
  <c r="X290" i="1"/>
  <c r="X58" i="1"/>
  <c r="X542" i="1"/>
  <c r="X662" i="1"/>
  <c r="X477" i="1"/>
  <c r="X272" i="1"/>
  <c r="X24" i="1"/>
  <c r="X571" i="1"/>
  <c r="X379" i="1"/>
  <c r="X158" i="1"/>
  <c r="X632" i="1"/>
  <c r="X442" i="1"/>
  <c r="X234" i="1"/>
  <c r="X451" i="1"/>
  <c r="X456" i="1"/>
  <c r="X250" i="1"/>
  <c r="X668" i="1"/>
  <c r="X488" i="1"/>
  <c r="X265" i="1"/>
  <c r="X13" i="1"/>
  <c r="X612" i="1"/>
  <c r="X192" i="1"/>
  <c r="X660" i="1"/>
  <c r="X454" i="1"/>
  <c r="X642" i="1"/>
  <c r="X453" i="1"/>
  <c r="X246" i="1"/>
  <c r="X10" i="1"/>
  <c r="X249" i="1"/>
  <c r="X105" i="1"/>
  <c r="X140" i="1"/>
  <c r="X67" i="1"/>
  <c r="X389" i="1"/>
  <c r="X341" i="1"/>
  <c r="X41" i="1"/>
  <c r="X568" i="1"/>
  <c r="X424" i="1"/>
  <c r="X280" i="1"/>
  <c r="X136" i="1"/>
  <c r="X605" i="1"/>
  <c r="X305" i="1"/>
  <c r="X5" i="1"/>
  <c r="X579" i="1"/>
  <c r="X435" i="1"/>
  <c r="X291" i="1"/>
  <c r="X147" i="1"/>
  <c r="AB58" i="1" l="1"/>
  <c r="AC58" i="1"/>
  <c r="AB603" i="1"/>
  <c r="AC603" i="1"/>
  <c r="AB471" i="1"/>
  <c r="AC471" i="1"/>
  <c r="AB44" i="1"/>
  <c r="AC44" i="1"/>
  <c r="AB68" i="1"/>
  <c r="AC68" i="1"/>
  <c r="AB434" i="1"/>
  <c r="AC434" i="1"/>
  <c r="AB97" i="1"/>
  <c r="AC97" i="1"/>
  <c r="AB419" i="1"/>
  <c r="AC419" i="1"/>
  <c r="AC154" i="1"/>
  <c r="AB154" i="1"/>
  <c r="AB517" i="1"/>
  <c r="AC517" i="1"/>
  <c r="AB424" i="1"/>
  <c r="AC424" i="1"/>
  <c r="AB290" i="1"/>
  <c r="AC290" i="1"/>
  <c r="AC275" i="1"/>
  <c r="AB275" i="1"/>
  <c r="AB480" i="1"/>
  <c r="AC480" i="1"/>
  <c r="AB176" i="1"/>
  <c r="AC176" i="1"/>
  <c r="AC295" i="1"/>
  <c r="AB295" i="1"/>
  <c r="AB9" i="1"/>
  <c r="AC9" i="1"/>
  <c r="AC96" i="1"/>
  <c r="AB96" i="1"/>
  <c r="AB162" i="1"/>
  <c r="AC162" i="1"/>
  <c r="AB71" i="1"/>
  <c r="AC71" i="1"/>
  <c r="AB217" i="1"/>
  <c r="AC217" i="1"/>
  <c r="AB170" i="1"/>
  <c r="AC170" i="1"/>
  <c r="AB673" i="1"/>
  <c r="AC673" i="1"/>
  <c r="AB332" i="1"/>
  <c r="AC332" i="1"/>
  <c r="AB69" i="1"/>
  <c r="AC69" i="1"/>
  <c r="AB422" i="1"/>
  <c r="AC422" i="1"/>
  <c r="AC279" i="1"/>
  <c r="AB279" i="1"/>
  <c r="AB29" i="1"/>
  <c r="AC29" i="1"/>
  <c r="AB550" i="1"/>
  <c r="AC550" i="1"/>
  <c r="AB360" i="1"/>
  <c r="AC360" i="1"/>
  <c r="AB446" i="1"/>
  <c r="AC446" i="1"/>
  <c r="AB361" i="1"/>
  <c r="AC361" i="1"/>
  <c r="AB343" i="1"/>
  <c r="AC343" i="1"/>
  <c r="AB349" i="1"/>
  <c r="AC349" i="1"/>
  <c r="AB478" i="1"/>
  <c r="AC478" i="1"/>
  <c r="AC613" i="1"/>
  <c r="AB613" i="1"/>
  <c r="AC641" i="1"/>
  <c r="AB641" i="1"/>
  <c r="AB453" i="1"/>
  <c r="AC453" i="1"/>
  <c r="AB26" i="1"/>
  <c r="AC26" i="1"/>
  <c r="AB540" i="1"/>
  <c r="AC540" i="1"/>
  <c r="AB483" i="1"/>
  <c r="AC483" i="1"/>
  <c r="AB507" i="1"/>
  <c r="AC507" i="1"/>
  <c r="AB518" i="1"/>
  <c r="AC518" i="1"/>
  <c r="AB345" i="1"/>
  <c r="AC345" i="1"/>
  <c r="AC212" i="1"/>
  <c r="AB212" i="1"/>
  <c r="AB599" i="1"/>
  <c r="AC599" i="1"/>
  <c r="AB365" i="1"/>
  <c r="AC365" i="1"/>
  <c r="AB129" i="1"/>
  <c r="AC129" i="1"/>
  <c r="AB362" i="1"/>
  <c r="AC362" i="1"/>
  <c r="AB320" i="1"/>
  <c r="AC320" i="1"/>
  <c r="AC693" i="1"/>
  <c r="AB693" i="1"/>
  <c r="AB340" i="1"/>
  <c r="AC340" i="1"/>
  <c r="AC651" i="1"/>
  <c r="AB651" i="1"/>
  <c r="AB373" i="1"/>
  <c r="AC373" i="1"/>
  <c r="AB87" i="1"/>
  <c r="AC87" i="1"/>
  <c r="AB49" i="1"/>
  <c r="AC49" i="1"/>
  <c r="AC88" i="1"/>
  <c r="AB88" i="1"/>
  <c r="AB687" i="1"/>
  <c r="AC687" i="1"/>
  <c r="AB568" i="1"/>
  <c r="AC568" i="1"/>
  <c r="AB454" i="1"/>
  <c r="AC454" i="1"/>
  <c r="AC442" i="1"/>
  <c r="AB442" i="1"/>
  <c r="AC541" i="1"/>
  <c r="AB541" i="1"/>
  <c r="AB303" i="1"/>
  <c r="AC303" i="1"/>
  <c r="AB6" i="1"/>
  <c r="AC6" i="1"/>
  <c r="AC657" i="1"/>
  <c r="AB657" i="1"/>
  <c r="AB395" i="1"/>
  <c r="AC395" i="1"/>
  <c r="AB479" i="1"/>
  <c r="AC479" i="1"/>
  <c r="AC633" i="1"/>
  <c r="AB633" i="1"/>
  <c r="AB353" i="1"/>
  <c r="AC353" i="1"/>
  <c r="AB273" i="1"/>
  <c r="AC273" i="1"/>
  <c r="AB47" i="1"/>
  <c r="AC47" i="1"/>
  <c r="AB510" i="1"/>
  <c r="AC510" i="1"/>
  <c r="AB86" i="1"/>
  <c r="AC86" i="1"/>
  <c r="AB330" i="1"/>
  <c r="AC330" i="1"/>
  <c r="AB101" i="1"/>
  <c r="AC101" i="1"/>
  <c r="AC141" i="1"/>
  <c r="AB141" i="1"/>
  <c r="AB630" i="1"/>
  <c r="AC630" i="1"/>
  <c r="AB325" i="1"/>
  <c r="AC325" i="1"/>
  <c r="AB498" i="1"/>
  <c r="AC498" i="1"/>
  <c r="AB527" i="1"/>
  <c r="AC527" i="1"/>
  <c r="AB125" i="1"/>
  <c r="AC125" i="1"/>
  <c r="AB153" i="1"/>
  <c r="AC153" i="1"/>
  <c r="AB130" i="1"/>
  <c r="AC130" i="1"/>
  <c r="AB484" i="1"/>
  <c r="AC484" i="1"/>
  <c r="AC174" i="1"/>
  <c r="AB174" i="1"/>
  <c r="AB323" i="1"/>
  <c r="AC323" i="1"/>
  <c r="AB173" i="1"/>
  <c r="AC173" i="1"/>
  <c r="AB177" i="1"/>
  <c r="AC177" i="1"/>
  <c r="AC689" i="1"/>
  <c r="AB689" i="1"/>
  <c r="AB380" i="1"/>
  <c r="AC380" i="1"/>
  <c r="AC546" i="1"/>
  <c r="AB546" i="1"/>
  <c r="AB231" i="1"/>
  <c r="AC231" i="1"/>
  <c r="AB521" i="1"/>
  <c r="AC521" i="1"/>
  <c r="AB406" i="1"/>
  <c r="AC406" i="1"/>
  <c r="AB288" i="1"/>
  <c r="AC288" i="1"/>
  <c r="AC383" i="1"/>
  <c r="AB383" i="1"/>
  <c r="AC529" i="1"/>
  <c r="AB529" i="1"/>
  <c r="AC232" i="1"/>
  <c r="AB232" i="1"/>
  <c r="AB390" i="1"/>
  <c r="AC390" i="1"/>
  <c r="AB157" i="1"/>
  <c r="AC157" i="1"/>
  <c r="AB218" i="1"/>
  <c r="AC218" i="1"/>
  <c r="AB585" i="1"/>
  <c r="AC585" i="1"/>
  <c r="AC233" i="1"/>
  <c r="AB233" i="1"/>
  <c r="AC213" i="1"/>
  <c r="AB213" i="1"/>
  <c r="AB188" i="1"/>
  <c r="AC188" i="1"/>
  <c r="AB423" i="1"/>
  <c r="AC423" i="1"/>
  <c r="AC55" i="1"/>
  <c r="AB55" i="1"/>
  <c r="AB682" i="1"/>
  <c r="AC682" i="1"/>
  <c r="AB554" i="1"/>
  <c r="AC554" i="1"/>
  <c r="AB313" i="1"/>
  <c r="AC313" i="1"/>
  <c r="AB590" i="1"/>
  <c r="AC590" i="1"/>
  <c r="AB431" i="1"/>
  <c r="AC431" i="1"/>
  <c r="AC81" i="1"/>
  <c r="AB81" i="1"/>
  <c r="AB3" i="1"/>
  <c r="AC3" i="1"/>
  <c r="AB649" i="1"/>
  <c r="AC649" i="1"/>
  <c r="AC444" i="1"/>
  <c r="AB444" i="1"/>
  <c r="AB451" i="1"/>
  <c r="AC451" i="1"/>
  <c r="AB681" i="1"/>
  <c r="AC681" i="1"/>
  <c r="AB276" i="1"/>
  <c r="AC276" i="1"/>
  <c r="AB694" i="1"/>
  <c r="AC694" i="1"/>
  <c r="AC537" i="1"/>
  <c r="AB537" i="1"/>
  <c r="AB652" i="1"/>
  <c r="AC652" i="1"/>
  <c r="AB393" i="1"/>
  <c r="AC393" i="1"/>
  <c r="AB317" i="1"/>
  <c r="AC317" i="1"/>
  <c r="AB539" i="1"/>
  <c r="AC539" i="1"/>
  <c r="AC180" i="1"/>
  <c r="AB180" i="1"/>
  <c r="AB308" i="1"/>
  <c r="AC308" i="1"/>
  <c r="AB615" i="1"/>
  <c r="AC615" i="1"/>
  <c r="AB98" i="1"/>
  <c r="AC98" i="1"/>
  <c r="AC627" i="1"/>
  <c r="AB627" i="1"/>
  <c r="AB344" i="1"/>
  <c r="AC344" i="1"/>
  <c r="AB534" i="1"/>
  <c r="AC534" i="1"/>
  <c r="AB33" i="1"/>
  <c r="AC33" i="1"/>
  <c r="AC348" i="1"/>
  <c r="AB348" i="1"/>
  <c r="AC209" i="1"/>
  <c r="AB209" i="1"/>
  <c r="AB166" i="1"/>
  <c r="AC166" i="1"/>
  <c r="AB610" i="1"/>
  <c r="AC610" i="1"/>
  <c r="AB41" i="1"/>
  <c r="AC41" i="1"/>
  <c r="AB660" i="1"/>
  <c r="AC660" i="1"/>
  <c r="AB632" i="1"/>
  <c r="AC632" i="1"/>
  <c r="AB624" i="1"/>
  <c r="AC624" i="1"/>
  <c r="AB447" i="1"/>
  <c r="AC447" i="1"/>
  <c r="AB8" i="1"/>
  <c r="AC8" i="1"/>
  <c r="AB46" i="1"/>
  <c r="AC46" i="1"/>
  <c r="AB586" i="1"/>
  <c r="AC586" i="1"/>
  <c r="AC609" i="1"/>
  <c r="AB609" i="1"/>
  <c r="AC493" i="1"/>
  <c r="AB493" i="1"/>
  <c r="AB16" i="1"/>
  <c r="AC16" i="1"/>
  <c r="AB37" i="1"/>
  <c r="AC37" i="1"/>
  <c r="AB286" i="1"/>
  <c r="AC286" i="1"/>
  <c r="AB692" i="1"/>
  <c r="AC692" i="1"/>
  <c r="AB314" i="1"/>
  <c r="AC314" i="1"/>
  <c r="AB312" i="1"/>
  <c r="AC312" i="1"/>
  <c r="AB377" i="1"/>
  <c r="AC377" i="1"/>
  <c r="AC285" i="1"/>
  <c r="AB285" i="1"/>
  <c r="AB73" i="1"/>
  <c r="AC73" i="1"/>
  <c r="AB525" i="1"/>
  <c r="AC525" i="1"/>
  <c r="AC108" i="1"/>
  <c r="AB108" i="1"/>
  <c r="AC513" i="1"/>
  <c r="AB513" i="1"/>
  <c r="AC413" i="1"/>
  <c r="AB413" i="1"/>
  <c r="AC297" i="1"/>
  <c r="AB297" i="1"/>
  <c r="AB331" i="1"/>
  <c r="AC331" i="1"/>
  <c r="AB628" i="1"/>
  <c r="AC628" i="1"/>
  <c r="AB643" i="1"/>
  <c r="AC643" i="1"/>
  <c r="AB523" i="1"/>
  <c r="AC523" i="1"/>
  <c r="AB449" i="1"/>
  <c r="AC449" i="1"/>
  <c r="AB321" i="1"/>
  <c r="AC321" i="1"/>
  <c r="AB134" i="1"/>
  <c r="AC134" i="1"/>
  <c r="AC572" i="1"/>
  <c r="AB572" i="1"/>
  <c r="AB169" i="1"/>
  <c r="AC169" i="1"/>
  <c r="AB375" i="1"/>
  <c r="AC375" i="1"/>
  <c r="AC7" i="1"/>
  <c r="AB7" i="1"/>
  <c r="AB659" i="1"/>
  <c r="AC659" i="1"/>
  <c r="AB491" i="1"/>
  <c r="AC491" i="1"/>
  <c r="AB680" i="1"/>
  <c r="AC680" i="1"/>
  <c r="AB623" i="1"/>
  <c r="AC623" i="1"/>
  <c r="AB376" i="1"/>
  <c r="AC376" i="1"/>
  <c r="AB578" i="1"/>
  <c r="AC578" i="1"/>
  <c r="AB378" i="1"/>
  <c r="AC378" i="1"/>
  <c r="AB430" i="1"/>
  <c r="AC430" i="1"/>
  <c r="AC296" i="1"/>
  <c r="AB296" i="1"/>
  <c r="AB533" i="1"/>
  <c r="AC533" i="1"/>
  <c r="AB357" i="1"/>
  <c r="AC357" i="1"/>
  <c r="AB194" i="1"/>
  <c r="AC194" i="1"/>
  <c r="AB567" i="1"/>
  <c r="AC567" i="1"/>
  <c r="AC128" i="1"/>
  <c r="AB128" i="1"/>
  <c r="AB248" i="1"/>
  <c r="AC248" i="1"/>
  <c r="AB696" i="1"/>
  <c r="AC696" i="1"/>
  <c r="AC223" i="1"/>
  <c r="AB223" i="1"/>
  <c r="AB122" i="1"/>
  <c r="AC122" i="1"/>
  <c r="AB107" i="1"/>
  <c r="AC107" i="1"/>
  <c r="AB417" i="1"/>
  <c r="AC417" i="1"/>
  <c r="AC256" i="1"/>
  <c r="AB256" i="1"/>
  <c r="AC658" i="1"/>
  <c r="AB658" i="1"/>
  <c r="AB629" i="1"/>
  <c r="AC629" i="1"/>
  <c r="AB522" i="1"/>
  <c r="AC522" i="1"/>
  <c r="AB619" i="1"/>
  <c r="AC619" i="1"/>
  <c r="AC161" i="1"/>
  <c r="AB161" i="1"/>
  <c r="AB638" i="1"/>
  <c r="AC638" i="1"/>
  <c r="AB131" i="1"/>
  <c r="AC131" i="1"/>
  <c r="AB358" i="1"/>
  <c r="AC358" i="1"/>
  <c r="AB559" i="1"/>
  <c r="AC559" i="1"/>
  <c r="AB386" i="1"/>
  <c r="AC386" i="1"/>
  <c r="AB80" i="1"/>
  <c r="AC80" i="1"/>
  <c r="AB691" i="1"/>
  <c r="AC691" i="1"/>
  <c r="AB145" i="1"/>
  <c r="AC145" i="1"/>
  <c r="AB416" i="1"/>
  <c r="AC416" i="1"/>
  <c r="AB520" i="1"/>
  <c r="AC520" i="1"/>
  <c r="AB336" i="1"/>
  <c r="AC336" i="1"/>
  <c r="AB570" i="1"/>
  <c r="AC570" i="1"/>
  <c r="AC561" i="1"/>
  <c r="AB561" i="1"/>
  <c r="AB635" i="1"/>
  <c r="AC635" i="1"/>
  <c r="AB100" i="1"/>
  <c r="AC100" i="1"/>
  <c r="AB191" i="1"/>
  <c r="AC191" i="1"/>
  <c r="AB408" i="1"/>
  <c r="AC408" i="1"/>
  <c r="AB688" i="1"/>
  <c r="AC688" i="1"/>
  <c r="AB93" i="1"/>
  <c r="AC93" i="1"/>
  <c r="AB455" i="1"/>
  <c r="AC455" i="1"/>
  <c r="AC253" i="1"/>
  <c r="AB253" i="1"/>
  <c r="AB432" i="1"/>
  <c r="AC432" i="1"/>
  <c r="AB106" i="1"/>
  <c r="AC106" i="1"/>
  <c r="AB224" i="1"/>
  <c r="AC224" i="1"/>
  <c r="AC555" i="1"/>
  <c r="AB555" i="1"/>
  <c r="AB426" i="1"/>
  <c r="AC426" i="1"/>
  <c r="AB654" i="1"/>
  <c r="AC654" i="1"/>
  <c r="AB634" i="1"/>
  <c r="AC634" i="1"/>
  <c r="AC341" i="1"/>
  <c r="AB341" i="1"/>
  <c r="AB591" i="1"/>
  <c r="AC591" i="1"/>
  <c r="AB143" i="1"/>
  <c r="AC143" i="1"/>
  <c r="AC489" i="1"/>
  <c r="AB489" i="1"/>
  <c r="AB28" i="1"/>
  <c r="AC28" i="1"/>
  <c r="AB302" i="1"/>
  <c r="AC302" i="1"/>
  <c r="AB334" i="1"/>
  <c r="AC334" i="1"/>
  <c r="AB90" i="1"/>
  <c r="AC90" i="1"/>
  <c r="AB12" i="1"/>
  <c r="AC12" i="1"/>
  <c r="AB519" i="1"/>
  <c r="AC519" i="1"/>
  <c r="AB389" i="1"/>
  <c r="AC389" i="1"/>
  <c r="AB464" i="1"/>
  <c r="AC464" i="1"/>
  <c r="AB53" i="1"/>
  <c r="AC53" i="1"/>
  <c r="AB117" i="1"/>
  <c r="AC117" i="1"/>
  <c r="AB536" i="1"/>
  <c r="AC536" i="1"/>
  <c r="AB289" i="1"/>
  <c r="AC289" i="1"/>
  <c r="AB465" i="1"/>
  <c r="AC465" i="1"/>
  <c r="AC103" i="1"/>
  <c r="AB103" i="1"/>
  <c r="AB304" i="1"/>
  <c r="AC304" i="1"/>
  <c r="AB486" i="1"/>
  <c r="AC486" i="1"/>
  <c r="AB22" i="1"/>
  <c r="AC22" i="1"/>
  <c r="AC102" i="1"/>
  <c r="AB102" i="1"/>
  <c r="AC697" i="1"/>
  <c r="AB697" i="1"/>
  <c r="AB558" i="1"/>
  <c r="AC558" i="1"/>
  <c r="AB172" i="1"/>
  <c r="AC172" i="1"/>
  <c r="AC299" i="1"/>
  <c r="AB299" i="1"/>
  <c r="AB504" i="1"/>
  <c r="AC504" i="1"/>
  <c r="AB650" i="1"/>
  <c r="AC650" i="1"/>
  <c r="AB530" i="1"/>
  <c r="AC530" i="1"/>
  <c r="AC526" i="1"/>
  <c r="AB526" i="1"/>
  <c r="AC184" i="1"/>
  <c r="AB184" i="1"/>
  <c r="AC318" i="1"/>
  <c r="AB318" i="1"/>
  <c r="AB207" i="1"/>
  <c r="AC207" i="1"/>
  <c r="AB485" i="1"/>
  <c r="AC485" i="1"/>
  <c r="AC319" i="1"/>
  <c r="AB319" i="1"/>
  <c r="AC252" i="1"/>
  <c r="AB252" i="1"/>
  <c r="AB208" i="1"/>
  <c r="AC208" i="1"/>
  <c r="AB354" i="1"/>
  <c r="AC354" i="1"/>
  <c r="AB552" i="1"/>
  <c r="AC552" i="1"/>
  <c r="AB637" i="1"/>
  <c r="AC637" i="1"/>
  <c r="AC577" i="1"/>
  <c r="AB577" i="1"/>
  <c r="AB663" i="1"/>
  <c r="AC663" i="1"/>
  <c r="AB45" i="1"/>
  <c r="AC45" i="1"/>
  <c r="AB392" i="1"/>
  <c r="AC392" i="1"/>
  <c r="AC181" i="1"/>
  <c r="AB181" i="1"/>
  <c r="AB367" i="1"/>
  <c r="AC367" i="1"/>
  <c r="AB168" i="1"/>
  <c r="AC168" i="1"/>
  <c r="AB664" i="1"/>
  <c r="AC664" i="1"/>
  <c r="AB566" i="1"/>
  <c r="AC566" i="1"/>
  <c r="AB78" i="1"/>
  <c r="AC78" i="1"/>
  <c r="AC186" i="1"/>
  <c r="AB186" i="1"/>
  <c r="AC203" i="1"/>
  <c r="AB203" i="1"/>
  <c r="AB244" i="1"/>
  <c r="AC244" i="1"/>
  <c r="AB405" i="1"/>
  <c r="AC405" i="1"/>
  <c r="AB690" i="1"/>
  <c r="AC690" i="1"/>
  <c r="AC281" i="1"/>
  <c r="AB281" i="1"/>
  <c r="AB237" i="1"/>
  <c r="AC237" i="1"/>
  <c r="AB514" i="1"/>
  <c r="AC514" i="1"/>
  <c r="AB462" i="1"/>
  <c r="AC462" i="1"/>
  <c r="AB562" i="1"/>
  <c r="AC562" i="1"/>
  <c r="AB370" i="1"/>
  <c r="AC370" i="1"/>
  <c r="AB499" i="1"/>
  <c r="AC499" i="1"/>
  <c r="AB116" i="1"/>
  <c r="AC116" i="1"/>
  <c r="AB222" i="1"/>
  <c r="AC222" i="1"/>
  <c r="AB112" i="1"/>
  <c r="AC112" i="1"/>
  <c r="AC420" i="1"/>
  <c r="AB420" i="1"/>
  <c r="AB15" i="1"/>
  <c r="AC15" i="1"/>
  <c r="AB164" i="1"/>
  <c r="AC164" i="1"/>
  <c r="AB32" i="1"/>
  <c r="AC32" i="1"/>
  <c r="AC196" i="1"/>
  <c r="AB196" i="1"/>
  <c r="AC661" i="1"/>
  <c r="AB661" i="1"/>
  <c r="AB553" i="1"/>
  <c r="AC553" i="1"/>
  <c r="AB543" i="1"/>
  <c r="AC543" i="1"/>
  <c r="AC139" i="1"/>
  <c r="AB139" i="1"/>
  <c r="AB225" i="1"/>
  <c r="AC225" i="1"/>
  <c r="AB234" i="1"/>
  <c r="AC234" i="1"/>
  <c r="AB77" i="1"/>
  <c r="AC77" i="1"/>
  <c r="AC258" i="1"/>
  <c r="AB258" i="1"/>
  <c r="AB50" i="1"/>
  <c r="AC50" i="1"/>
  <c r="AB282" i="1"/>
  <c r="AC282" i="1"/>
  <c r="AB548" i="1"/>
  <c r="AC548" i="1"/>
  <c r="AC70" i="1"/>
  <c r="AB70" i="1"/>
  <c r="AB445" i="1"/>
  <c r="AC445" i="1"/>
  <c r="AC597" i="1"/>
  <c r="AB597" i="1"/>
  <c r="AC40" i="1"/>
  <c r="AB40" i="1"/>
  <c r="AB63" i="1"/>
  <c r="AC63" i="1"/>
  <c r="AB64" i="1"/>
  <c r="AC64" i="1"/>
  <c r="AC175" i="1"/>
  <c r="AB175" i="1"/>
  <c r="AB291" i="1"/>
  <c r="AC291" i="1"/>
  <c r="AC612" i="1"/>
  <c r="AB612" i="1"/>
  <c r="AB379" i="1"/>
  <c r="AC379" i="1"/>
  <c r="AB435" i="1"/>
  <c r="AC435" i="1"/>
  <c r="AC67" i="1"/>
  <c r="AB67" i="1"/>
  <c r="AB13" i="1"/>
  <c r="AC13" i="1"/>
  <c r="AB571" i="1"/>
  <c r="AC571" i="1"/>
  <c r="AB481" i="1"/>
  <c r="AC481" i="1"/>
  <c r="AB329" i="1"/>
  <c r="AC329" i="1"/>
  <c r="AC261" i="1"/>
  <c r="AB261" i="1"/>
  <c r="AB14" i="1"/>
  <c r="AC14" i="1"/>
  <c r="AB492" i="1"/>
  <c r="AC492" i="1"/>
  <c r="AB62" i="1"/>
  <c r="AC62" i="1"/>
  <c r="AB84" i="1"/>
  <c r="AC84" i="1"/>
  <c r="AB448" i="1"/>
  <c r="AC448" i="1"/>
  <c r="AB670" i="1"/>
  <c r="AC670" i="1"/>
  <c r="AB270" i="1"/>
  <c r="AC270" i="1"/>
  <c r="AB326" i="1"/>
  <c r="AC326" i="1"/>
  <c r="AC646" i="1"/>
  <c r="AB646" i="1"/>
  <c r="AC382" i="1"/>
  <c r="AB382" i="1"/>
  <c r="AB316" i="1"/>
  <c r="AC316" i="1"/>
  <c r="AC501" i="1"/>
  <c r="AB501" i="1"/>
  <c r="AB48" i="1"/>
  <c r="AC48" i="1"/>
  <c r="AB121" i="1"/>
  <c r="AC121" i="1"/>
  <c r="AB677" i="1"/>
  <c r="AC677" i="1"/>
  <c r="AB560" i="1"/>
  <c r="AC560" i="1"/>
  <c r="AB328" i="1"/>
  <c r="AC328" i="1"/>
  <c r="AB516" i="1"/>
  <c r="AC516" i="1"/>
  <c r="AB351" i="1"/>
  <c r="AC351" i="1"/>
  <c r="AC54" i="1"/>
  <c r="AB54" i="1"/>
  <c r="AB672" i="1"/>
  <c r="AC672" i="1"/>
  <c r="AB458" i="1"/>
  <c r="AC458" i="1"/>
  <c r="AB352" i="1"/>
  <c r="AC352" i="1"/>
  <c r="AC549" i="1"/>
  <c r="AB549" i="1"/>
  <c r="AC118" i="1"/>
  <c r="AB118" i="1"/>
  <c r="AB182" i="1"/>
  <c r="AC182" i="1"/>
  <c r="AC671" i="1"/>
  <c r="AB671" i="1"/>
  <c r="AB197" i="1"/>
  <c r="AC197" i="1"/>
  <c r="AB189" i="1"/>
  <c r="AC189" i="1"/>
  <c r="AB704" i="1"/>
  <c r="AC704" i="1"/>
  <c r="AC396" i="1"/>
  <c r="AB396" i="1"/>
  <c r="AB608" i="1"/>
  <c r="AC608" i="1"/>
  <c r="AB99" i="1"/>
  <c r="AC99" i="1"/>
  <c r="AB245" i="1"/>
  <c r="AC245" i="1"/>
  <c r="AC91" i="1"/>
  <c r="AB91" i="1"/>
  <c r="AC307" i="1"/>
  <c r="AB307" i="1"/>
  <c r="AB398" i="1"/>
  <c r="AC398" i="1"/>
  <c r="AC187" i="1"/>
  <c r="AB187" i="1"/>
  <c r="AC388" i="1"/>
  <c r="AB388" i="1"/>
  <c r="AC596" i="1"/>
  <c r="AB596" i="1"/>
  <c r="AB179" i="1"/>
  <c r="AC179" i="1"/>
  <c r="AB581" i="1"/>
  <c r="AC581" i="1"/>
  <c r="AB381" i="1"/>
  <c r="AC381" i="1"/>
  <c r="AB230" i="1"/>
  <c r="AC230" i="1"/>
  <c r="AB648" i="1"/>
  <c r="AC648" i="1"/>
  <c r="AB262" i="1"/>
  <c r="AC262" i="1"/>
  <c r="AB123" i="1"/>
  <c r="AC123" i="1"/>
  <c r="AB440" i="1"/>
  <c r="AC440" i="1"/>
  <c r="AB229" i="1"/>
  <c r="AC229" i="1"/>
  <c r="AB35" i="1"/>
  <c r="AC35" i="1"/>
  <c r="AC127" i="1"/>
  <c r="AB127" i="1"/>
  <c r="AC611" i="1"/>
  <c r="AB611" i="1"/>
  <c r="AB574" i="1"/>
  <c r="AC574" i="1"/>
  <c r="AB460" i="1"/>
  <c r="AC460" i="1"/>
  <c r="AB684" i="1"/>
  <c r="AC684" i="1"/>
  <c r="AB287" i="1"/>
  <c r="AC287" i="1"/>
  <c r="AB346" i="1"/>
  <c r="AC346" i="1"/>
  <c r="AB583" i="1"/>
  <c r="AC583" i="1"/>
  <c r="AC347" i="1"/>
  <c r="AB347" i="1"/>
  <c r="AB472" i="1"/>
  <c r="AC472" i="1"/>
  <c r="AB698" i="1"/>
  <c r="AC698" i="1"/>
  <c r="AB495" i="1"/>
  <c r="AC495" i="1"/>
  <c r="AB56" i="1"/>
  <c r="AC56" i="1"/>
  <c r="AB133" i="1"/>
  <c r="AC133" i="1"/>
  <c r="AB647" i="1"/>
  <c r="AC647" i="1"/>
  <c r="AB496" i="1"/>
  <c r="AC496" i="1"/>
  <c r="AB264" i="1"/>
  <c r="AC264" i="1"/>
  <c r="AB342" i="1"/>
  <c r="AC342" i="1"/>
  <c r="AB397" i="1"/>
  <c r="AC397" i="1"/>
  <c r="AB547" i="1"/>
  <c r="AC547" i="1"/>
  <c r="AC473" i="1"/>
  <c r="AB473" i="1"/>
  <c r="AB333" i="1"/>
  <c r="AC333" i="1"/>
  <c r="AB156" i="1"/>
  <c r="AC156" i="1"/>
  <c r="AC587" i="1"/>
  <c r="AB587" i="1"/>
  <c r="AB190" i="1"/>
  <c r="AC190" i="1"/>
  <c r="AB243" i="1"/>
  <c r="AC243" i="1"/>
  <c r="AC545" i="1"/>
  <c r="AB545" i="1"/>
  <c r="AB439" i="1"/>
  <c r="AC439" i="1"/>
  <c r="AB506" i="1"/>
  <c r="AC506" i="1"/>
  <c r="AB575" i="1"/>
  <c r="AC575" i="1"/>
  <c r="AB226" i="1"/>
  <c r="AC226" i="1"/>
  <c r="AB532" i="1"/>
  <c r="AC532" i="1"/>
  <c r="AC372" i="1"/>
  <c r="AB372" i="1"/>
  <c r="AC324" i="1"/>
  <c r="AB324" i="1"/>
  <c r="AB124" i="1"/>
  <c r="AC124" i="1"/>
  <c r="AC227" i="1"/>
  <c r="AB227" i="1"/>
  <c r="AB441" i="1"/>
  <c r="AC441" i="1"/>
  <c r="AB679" i="1"/>
  <c r="AC679" i="1"/>
  <c r="AB467" i="1"/>
  <c r="AC467" i="1"/>
  <c r="AB293" i="1"/>
  <c r="AC293" i="1"/>
  <c r="AB236" i="1"/>
  <c r="AC236" i="1"/>
  <c r="AB204" i="1"/>
  <c r="AC204" i="1"/>
  <c r="AC544" i="1"/>
  <c r="AB544" i="1"/>
  <c r="AB400" i="1"/>
  <c r="AC400" i="1"/>
  <c r="AB254" i="1"/>
  <c r="AC254" i="1"/>
  <c r="AB65" i="1"/>
  <c r="AC65" i="1"/>
  <c r="AC79" i="1"/>
  <c r="AB79" i="1"/>
  <c r="AB60" i="1"/>
  <c r="AC60" i="1"/>
  <c r="AB74" i="1"/>
  <c r="AC74" i="1"/>
  <c r="AC155" i="1"/>
  <c r="AB155" i="1"/>
  <c r="AB666" i="1"/>
  <c r="AC666" i="1"/>
  <c r="AB606" i="1"/>
  <c r="AC606" i="1"/>
  <c r="AC135" i="1"/>
  <c r="AB135" i="1"/>
  <c r="AB569" i="1"/>
  <c r="AC569" i="1"/>
  <c r="AB642" i="1"/>
  <c r="AC642" i="1"/>
  <c r="AB159" i="1"/>
  <c r="AC159" i="1"/>
  <c r="AB418" i="1"/>
  <c r="AC418" i="1"/>
  <c r="AB147" i="1"/>
  <c r="AC147" i="1"/>
  <c r="AB158" i="1"/>
  <c r="AC158" i="1"/>
  <c r="AB284" i="1"/>
  <c r="AC284" i="1"/>
  <c r="AB160" i="1"/>
  <c r="AC160" i="1"/>
  <c r="AC515" i="1"/>
  <c r="AB515" i="1"/>
  <c r="AC140" i="1"/>
  <c r="AB140" i="1"/>
  <c r="AC24" i="1"/>
  <c r="AB24" i="1"/>
  <c r="AB4" i="1"/>
  <c r="AC4" i="1"/>
  <c r="AB11" i="1"/>
  <c r="AC11" i="1"/>
  <c r="AB266" i="1"/>
  <c r="AC266" i="1"/>
  <c r="AB678" i="1"/>
  <c r="AC678" i="1"/>
  <c r="AC298" i="1"/>
  <c r="AB298" i="1"/>
  <c r="AB350" i="1"/>
  <c r="AC350" i="1"/>
  <c r="AB592" i="1"/>
  <c r="AC592" i="1"/>
  <c r="AC502" i="1"/>
  <c r="AB502" i="1"/>
  <c r="AB475" i="1"/>
  <c r="AC475" i="1"/>
  <c r="AB621" i="1"/>
  <c r="AC621" i="1"/>
  <c r="AC565" i="1"/>
  <c r="AB565" i="1"/>
  <c r="AB5" i="1"/>
  <c r="AC5" i="1"/>
  <c r="AB105" i="1"/>
  <c r="AC105" i="1"/>
  <c r="AB488" i="1"/>
  <c r="AC488" i="1"/>
  <c r="AC272" i="1"/>
  <c r="AB272" i="1"/>
  <c r="AC450" i="1"/>
  <c r="AB450" i="1"/>
  <c r="AC148" i="1"/>
  <c r="AB148" i="1"/>
  <c r="AB263" i="1"/>
  <c r="AC263" i="1"/>
  <c r="AC474" i="1"/>
  <c r="AB474" i="1"/>
  <c r="AB589" i="1"/>
  <c r="AC589" i="1"/>
  <c r="AB500" i="1"/>
  <c r="AC500" i="1"/>
  <c r="AB27" i="1"/>
  <c r="AC27" i="1"/>
  <c r="AB89" i="1"/>
  <c r="AC89" i="1"/>
  <c r="AB146" i="1"/>
  <c r="AC146" i="1"/>
  <c r="AB241" i="1"/>
  <c r="AC241" i="1"/>
  <c r="AB59" i="1"/>
  <c r="AC59" i="1"/>
  <c r="AC283" i="1"/>
  <c r="AB283" i="1"/>
  <c r="AB150" i="1"/>
  <c r="AC150" i="1"/>
  <c r="AC604" i="1"/>
  <c r="AB604" i="1"/>
  <c r="AB535" i="1"/>
  <c r="AC535" i="1"/>
  <c r="AB490" i="1"/>
  <c r="AC490" i="1"/>
  <c r="AB665" i="1"/>
  <c r="AC665" i="1"/>
  <c r="AB95" i="1"/>
  <c r="AC95" i="1"/>
  <c r="AB528" i="1"/>
  <c r="AC528" i="1"/>
  <c r="AB616" i="1"/>
  <c r="AC616" i="1"/>
  <c r="AB594" i="1"/>
  <c r="AC594" i="1"/>
  <c r="AB639" i="1"/>
  <c r="AC639" i="1"/>
  <c r="AC21" i="1"/>
  <c r="AB21" i="1"/>
  <c r="AB356" i="1"/>
  <c r="AC356" i="1"/>
  <c r="AB142" i="1"/>
  <c r="AC142" i="1"/>
  <c r="AC640" i="1"/>
  <c r="AB640" i="1"/>
  <c r="AC685" i="1"/>
  <c r="AB685" i="1"/>
  <c r="AB538" i="1"/>
  <c r="AC538" i="1"/>
  <c r="AB607" i="1"/>
  <c r="AC607" i="1"/>
  <c r="AB394" i="1"/>
  <c r="AC394" i="1"/>
  <c r="AB76" i="1"/>
  <c r="AC76" i="1"/>
  <c r="AC151" i="1"/>
  <c r="AB151" i="1"/>
  <c r="AB374" i="1"/>
  <c r="AC374" i="1"/>
  <c r="AC573" i="1"/>
  <c r="AB573" i="1"/>
  <c r="AB404" i="1"/>
  <c r="AC404" i="1"/>
  <c r="AC387" i="1"/>
  <c r="AB387" i="1"/>
  <c r="AC19" i="1"/>
  <c r="AB19" i="1"/>
  <c r="AB674" i="1"/>
  <c r="AC674" i="1"/>
  <c r="AB205" i="1"/>
  <c r="AC205" i="1"/>
  <c r="AC167" i="1"/>
  <c r="AB167" i="1"/>
  <c r="AC625" i="1"/>
  <c r="AB625" i="1"/>
  <c r="AC676" i="1"/>
  <c r="AB676" i="1"/>
  <c r="AC644" i="1"/>
  <c r="AB644" i="1"/>
  <c r="AB524" i="1"/>
  <c r="AC524" i="1"/>
  <c r="AB268" i="1"/>
  <c r="AC268" i="1"/>
  <c r="AB438" i="1"/>
  <c r="AC438" i="1"/>
  <c r="AB260" i="1"/>
  <c r="AC260" i="1"/>
  <c r="AB25" i="1"/>
  <c r="AC25" i="1"/>
  <c r="AB655" i="1"/>
  <c r="AC655" i="1"/>
  <c r="AB132" i="1"/>
  <c r="AC132" i="1"/>
  <c r="AC385" i="1"/>
  <c r="AB385" i="1"/>
  <c r="AB257" i="1"/>
  <c r="AC257" i="1"/>
  <c r="AC452" i="1"/>
  <c r="AB452" i="1"/>
  <c r="AB242" i="1"/>
  <c r="AC242" i="1"/>
  <c r="AB294" i="1"/>
  <c r="AC294" i="1"/>
  <c r="AB322" i="1"/>
  <c r="AC322" i="1"/>
  <c r="AC39" i="1"/>
  <c r="AB39" i="1"/>
  <c r="AB113" i="1"/>
  <c r="AC113" i="1"/>
  <c r="AB403" i="1"/>
  <c r="AC403" i="1"/>
  <c r="AB277" i="1"/>
  <c r="AC277" i="1"/>
  <c r="AC83" i="1"/>
  <c r="AB83" i="1"/>
  <c r="AC306" i="1"/>
  <c r="AB306" i="1"/>
  <c r="AB51" i="1"/>
  <c r="AC51" i="1"/>
  <c r="AB137" i="1"/>
  <c r="AC137" i="1"/>
  <c r="AC114" i="1"/>
  <c r="AB114" i="1"/>
  <c r="AB149" i="1"/>
  <c r="AC149" i="1"/>
  <c r="AB165" i="1"/>
  <c r="AC165" i="1"/>
  <c r="AB631" i="1"/>
  <c r="AC631" i="1"/>
  <c r="AC75" i="1"/>
  <c r="AB75" i="1"/>
  <c r="AB185" i="1"/>
  <c r="AC185" i="1"/>
  <c r="AB38" i="1"/>
  <c r="AC38" i="1"/>
  <c r="AC23" i="1"/>
  <c r="AB23" i="1"/>
  <c r="AB144" i="1"/>
  <c r="AC144" i="1"/>
  <c r="AB620" i="1"/>
  <c r="AC620" i="1"/>
  <c r="AB220" i="1"/>
  <c r="AC220" i="1"/>
  <c r="AB371" i="1"/>
  <c r="AC371" i="1"/>
  <c r="AB614" i="1"/>
  <c r="AC614" i="1"/>
  <c r="AB85" i="1"/>
  <c r="AC85" i="1"/>
  <c r="AB595" i="1"/>
  <c r="AC595" i="1"/>
  <c r="AB531" i="1"/>
  <c r="AC531" i="1"/>
  <c r="AB92" i="1"/>
  <c r="AC92" i="1"/>
  <c r="AB193" i="1"/>
  <c r="AC193" i="1"/>
  <c r="AB200" i="1"/>
  <c r="AC200" i="1"/>
  <c r="AC384" i="1"/>
  <c r="AB384" i="1"/>
  <c r="AB111" i="1"/>
  <c r="AC111" i="1"/>
  <c r="AB269" i="1"/>
  <c r="AC269" i="1"/>
  <c r="AB110" i="1"/>
  <c r="AC110" i="1"/>
  <c r="AB429" i="1"/>
  <c r="AC429" i="1"/>
  <c r="AB412" i="1"/>
  <c r="AC412" i="1"/>
  <c r="AB626" i="1"/>
  <c r="AC626" i="1"/>
  <c r="AB215" i="1"/>
  <c r="AC215" i="1"/>
  <c r="AB274" i="1"/>
  <c r="AC274" i="1"/>
  <c r="AB702" i="1"/>
  <c r="AC702" i="1"/>
  <c r="AB119" i="1"/>
  <c r="AC119" i="1"/>
  <c r="AB411" i="1"/>
  <c r="AC411" i="1"/>
  <c r="AB368" i="1"/>
  <c r="AC368" i="1"/>
  <c r="AB409" i="1"/>
  <c r="AC409" i="1"/>
  <c r="AB198" i="1"/>
  <c r="AC198" i="1"/>
  <c r="AC214" i="1"/>
  <c r="AB214" i="1"/>
  <c r="AB695" i="1"/>
  <c r="AC695" i="1"/>
  <c r="AB301" i="1"/>
  <c r="AC301" i="1"/>
  <c r="AB94" i="1"/>
  <c r="AC94" i="1"/>
  <c r="AB335" i="1"/>
  <c r="AC335" i="1"/>
  <c r="AB126" i="1"/>
  <c r="AC126" i="1"/>
  <c r="AC497" i="1"/>
  <c r="AB497" i="1"/>
  <c r="AC104" i="1"/>
  <c r="AB104" i="1"/>
  <c r="AB239" i="1"/>
  <c r="AC239" i="1"/>
  <c r="AC210" i="1"/>
  <c r="AB210" i="1"/>
  <c r="AC211" i="1"/>
  <c r="AB211" i="1"/>
  <c r="AC598" i="1"/>
  <c r="AB598" i="1"/>
  <c r="AB192" i="1"/>
  <c r="AC192" i="1"/>
  <c r="AB152" i="1"/>
  <c r="AC152" i="1"/>
  <c r="AC259" i="1"/>
  <c r="AB259" i="1"/>
  <c r="AB636" i="1"/>
  <c r="AC636" i="1"/>
  <c r="AB579" i="1"/>
  <c r="AC579" i="1"/>
  <c r="AB265" i="1"/>
  <c r="AC265" i="1"/>
  <c r="AC240" i="1"/>
  <c r="AB240" i="1"/>
  <c r="AC305" i="1"/>
  <c r="AB305" i="1"/>
  <c r="AC249" i="1"/>
  <c r="AB249" i="1"/>
  <c r="AB668" i="1"/>
  <c r="AC668" i="1"/>
  <c r="AC477" i="1"/>
  <c r="AB477" i="1"/>
  <c r="AC36" i="1"/>
  <c r="AB36" i="1"/>
  <c r="AC292" i="1"/>
  <c r="AB292" i="1"/>
  <c r="AC468" i="1"/>
  <c r="AB468" i="1"/>
  <c r="AB576" i="1"/>
  <c r="AC576" i="1"/>
  <c r="AC82" i="1"/>
  <c r="AB82" i="1"/>
  <c r="AC683" i="1"/>
  <c r="AB683" i="1"/>
  <c r="AB171" i="1"/>
  <c r="AC171" i="1"/>
  <c r="AB401" i="1"/>
  <c r="AC401" i="1"/>
  <c r="AB228" i="1"/>
  <c r="AC228" i="1"/>
  <c r="AC199" i="1"/>
  <c r="AB199" i="1"/>
  <c r="AB605" i="1"/>
  <c r="AC605" i="1"/>
  <c r="AB10" i="1"/>
  <c r="AC10" i="1"/>
  <c r="AB250" i="1"/>
  <c r="AC250" i="1"/>
  <c r="AB662" i="1"/>
  <c r="AC662" i="1"/>
  <c r="AC669" i="1"/>
  <c r="AB669" i="1"/>
  <c r="AB436" i="1"/>
  <c r="AC436" i="1"/>
  <c r="AB656" i="1"/>
  <c r="AC656" i="1"/>
  <c r="AB251" i="1"/>
  <c r="AC251" i="1"/>
  <c r="AB310" i="1"/>
  <c r="AC310" i="1"/>
  <c r="AC645" i="1"/>
  <c r="AB645" i="1"/>
  <c r="AB315" i="1"/>
  <c r="AC315" i="1"/>
  <c r="AB18" i="1"/>
  <c r="AC18" i="1"/>
  <c r="AB701" i="1"/>
  <c r="AC701" i="1"/>
  <c r="AB410" i="1"/>
  <c r="AC410" i="1"/>
  <c r="AB494" i="1"/>
  <c r="AC494" i="1"/>
  <c r="AB505" i="1"/>
  <c r="AC505" i="1"/>
  <c r="AC183" i="1"/>
  <c r="AB183" i="1"/>
  <c r="AB437" i="1"/>
  <c r="AC437" i="1"/>
  <c r="AC247" i="1"/>
  <c r="AB247" i="1"/>
  <c r="AB216" i="1"/>
  <c r="AC216" i="1"/>
  <c r="AC311" i="1"/>
  <c r="AB311" i="1"/>
  <c r="AC235" i="1"/>
  <c r="AB235" i="1"/>
  <c r="AB195" i="1"/>
  <c r="AC195" i="1"/>
  <c r="AB461" i="1"/>
  <c r="AC461" i="1"/>
  <c r="AB337" i="1"/>
  <c r="AC337" i="1"/>
  <c r="AC425" i="1"/>
  <c r="AB425" i="1"/>
  <c r="AB309" i="1"/>
  <c r="AC309" i="1"/>
  <c r="AC115" i="1"/>
  <c r="AB115" i="1"/>
  <c r="AC219" i="1"/>
  <c r="AB219" i="1"/>
  <c r="AB509" i="1"/>
  <c r="AC509" i="1"/>
  <c r="AB355" i="1"/>
  <c r="AC355" i="1"/>
  <c r="AC271" i="1"/>
  <c r="AB271" i="1"/>
  <c r="AB366" i="1"/>
  <c r="AC366" i="1"/>
  <c r="AB463" i="1"/>
  <c r="AC463" i="1"/>
  <c r="AC364" i="1"/>
  <c r="AB364" i="1"/>
  <c r="AB564" i="1"/>
  <c r="AC564" i="1"/>
  <c r="AC138" i="1"/>
  <c r="AB138" i="1"/>
  <c r="AB202" i="1"/>
  <c r="AC202" i="1"/>
  <c r="AB470" i="1"/>
  <c r="AC470" i="1"/>
  <c r="AC675" i="1"/>
  <c r="AB675" i="1"/>
  <c r="AB57" i="1"/>
  <c r="AC57" i="1"/>
  <c r="AC407" i="1"/>
  <c r="AB407" i="1"/>
  <c r="AB414" i="1"/>
  <c r="AC414" i="1"/>
  <c r="AB667" i="1"/>
  <c r="AC667" i="1"/>
  <c r="AC255" i="1"/>
  <c r="AB255" i="1"/>
  <c r="AB593" i="1"/>
  <c r="AC593" i="1"/>
  <c r="AB487" i="1"/>
  <c r="AC487" i="1"/>
  <c r="AB238" i="1"/>
  <c r="AC238" i="1"/>
  <c r="AC556" i="1"/>
  <c r="AB556" i="1"/>
  <c r="AC421" i="1"/>
  <c r="AB421" i="1"/>
  <c r="AB427" i="1"/>
  <c r="AC427" i="1"/>
  <c r="AB511" i="1"/>
  <c r="AC511" i="1"/>
  <c r="AB278" i="1"/>
  <c r="AC278" i="1"/>
  <c r="AB267" i="1"/>
  <c r="AC267" i="1"/>
  <c r="AC43" i="1"/>
  <c r="AB43" i="1"/>
  <c r="AC699" i="1"/>
  <c r="AB699" i="1"/>
  <c r="AB600" i="1"/>
  <c r="AC600" i="1"/>
  <c r="AB700" i="1"/>
  <c r="AC700" i="1"/>
  <c r="AB280" i="1"/>
  <c r="AC280" i="1"/>
  <c r="AB136" i="1"/>
  <c r="AC136" i="1"/>
  <c r="AB246" i="1"/>
  <c r="AC246" i="1"/>
  <c r="AC456" i="1"/>
  <c r="AB456" i="1"/>
  <c r="AB542" i="1"/>
  <c r="AC542" i="1"/>
  <c r="AC163" i="1"/>
  <c r="AB163" i="1"/>
  <c r="AC580" i="1"/>
  <c r="AB580" i="1"/>
  <c r="AC469" i="1"/>
  <c r="AB469" i="1"/>
  <c r="AC457" i="1"/>
  <c r="AB457" i="1"/>
  <c r="AB588" i="1"/>
  <c r="AC588" i="1"/>
  <c r="AB582" i="1"/>
  <c r="AC582" i="1"/>
  <c r="AB459" i="1"/>
  <c r="AC459" i="1"/>
  <c r="AB20" i="1"/>
  <c r="AC20" i="1"/>
  <c r="AB72" i="1"/>
  <c r="AC72" i="1"/>
  <c r="AB601" i="1"/>
  <c r="AC601" i="1"/>
  <c r="AB34" i="1"/>
  <c r="AC34" i="1"/>
  <c r="AB443" i="1"/>
  <c r="AC443" i="1"/>
  <c r="AB327" i="1"/>
  <c r="AC327" i="1"/>
  <c r="AC30" i="1"/>
  <c r="AB30" i="1"/>
  <c r="AC503" i="1"/>
  <c r="AB503" i="1"/>
  <c r="AC428" i="1"/>
  <c r="AB428" i="1"/>
  <c r="AC512" i="1"/>
  <c r="AB512" i="1"/>
  <c r="AB120" i="1"/>
  <c r="AC120" i="1"/>
  <c r="AC339" i="1"/>
  <c r="AB339" i="1"/>
  <c r="AB42" i="1"/>
  <c r="AC42" i="1"/>
  <c r="AB686" i="1"/>
  <c r="AC686" i="1"/>
  <c r="AB52" i="1"/>
  <c r="AC52" i="1"/>
  <c r="AC109" i="1"/>
  <c r="AB109" i="1"/>
  <c r="AB338" i="1"/>
  <c r="AC338" i="1"/>
  <c r="AB363" i="1"/>
  <c r="AC363" i="1"/>
  <c r="AB66" i="1"/>
  <c r="AC66" i="1"/>
  <c r="AB584" i="1"/>
  <c r="AC584" i="1"/>
  <c r="AB476" i="1"/>
  <c r="AC476" i="1"/>
  <c r="AB622" i="1"/>
  <c r="AC622" i="1"/>
  <c r="AB653" i="1"/>
  <c r="AC653" i="1"/>
  <c r="AB508" i="1"/>
  <c r="AC508" i="1"/>
  <c r="AB300" i="1"/>
  <c r="AC300" i="1"/>
  <c r="AB359" i="1"/>
  <c r="AC359" i="1"/>
  <c r="AB415" i="1"/>
  <c r="AC415" i="1"/>
  <c r="AB551" i="1"/>
  <c r="AC551" i="1"/>
  <c r="AB221" i="1"/>
  <c r="AC221" i="1"/>
  <c r="AC201" i="1"/>
  <c r="AB201" i="1"/>
  <c r="AB178" i="1"/>
  <c r="AC178" i="1"/>
  <c r="AB602" i="1"/>
  <c r="AC602" i="1"/>
  <c r="AB206" i="1"/>
  <c r="AC206" i="1"/>
  <c r="AC399" i="1"/>
  <c r="AB399" i="1"/>
  <c r="AC31" i="1"/>
  <c r="AB31" i="1"/>
  <c r="AB61" i="1"/>
  <c r="AC61" i="1"/>
  <c r="AB402" i="1"/>
  <c r="AC402" i="1"/>
  <c r="AC17" i="1"/>
  <c r="AB17" i="1"/>
  <c r="AB703" i="1"/>
  <c r="AC703" i="1"/>
  <c r="AB618" i="1"/>
  <c r="AC618" i="1"/>
  <c r="AB466" i="1"/>
  <c r="AC466" i="1"/>
  <c r="AB482" i="1"/>
  <c r="AC482" i="1"/>
  <c r="AB617" i="1"/>
  <c r="AC617" i="1"/>
  <c r="AB433" i="1"/>
  <c r="AC433" i="1"/>
  <c r="AB557" i="1"/>
  <c r="AC557" i="1"/>
  <c r="AC369" i="1"/>
  <c r="AB369" i="1"/>
  <c r="AB563" i="1"/>
  <c r="AC563" i="1"/>
  <c r="Y2" i="1"/>
  <c r="Z2" i="1"/>
  <c r="AA2" i="1" l="1"/>
  <c r="AC2" i="1" l="1"/>
  <c r="AB2" i="1"/>
</calcChain>
</file>

<file path=xl/sharedStrings.xml><?xml version="1.0" encoding="utf-8"?>
<sst xmlns="http://schemas.openxmlformats.org/spreadsheetml/2006/main" count="2264" uniqueCount="269">
  <si>
    <t>Kode Saham</t>
  </si>
  <si>
    <t>Tahun Laporan</t>
  </si>
  <si>
    <t>EBIT</t>
  </si>
  <si>
    <t>Interest Expense</t>
  </si>
  <si>
    <t>Total Assets</t>
  </si>
  <si>
    <t>Current Assets</t>
  </si>
  <si>
    <t>Total Liabilities Net Minority Interest</t>
  </si>
  <si>
    <t>Current Liabilities</t>
  </si>
  <si>
    <t>Common Stock Equity</t>
  </si>
  <si>
    <t>Retained Earnings</t>
  </si>
  <si>
    <t>Working Capital</t>
  </si>
  <si>
    <t>Operating Cash Flow</t>
  </si>
  <si>
    <t>Total Revenue</t>
  </si>
  <si>
    <t>Net Income</t>
  </si>
  <si>
    <t>Total Debt</t>
  </si>
  <si>
    <t>AALI</t>
  </si>
  <si>
    <t>ADES</t>
  </si>
  <si>
    <t>ADMG</t>
  </si>
  <si>
    <t>AGII</t>
  </si>
  <si>
    <t>AISA</t>
  </si>
  <si>
    <t>AKPI</t>
  </si>
  <si>
    <t>AKRA</t>
  </si>
  <si>
    <t>ALDO</t>
  </si>
  <si>
    <t>AMFG</t>
  </si>
  <si>
    <t>ANDI</t>
  </si>
  <si>
    <t>ANJT</t>
  </si>
  <si>
    <t>APLI</t>
  </si>
  <si>
    <t>ARGO</t>
  </si>
  <si>
    <t>ARNA</t>
  </si>
  <si>
    <t>AUTO</t>
  </si>
  <si>
    <t>AVIA</t>
  </si>
  <si>
    <t>AYAM</t>
  </si>
  <si>
    <t>BACH</t>
  </si>
  <si>
    <t>BAJA</t>
  </si>
  <si>
    <t>BEEF</t>
  </si>
  <si>
    <t>BISI</t>
  </si>
  <si>
    <t>BLES</t>
  </si>
  <si>
    <t>BMSR</t>
  </si>
  <si>
    <t>BOLT</t>
  </si>
  <si>
    <t>BRAM</t>
  </si>
  <si>
    <t>BRNA</t>
  </si>
  <si>
    <t>BRPT</t>
  </si>
  <si>
    <t>BTEK</t>
  </si>
  <si>
    <t>BUDI</t>
  </si>
  <si>
    <t>BWPT</t>
  </si>
  <si>
    <t>CAMP</t>
  </si>
  <si>
    <t>CBUT</t>
  </si>
  <si>
    <t>CEKA</t>
  </si>
  <si>
    <t>CGAS</t>
  </si>
  <si>
    <t>CLEO</t>
  </si>
  <si>
    <t>CLPI</t>
  </si>
  <si>
    <t>CMNT</t>
  </si>
  <si>
    <t>CMRY</t>
  </si>
  <si>
    <t>CPIN</t>
  </si>
  <si>
    <t>CPRO</t>
  </si>
  <si>
    <t>CSRA</t>
  </si>
  <si>
    <t>CTTH</t>
  </si>
  <si>
    <t>DGWG</t>
  </si>
  <si>
    <t>DLTA</t>
  </si>
  <si>
    <t>DMND</t>
  </si>
  <si>
    <t>DPUM</t>
  </si>
  <si>
    <t>DRMA</t>
  </si>
  <si>
    <t>DSNG</t>
  </si>
  <si>
    <t>DVLA</t>
  </si>
  <si>
    <t>ESSA</t>
  </si>
  <si>
    <t>EURO</t>
  </si>
  <si>
    <t>FAPA</t>
  </si>
  <si>
    <t>FPNI</t>
  </si>
  <si>
    <t>GDST</t>
  </si>
  <si>
    <t>GEMA</t>
  </si>
  <si>
    <t>GGRM</t>
  </si>
  <si>
    <t>GGRP</t>
  </si>
  <si>
    <t>GJTL</t>
  </si>
  <si>
    <t>GMFI</t>
  </si>
  <si>
    <t>GOOD</t>
  </si>
  <si>
    <t>GZCO</t>
  </si>
  <si>
    <t>HMSP</t>
  </si>
  <si>
    <t>HOKI</t>
  </si>
  <si>
    <t>ICBP</t>
  </si>
  <si>
    <t>IFII</t>
  </si>
  <si>
    <t>IGAR</t>
  </si>
  <si>
    <t>IKAI</t>
  </si>
  <si>
    <t>IKBI</t>
  </si>
  <si>
    <t>IMPC</t>
  </si>
  <si>
    <t>INAI</t>
  </si>
  <si>
    <t>INDF</t>
  </si>
  <si>
    <t>INDR</t>
  </si>
  <si>
    <t>INDS</t>
  </si>
  <si>
    <t>INKP</t>
  </si>
  <si>
    <t>INTP</t>
  </si>
  <si>
    <t>IPOL</t>
  </si>
  <si>
    <t>ISSP</t>
  </si>
  <si>
    <t>JARR</t>
  </si>
  <si>
    <t>JAWA</t>
  </si>
  <si>
    <t>JECC</t>
  </si>
  <si>
    <t>JELI</t>
  </si>
  <si>
    <t>JPFA</t>
  </si>
  <si>
    <t>KBLI</t>
  </si>
  <si>
    <t>KEJU</t>
  </si>
  <si>
    <t>KETR</t>
  </si>
  <si>
    <t>KINO</t>
  </si>
  <si>
    <t>KLBF</t>
  </si>
  <si>
    <t>KMTR</t>
  </si>
  <si>
    <t>KRAS</t>
  </si>
  <si>
    <t>LSIP</t>
  </si>
  <si>
    <t>LTLS</t>
  </si>
  <si>
    <t>MAIN</t>
  </si>
  <si>
    <t>MARK</t>
  </si>
  <si>
    <t>MCAS</t>
  </si>
  <si>
    <t>MERK</t>
  </si>
  <si>
    <t>MGLV</t>
  </si>
  <si>
    <t>MGRO</t>
  </si>
  <si>
    <t>MICE</t>
  </si>
  <si>
    <t>MKTR</t>
  </si>
  <si>
    <t>MLBI</t>
  </si>
  <si>
    <t>MLIA</t>
  </si>
  <si>
    <t>MOLI</t>
  </si>
  <si>
    <t>MRAT</t>
  </si>
  <si>
    <t>MSJA</t>
  </si>
  <si>
    <t>MYOR</t>
  </si>
  <si>
    <t>NAIK</t>
  </si>
  <si>
    <t>NEST</t>
  </si>
  <si>
    <t>NIKL</t>
  </si>
  <si>
    <t>NSSS</t>
  </si>
  <si>
    <t>OMED</t>
  </si>
  <si>
    <t>PACK</t>
  </si>
  <si>
    <t>PBID</t>
  </si>
  <si>
    <t>PBRX</t>
  </si>
  <si>
    <t>PCAR</t>
  </si>
  <si>
    <t>PDPP</t>
  </si>
  <si>
    <t>PEHA</t>
  </si>
  <si>
    <t>PGUN</t>
  </si>
  <si>
    <t>PICO</t>
  </si>
  <si>
    <t>PIPA</t>
  </si>
  <si>
    <t>PNGO</t>
  </si>
  <si>
    <t>POLU</t>
  </si>
  <si>
    <t>PSGO</t>
  </si>
  <si>
    <t>PTMP</t>
  </si>
  <si>
    <t>PTSN</t>
  </si>
  <si>
    <t>PYFA</t>
  </si>
  <si>
    <t>RICY</t>
  </si>
  <si>
    <t>RLCO</t>
  </si>
  <si>
    <t>ROTI</t>
  </si>
  <si>
    <t>SAMF</t>
  </si>
  <si>
    <t>SCCO</t>
  </si>
  <si>
    <t>SGRO</t>
  </si>
  <si>
    <t>SIDO</t>
  </si>
  <si>
    <t>SIMP</t>
  </si>
  <si>
    <t>SINI</t>
  </si>
  <si>
    <t>SIPD</t>
  </si>
  <si>
    <t>SKBM</t>
  </si>
  <si>
    <t>SKLT</t>
  </si>
  <si>
    <t>SMAR</t>
  </si>
  <si>
    <t>SMBR</t>
  </si>
  <si>
    <t>SMGR</t>
  </si>
  <si>
    <t>SMSM</t>
  </si>
  <si>
    <t>SPMA</t>
  </si>
  <si>
    <t>SPTO</t>
  </si>
  <si>
    <t>SRSN</t>
  </si>
  <si>
    <t>SSMS</t>
  </si>
  <si>
    <t>SSTM</t>
  </si>
  <si>
    <t>STAA</t>
  </si>
  <si>
    <t>STRK</t>
  </si>
  <si>
    <t>STTP</t>
  </si>
  <si>
    <t>SULI</t>
  </si>
  <si>
    <t>SURI</t>
  </si>
  <si>
    <t>TAPG</t>
  </si>
  <si>
    <t>TBLA</t>
  </si>
  <si>
    <t>TCID</t>
  </si>
  <si>
    <t>TFCO</t>
  </si>
  <si>
    <t>TKIM</t>
  </si>
  <si>
    <t>TLDN</t>
  </si>
  <si>
    <t>TOTO</t>
  </si>
  <si>
    <t>TPIA</t>
  </si>
  <si>
    <t>TRGU</t>
  </si>
  <si>
    <t>TRST</t>
  </si>
  <si>
    <t>UCID</t>
  </si>
  <si>
    <t>UDNG</t>
  </si>
  <si>
    <t>ULTJ</t>
  </si>
  <si>
    <t>UNIC</t>
  </si>
  <si>
    <t>UNTD</t>
  </si>
  <si>
    <t>UNVR</t>
  </si>
  <si>
    <t>VICI</t>
  </si>
  <si>
    <t>VKTR</t>
  </si>
  <si>
    <t>WIIM</t>
  </si>
  <si>
    <t>WINE</t>
  </si>
  <si>
    <t>WMUU</t>
  </si>
  <si>
    <t>WOOD</t>
  </si>
  <si>
    <t>WTON</t>
  </si>
  <si>
    <t>YPAS</t>
  </si>
  <si>
    <t>YUPI</t>
  </si>
  <si>
    <t>Z"</t>
  </si>
  <si>
    <t>Z status</t>
  </si>
  <si>
    <t>distress</t>
  </si>
  <si>
    <t>WC_TA</t>
  </si>
  <si>
    <t>RE_TA</t>
  </si>
  <si>
    <t>EBIT_TA</t>
  </si>
  <si>
    <t>Tabel Keterangan Indikator Distress</t>
  </si>
  <si>
    <t>Indikasi distress berdasarkan kriteria</t>
  </si>
  <si>
    <t>Keterangan</t>
  </si>
  <si>
    <t>EBIT &lt; 0</t>
  </si>
  <si>
    <t>TIE &lt; 1</t>
  </si>
  <si>
    <t>CFO &lt; 0</t>
  </si>
  <si>
    <t>CE &lt; 0</t>
  </si>
  <si>
    <t>Laba operasi (Earnings Before Interest and Taxes) bernilai negatif. Digunakan threshold 1 tahun saja agar total sampel observasi emiten tetap berlimpah dan memadai saat dilatih oleh algoritma komputasi.</t>
  </si>
  <si>
    <t>TIE = Times Interest Earned = EBIT / INT. Jika kurang dari 1, artinya laba operasi tidak mencukupi untuk membayar kewajiban beban bunga (INT).</t>
  </si>
  <si>
    <t>Arus Kas dari Operasi (Cash Flow from Operations) bernilai negatif. Menandakan perputaran kas dari siklus produksi pabrik dan penjualan tersendat.</t>
  </si>
  <si>
    <t>Capital Equity (Total Ekuitas) bernilai negatif. Terjadi akibat akumulasi kerugian menahun yang menggerus seluruh modal disetor.</t>
  </si>
  <si>
    <t>NWC &lt; 0 (Tambahan krusial untuk manufaktur)</t>
  </si>
  <si>
    <t>Net Working Capital (Aset Lancar - Liabilitas Lancar) bernilai negatif. Menunjukkan gagalnya likuiditas dalam mendanai pembelian bahan baku harian.</t>
  </si>
  <si>
    <t>CE_TL</t>
  </si>
  <si>
    <t>status</t>
  </si>
  <si>
    <t>koefosien baru</t>
  </si>
  <si>
    <t>NI_TA</t>
  </si>
  <si>
    <t>CA_CL</t>
  </si>
  <si>
    <t>TD_TA</t>
  </si>
  <si>
    <t>TD_CE</t>
  </si>
  <si>
    <t>TL_CE</t>
  </si>
  <si>
    <t>TL_TA</t>
  </si>
  <si>
    <t>CFO_TA</t>
  </si>
  <si>
    <t>CFO_TD</t>
  </si>
  <si>
    <t>TR_TA</t>
  </si>
  <si>
    <t>DTD</t>
  </si>
  <si>
    <t>DCE</t>
  </si>
  <si>
    <t>DCFO</t>
  </si>
  <si>
    <t>distress (1)</t>
  </si>
  <si>
    <t>non distress(0)</t>
  </si>
  <si>
    <t>total</t>
  </si>
  <si>
    <t>Z" = 6.56X1 + 3.26X2 + 6.72X3 + 1.05X4</t>
  </si>
  <si>
    <t>dimana:</t>
  </si>
  <si>
    <t>X1 = (CA − CL) / TA</t>
  </si>
  <si>
    <t>X2 =  RE / TA</t>
  </si>
  <si>
    <t>X3 = EBIT / TA</t>
  </si>
  <si>
    <t>X4 = CE / TL</t>
  </si>
  <si>
    <t>Bila Z" &lt;= 1.1, maka terdapat indikasi distress</t>
  </si>
  <si>
    <t>Distress (kesulitan keuangan) = 1 bila memenuhi salah satu dari keempat kriteria tersebut.</t>
  </si>
  <si>
    <t>Perhitungan Z" (skoring Altman) memperkirakan distress dengan caranya sendiri.</t>
  </si>
  <si>
    <t xml:space="preserve">Skoring Altman Internasional (2017) berdasarkan persamaan: </t>
  </si>
  <si>
    <t>Safe</t>
  </si>
  <si>
    <t>Grey Area</t>
  </si>
  <si>
    <t>Distress</t>
  </si>
  <si>
    <t>rata-rata x1</t>
  </si>
  <si>
    <t>rata-rata x2</t>
  </si>
  <si>
    <t>rata-rata x3</t>
  </si>
  <si>
    <t>rata-rata x4</t>
  </si>
  <si>
    <t>selisih</t>
  </si>
  <si>
    <t>kelompok 0</t>
  </si>
  <si>
    <t>non distress</t>
  </si>
  <si>
    <t>x1</t>
  </si>
  <si>
    <t>x2</t>
  </si>
  <si>
    <t>x3</t>
  </si>
  <si>
    <t>x4</t>
  </si>
  <si>
    <t>kelompok 1</t>
  </si>
  <si>
    <t>membuat matriks kovarian</t>
  </si>
  <si>
    <t>Invers Matriks</t>
  </si>
  <si>
    <t>Matriks Pooled (SW)</t>
  </si>
  <si>
    <t>mencari titik cut off</t>
  </si>
  <si>
    <t>cut off (0)</t>
  </si>
  <si>
    <t>cut off (1)</t>
  </si>
  <si>
    <t>hitung cut off</t>
  </si>
  <si>
    <t>z status</t>
  </si>
  <si>
    <t>target y</t>
  </si>
  <si>
    <t>margin awal</t>
  </si>
  <si>
    <t>po (probabilitas)</t>
  </si>
  <si>
    <t>gradient</t>
  </si>
  <si>
    <t>hesian</t>
  </si>
  <si>
    <t>split dan bobot w</t>
  </si>
  <si>
    <t>node kiri</t>
  </si>
  <si>
    <t>node kanan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</si>
</sst>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43" fontId="1" fillId="0" borderId="2" xfId="1" applyFont="1" applyFill="1" applyBorder="1" applyAlignment="1">
      <alignment horizontal="center" vertical="top"/>
    </xf>
    <xf numFmtId="43" fontId="1" fillId="0" borderId="3" xfId="1" applyFont="1" applyFill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0" fillId="0" borderId="0" xfId="0" applyAlignment="1">
      <alignment horizontal="right"/>
    </xf>
    <xf numFmtId="9" fontId="0" fillId="0" borderId="0" xfId="2" applyFont="1"/>
    <xf numFmtId="0" fontId="0" fillId="2" borderId="0" xfId="0" applyFill="1"/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43" fontId="0" fillId="0" borderId="0" xfId="0" applyNumberFormat="1"/>
    <xf numFmtId="43" fontId="1" fillId="0" borderId="0" xfId="1" applyFont="1" applyFill="1" applyBorder="1" applyAlignment="1">
      <alignment horizontal="center"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579120</xdr:colOff>
      <xdr:row>9</xdr:row>
      <xdr:rowOff>121920</xdr:rowOff>
    </xdr:from>
    <xdr:to>
      <xdr:col>18</xdr:col>
      <xdr:colOff>320040</xdr:colOff>
      <xdr:row>9</xdr:row>
      <xdr:rowOff>129540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339C090-BF54-48D1-A5EC-D93A1AC61E60}"/>
            </a:ext>
          </a:extLst>
        </xdr:cNvPr>
        <xdr:cNvCxnSpPr/>
      </xdr:nvCxnSpPr>
      <xdr:spPr>
        <a:xfrm flipV="1">
          <a:off x="9723120" y="1767840"/>
          <a:ext cx="14737080" cy="762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282"/>
  <sheetViews>
    <sheetView tabSelected="1" zoomScale="64" zoomScaleNormal="85" workbookViewId="0">
      <selection sqref="A1:B1048576"/>
    </sheetView>
  </sheetViews>
  <sheetFormatPr defaultRowHeight="14.4" x14ac:dyDescent="0.3"/>
  <cols>
    <col min="1" max="1" width="11.5546875" bestFit="1" customWidth="1"/>
    <col min="2" max="2" width="13.77734375" bestFit="1" customWidth="1"/>
    <col min="3" max="3" width="22.44140625" style="3" bestFit="1" customWidth="1"/>
    <col min="4" max="4" width="21.44140625" style="3" bestFit="1" customWidth="1"/>
    <col min="5" max="5" width="23.77734375" style="3" bestFit="1" customWidth="1"/>
    <col min="6" max="6" width="22.44140625" style="3" customWidth="1"/>
    <col min="7" max="7" width="34.6640625" style="3" bestFit="1" customWidth="1"/>
    <col min="8" max="9" width="22.44140625" style="3" customWidth="1"/>
    <col min="10" max="10" width="22.77734375" style="3" customWidth="1"/>
    <col min="11" max="11" width="22.88671875" style="3" customWidth="1"/>
    <col min="12" max="12" width="18.33203125" bestFit="1" customWidth="1"/>
    <col min="13" max="13" width="23.77734375" style="3" bestFit="1" customWidth="1"/>
    <col min="14" max="15" width="22.44140625" style="3" bestFit="1" customWidth="1"/>
    <col min="19" max="22" width="13.88671875" bestFit="1" customWidth="1"/>
    <col min="24" max="24" width="15.6640625" bestFit="1" customWidth="1"/>
    <col min="25" max="26" width="12.6640625" bestFit="1" customWidth="1"/>
    <col min="27" max="27" width="14.21875" bestFit="1" customWidth="1"/>
    <col min="28" max="28" width="13.44140625" customWidth="1"/>
    <col min="31" max="31" width="9.33203125" bestFit="1" customWidth="1"/>
    <col min="32" max="32" width="13.33203125" bestFit="1" customWidth="1"/>
    <col min="33" max="33" width="16.77734375" bestFit="1" customWidth="1"/>
    <col min="34" max="34" width="9.6640625" bestFit="1" customWidth="1"/>
    <col min="36" max="36" width="17.44140625" bestFit="1" customWidth="1"/>
  </cols>
  <sheetData>
    <row r="1" spans="1:53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4" t="s">
        <v>191</v>
      </c>
      <c r="Q1" s="4" t="s">
        <v>192</v>
      </c>
      <c r="R1" s="4" t="s">
        <v>211</v>
      </c>
      <c r="S1" s="4" t="s">
        <v>194</v>
      </c>
      <c r="T1" s="4" t="s">
        <v>195</v>
      </c>
      <c r="U1" s="4" t="s">
        <v>196</v>
      </c>
      <c r="V1" s="4" t="s">
        <v>210</v>
      </c>
      <c r="X1" s="5" t="s">
        <v>212</v>
      </c>
      <c r="Y1" s="5" t="s">
        <v>257</v>
      </c>
      <c r="Z1" s="5" t="s">
        <v>258</v>
      </c>
      <c r="AA1" s="5" t="s">
        <v>259</v>
      </c>
      <c r="AB1" s="5" t="s">
        <v>211</v>
      </c>
      <c r="AC1" s="5" t="s">
        <v>260</v>
      </c>
      <c r="AE1" s="14" t="s">
        <v>261</v>
      </c>
      <c r="AF1" s="14" t="s">
        <v>262</v>
      </c>
      <c r="AG1" s="14" t="s">
        <v>263</v>
      </c>
      <c r="AH1" s="14" t="s">
        <v>264</v>
      </c>
      <c r="AI1" s="14" t="s">
        <v>265</v>
      </c>
      <c r="AJ1" s="14" t="s">
        <v>266</v>
      </c>
      <c r="AN1" s="6" t="s">
        <v>213</v>
      </c>
      <c r="AO1" s="6" t="s">
        <v>196</v>
      </c>
      <c r="AP1" s="6" t="s">
        <v>214</v>
      </c>
      <c r="AQ1" s="6" t="s">
        <v>194</v>
      </c>
      <c r="AR1" s="6" t="s">
        <v>215</v>
      </c>
      <c r="AS1" s="6" t="s">
        <v>216</v>
      </c>
      <c r="AT1" s="6" t="s">
        <v>217</v>
      </c>
      <c r="AU1" s="6" t="s">
        <v>218</v>
      </c>
      <c r="AV1" s="6" t="s">
        <v>219</v>
      </c>
      <c r="AW1" s="6" t="s">
        <v>220</v>
      </c>
      <c r="AX1" s="6" t="s">
        <v>221</v>
      </c>
      <c r="AY1" s="6" t="s">
        <v>222</v>
      </c>
      <c r="AZ1" s="6" t="s">
        <v>223</v>
      </c>
      <c r="BA1" s="6" t="s">
        <v>224</v>
      </c>
    </row>
    <row r="2" spans="1:53" x14ac:dyDescent="0.3">
      <c r="A2" t="s">
        <v>15</v>
      </c>
      <c r="B2">
        <v>2025</v>
      </c>
      <c r="C2" s="3">
        <v>2364315000000</v>
      </c>
      <c r="D2" s="3">
        <v>137587000000</v>
      </c>
      <c r="E2" s="3">
        <v>27047104000000</v>
      </c>
      <c r="F2" s="3">
        <v>8662790000000</v>
      </c>
      <c r="G2" s="3">
        <v>2889470000000</v>
      </c>
      <c r="H2" s="3">
        <v>2000352000000</v>
      </c>
      <c r="I2" s="3">
        <v>23556137000000</v>
      </c>
      <c r="J2" s="3">
        <v>18555742000000</v>
      </c>
      <c r="K2" s="3">
        <v>6662438000000</v>
      </c>
      <c r="M2" s="3">
        <v>28654648000000</v>
      </c>
      <c r="N2" s="3">
        <v>1471714000000</v>
      </c>
      <c r="O2" s="3">
        <v>0</v>
      </c>
      <c r="P2">
        <f>6.56*(F2-H2)/E2+3.26*J2/E2+6.72*C2/E2+1.05*I2/G2</f>
        <v>12.999893599346805</v>
      </c>
      <c r="Q2">
        <f>IF(VALUE(TRIM(P2))&lt;=1.1, 1, 0)</f>
        <v>0</v>
      </c>
      <c r="R2" t="str">
        <f t="shared" ref="R2:R65" si="0">IF(P2&lt;1.1, "Distress", IF(P2&lt;=2.6, "Grey Area", "Safe"))</f>
        <v>Safe</v>
      </c>
      <c r="S2">
        <f>MAX(-2,MIN(K2/E2,2))</f>
        <v>0.24632722231555734</v>
      </c>
      <c r="T2">
        <f xml:space="preserve"> J2/E2</f>
        <v>0.68605282103400056</v>
      </c>
      <c r="U2">
        <f>C2/E2</f>
        <v>8.7414719150708337E-2</v>
      </c>
      <c r="V2">
        <f>I2/G2</f>
        <v>8.1524075349458549</v>
      </c>
      <c r="X2" s="13">
        <f t="shared" ref="X2:X65" si="1">(S2 * $T$729) + (T2 * $T$730) + (U2 * $T$731) + (V2 * $T$732)</f>
        <v>4.5272296929862259</v>
      </c>
      <c r="Y2">
        <f>AVERAGEIF(Q2:Q704, 0, X2:X704)</f>
        <v>3.2189437328322903</v>
      </c>
      <c r="Z2">
        <f>AVERAGEIF(Q2:Q704, 1, X2:X704)</f>
        <v>-2.4501806429955639</v>
      </c>
      <c r="AA2">
        <f>(Y2 + Z2) / 2</f>
        <v>0.38438154491836318</v>
      </c>
      <c r="AB2" t="str">
        <f>IF(X2 &lt; AA2, "Distress", "Non-Distress")</f>
        <v>Non-Distress</v>
      </c>
      <c r="AC2">
        <f>IF(X2 &lt; AA2, 1, 0)</f>
        <v>0</v>
      </c>
      <c r="AE2">
        <f>IF(VALUE(TRIM(P2))&lt;=1.1, 1, 0)</f>
        <v>0</v>
      </c>
      <c r="AG2" s="13">
        <f>1/(1+EXP(-Q2))</f>
        <v>0.5</v>
      </c>
      <c r="AH2" s="13">
        <f>AG2-Q2</f>
        <v>0.5</v>
      </c>
      <c r="AI2">
        <f>AG2*(1-AG2)</f>
        <v>0.25</v>
      </c>
    </row>
    <row r="3" spans="1:53" x14ac:dyDescent="0.3">
      <c r="A3" t="s">
        <v>15</v>
      </c>
      <c r="B3">
        <v>2024</v>
      </c>
      <c r="C3" s="3">
        <v>1961859000000</v>
      </c>
      <c r="D3" s="3">
        <v>254731000000</v>
      </c>
      <c r="E3" s="3">
        <v>28793225000000</v>
      </c>
      <c r="F3" s="3">
        <v>8433638000000</v>
      </c>
      <c r="G3" s="3">
        <v>5591163000000</v>
      </c>
      <c r="H3" s="3">
        <v>3237653000000</v>
      </c>
      <c r="I3" s="3">
        <v>22641918000000</v>
      </c>
      <c r="J3" s="3">
        <v>17641523000000</v>
      </c>
      <c r="K3" s="3">
        <v>5195985000000</v>
      </c>
      <c r="M3" s="3">
        <v>21815035000000</v>
      </c>
      <c r="N3" s="3">
        <v>1147547000000</v>
      </c>
      <c r="O3" s="3">
        <v>3189537000000</v>
      </c>
      <c r="P3">
        <f t="shared" ref="P3:P53" si="2">6.56*(F3-H3)/E3+3.26*J3/E3+6.72*C3/E3+1.05*I3/G3</f>
        <v>7.8911450216384882</v>
      </c>
      <c r="Q3">
        <f t="shared" ref="Q3:Q53" si="3">IF(VALUE(TRIM(P3))&lt;=1.1, 1, 0)</f>
        <v>0</v>
      </c>
      <c r="R3" t="str">
        <f t="shared" si="0"/>
        <v>Safe</v>
      </c>
      <c r="S3">
        <f t="shared" ref="S3:S53" si="4">MAX(-2,MIN(K3/E3,2))</f>
        <v>0.18045859746520232</v>
      </c>
      <c r="T3">
        <f t="shared" ref="T3:T53" si="5" xml:space="preserve"> J3/E3</f>
        <v>0.61269701466230342</v>
      </c>
      <c r="U3">
        <f t="shared" ref="U3:U53" si="6">C3/E3</f>
        <v>6.8136132718721154E-2</v>
      </c>
      <c r="V3">
        <f t="shared" ref="V3:V53" si="7">I3/G3</f>
        <v>4.0495900405693774</v>
      </c>
      <c r="X3" s="13">
        <f t="shared" si="1"/>
        <v>3.6147006259864889</v>
      </c>
      <c r="Y3" s="10"/>
      <c r="Z3" s="10"/>
      <c r="AB3" s="10" t="str">
        <f t="shared" ref="AB3:AB66" si="8">IF(X3 &lt; AA3, "Distress", "Non-Distress")</f>
        <v>Non-Distress</v>
      </c>
      <c r="AC3" s="10">
        <f t="shared" ref="AC3:AC66" si="9">IF(X3 &lt; AA3, 1, 0)</f>
        <v>0</v>
      </c>
      <c r="AE3" s="10">
        <f t="shared" ref="AE3:AE66" si="10">IF(VALUE(TRIM(P3))&lt;=1.1, 1, 0)</f>
        <v>0</v>
      </c>
      <c r="AG3" s="13">
        <f t="shared" ref="AG3:AG66" si="11">1/(1+EXP(-Q3))</f>
        <v>0.5</v>
      </c>
      <c r="AH3" s="13">
        <f t="shared" ref="AH3:AH66" si="12">AG3-Q3</f>
        <v>0.5</v>
      </c>
      <c r="AI3" s="10">
        <f t="shared" ref="AI3:AI66" si="13">AG3*(1-AG3)</f>
        <v>0.25</v>
      </c>
      <c r="AJ3" t="s">
        <v>267</v>
      </c>
    </row>
    <row r="4" spans="1:53" x14ac:dyDescent="0.3">
      <c r="A4" t="s">
        <v>15</v>
      </c>
      <c r="B4">
        <v>2023</v>
      </c>
      <c r="C4" s="3">
        <v>1753833000000</v>
      </c>
      <c r="D4" s="3">
        <v>255431000000</v>
      </c>
      <c r="E4" s="3">
        <v>28846243000000</v>
      </c>
      <c r="F4" s="3">
        <v>7118202000000</v>
      </c>
      <c r="G4" s="3">
        <v>6280237000000</v>
      </c>
      <c r="H4" s="3">
        <v>3882141000000</v>
      </c>
      <c r="I4" s="3">
        <v>22016045000000</v>
      </c>
      <c r="J4" s="3">
        <v>17026742000000</v>
      </c>
      <c r="K4" s="3">
        <v>3236061000000</v>
      </c>
      <c r="M4" s="3">
        <v>20745473000000</v>
      </c>
      <c r="N4" s="3">
        <v>1055897000000</v>
      </c>
      <c r="O4" s="3">
        <v>4005052000000</v>
      </c>
      <c r="P4">
        <f t="shared" si="2"/>
        <v>6.7496234590305981</v>
      </c>
      <c r="Q4">
        <f t="shared" si="3"/>
        <v>0</v>
      </c>
      <c r="R4" t="str">
        <f t="shared" si="0"/>
        <v>Safe</v>
      </c>
      <c r="S4">
        <f t="shared" si="4"/>
        <v>0.11218310127942831</v>
      </c>
      <c r="T4">
        <f t="shared" si="5"/>
        <v>0.5902585650408616</v>
      </c>
      <c r="U4">
        <f t="shared" si="6"/>
        <v>6.0799356089456781E-2</v>
      </c>
      <c r="V4">
        <f t="shared" si="7"/>
        <v>3.5056073520792288</v>
      </c>
      <c r="X4" s="13">
        <f t="shared" si="1"/>
        <v>3.0649998643185352</v>
      </c>
      <c r="Y4" s="10"/>
      <c r="Z4" s="10"/>
      <c r="AB4" s="10" t="str">
        <f t="shared" si="8"/>
        <v>Non-Distress</v>
      </c>
      <c r="AC4" s="10">
        <f t="shared" si="9"/>
        <v>0</v>
      </c>
      <c r="AE4" s="10">
        <f t="shared" si="10"/>
        <v>0</v>
      </c>
      <c r="AG4" s="13">
        <f t="shared" si="11"/>
        <v>0.5</v>
      </c>
      <c r="AH4" s="13">
        <f t="shared" si="12"/>
        <v>0.5</v>
      </c>
      <c r="AI4" s="10">
        <f t="shared" si="13"/>
        <v>0.25</v>
      </c>
      <c r="AJ4" s="13">
        <f>AH3+AH4</f>
        <v>1</v>
      </c>
    </row>
    <row r="5" spans="1:53" x14ac:dyDescent="0.3">
      <c r="A5" t="s">
        <v>15</v>
      </c>
      <c r="B5">
        <v>2022</v>
      </c>
      <c r="C5" s="3">
        <v>2777558000000</v>
      </c>
      <c r="D5" s="3">
        <v>348380000000</v>
      </c>
      <c r="E5" s="3">
        <v>29249340000000</v>
      </c>
      <c r="F5" s="3">
        <v>7390608000000</v>
      </c>
      <c r="G5" s="3">
        <v>7006119000000</v>
      </c>
      <c r="H5" s="3">
        <v>2052939000000</v>
      </c>
      <c r="I5" s="3">
        <v>21684037000000</v>
      </c>
      <c r="J5" s="3">
        <v>16727788000000</v>
      </c>
      <c r="K5" s="3">
        <v>5337669000000</v>
      </c>
      <c r="M5" s="3">
        <v>21828591000000</v>
      </c>
      <c r="N5" s="3">
        <v>1726607000000</v>
      </c>
      <c r="O5" s="3">
        <v>4053767000000</v>
      </c>
      <c r="P5">
        <f t="shared" si="2"/>
        <v>6.9494341609539125</v>
      </c>
      <c r="Q5">
        <f t="shared" si="3"/>
        <v>0</v>
      </c>
      <c r="R5" t="str">
        <f t="shared" si="0"/>
        <v>Safe</v>
      </c>
      <c r="S5">
        <f t="shared" si="4"/>
        <v>0.1824885279462716</v>
      </c>
      <c r="T5">
        <f t="shared" si="5"/>
        <v>0.57190309251422422</v>
      </c>
      <c r="U5">
        <f t="shared" si="6"/>
        <v>9.4961390581804583E-2</v>
      </c>
      <c r="V5">
        <f t="shared" si="7"/>
        <v>3.0950140869716884</v>
      </c>
      <c r="X5" s="13">
        <f t="shared" si="1"/>
        <v>3.5821557575397249</v>
      </c>
      <c r="Y5" s="10"/>
      <c r="Z5" s="10"/>
      <c r="AB5" s="10" t="str">
        <f t="shared" si="8"/>
        <v>Non-Distress</v>
      </c>
      <c r="AC5" s="10">
        <f t="shared" si="9"/>
        <v>0</v>
      </c>
      <c r="AE5" s="10">
        <f t="shared" si="10"/>
        <v>0</v>
      </c>
      <c r="AG5" s="13">
        <f t="shared" si="11"/>
        <v>0.5</v>
      </c>
      <c r="AH5" s="13">
        <f t="shared" si="12"/>
        <v>0.5</v>
      </c>
      <c r="AI5" s="10">
        <f t="shared" si="13"/>
        <v>0.25</v>
      </c>
      <c r="AJ5" t="s">
        <v>268</v>
      </c>
    </row>
    <row r="6" spans="1:53" x14ac:dyDescent="0.3">
      <c r="A6" t="s">
        <v>16</v>
      </c>
      <c r="B6">
        <v>2025</v>
      </c>
      <c r="C6" s="3">
        <v>937223000000</v>
      </c>
      <c r="D6" s="3">
        <v>44000000</v>
      </c>
      <c r="E6" s="3">
        <v>3568781000000</v>
      </c>
      <c r="F6" s="3">
        <v>2070722000000</v>
      </c>
      <c r="G6" s="3">
        <v>568078000000</v>
      </c>
      <c r="H6" s="3">
        <v>513128000000</v>
      </c>
      <c r="I6" s="3">
        <v>3000703000000</v>
      </c>
      <c r="J6" s="3">
        <v>2176377000000</v>
      </c>
      <c r="K6" s="3">
        <v>1557594000000</v>
      </c>
      <c r="M6" s="3">
        <v>2726974000000</v>
      </c>
      <c r="N6" s="3">
        <v>741580000000</v>
      </c>
      <c r="O6" s="3">
        <v>7000000</v>
      </c>
      <c r="P6">
        <f t="shared" si="2"/>
        <v>12.16228149792054</v>
      </c>
      <c r="Q6">
        <f t="shared" si="3"/>
        <v>0</v>
      </c>
      <c r="R6" t="str">
        <f t="shared" si="0"/>
        <v>Safe</v>
      </c>
      <c r="S6">
        <f t="shared" si="4"/>
        <v>0.43644986901689958</v>
      </c>
      <c r="T6">
        <f t="shared" si="5"/>
        <v>0.60983764484287495</v>
      </c>
      <c r="U6">
        <f t="shared" si="6"/>
        <v>0.26261712332586395</v>
      </c>
      <c r="V6">
        <f t="shared" si="7"/>
        <v>5.282202444030573</v>
      </c>
      <c r="X6" s="13">
        <f t="shared" si="1"/>
        <v>6.1636576978276905</v>
      </c>
      <c r="Y6" s="10"/>
      <c r="Z6" s="10"/>
      <c r="AB6" s="10" t="str">
        <f t="shared" si="8"/>
        <v>Non-Distress</v>
      </c>
      <c r="AC6" s="10">
        <f t="shared" si="9"/>
        <v>0</v>
      </c>
      <c r="AE6" s="10">
        <f t="shared" si="10"/>
        <v>0</v>
      </c>
      <c r="AG6" s="13">
        <f t="shared" si="11"/>
        <v>0.5</v>
      </c>
      <c r="AH6" s="13">
        <f t="shared" si="12"/>
        <v>0.5</v>
      </c>
      <c r="AI6" s="10">
        <f t="shared" si="13"/>
        <v>0.25</v>
      </c>
      <c r="AJ6" s="13">
        <f>AH2+AH5+AH6</f>
        <v>1.5</v>
      </c>
    </row>
    <row r="7" spans="1:53" x14ac:dyDescent="0.3">
      <c r="A7" t="s">
        <v>16</v>
      </c>
      <c r="B7">
        <v>2024</v>
      </c>
      <c r="C7" s="3">
        <v>667772000000</v>
      </c>
      <c r="D7" s="3">
        <v>44000000</v>
      </c>
      <c r="E7" s="3">
        <v>2696874000000</v>
      </c>
      <c r="F7" s="3">
        <v>1551646000000</v>
      </c>
      <c r="G7" s="3">
        <v>438373000000</v>
      </c>
      <c r="H7" s="3">
        <v>383789000000</v>
      </c>
      <c r="I7" s="3">
        <v>2258501000000</v>
      </c>
      <c r="J7" s="3">
        <v>1434797000000</v>
      </c>
      <c r="K7" s="3">
        <v>1167857000000</v>
      </c>
      <c r="M7" s="3">
        <v>1956431000000</v>
      </c>
      <c r="N7" s="3">
        <v>527368000000</v>
      </c>
      <c r="O7" s="3">
        <v>150000000</v>
      </c>
      <c r="P7">
        <f t="shared" si="2"/>
        <v>11.648686187394942</v>
      </c>
      <c r="Q7">
        <f t="shared" si="3"/>
        <v>0</v>
      </c>
      <c r="R7" t="str">
        <f t="shared" si="0"/>
        <v>Safe</v>
      </c>
      <c r="S7">
        <f t="shared" si="4"/>
        <v>0.4330409948703573</v>
      </c>
      <c r="T7">
        <f t="shared" si="5"/>
        <v>0.53202225984602913</v>
      </c>
      <c r="U7">
        <f t="shared" si="6"/>
        <v>0.24760963990160459</v>
      </c>
      <c r="V7">
        <f t="shared" si="7"/>
        <v>5.152007536960534</v>
      </c>
      <c r="X7" s="13">
        <f t="shared" si="1"/>
        <v>5.8095851498477531</v>
      </c>
      <c r="Y7" s="10"/>
      <c r="Z7" s="10"/>
      <c r="AB7" s="10" t="str">
        <f t="shared" si="8"/>
        <v>Non-Distress</v>
      </c>
      <c r="AC7" s="10">
        <f t="shared" si="9"/>
        <v>0</v>
      </c>
      <c r="AE7" s="10">
        <f t="shared" si="10"/>
        <v>0</v>
      </c>
      <c r="AG7" s="13">
        <f t="shared" si="11"/>
        <v>0.5</v>
      </c>
      <c r="AH7" s="13">
        <f t="shared" si="12"/>
        <v>0.5</v>
      </c>
      <c r="AI7" s="10">
        <f t="shared" si="13"/>
        <v>0.25</v>
      </c>
    </row>
    <row r="8" spans="1:53" x14ac:dyDescent="0.3">
      <c r="A8" t="s">
        <v>16</v>
      </c>
      <c r="B8">
        <v>2023</v>
      </c>
      <c r="C8" s="3">
        <v>503837000000</v>
      </c>
      <c r="D8" s="3">
        <v>173000000</v>
      </c>
      <c r="E8" s="3">
        <v>2085182000000</v>
      </c>
      <c r="F8" s="3">
        <v>1230110000000</v>
      </c>
      <c r="G8" s="3">
        <v>355374000000</v>
      </c>
      <c r="H8" s="3">
        <v>298814000000</v>
      </c>
      <c r="I8" s="3">
        <v>1729808000000</v>
      </c>
      <c r="J8" s="3">
        <v>907429000000</v>
      </c>
      <c r="K8" s="3">
        <v>931296000000</v>
      </c>
      <c r="M8" s="3">
        <v>1525445000000</v>
      </c>
      <c r="N8" s="3">
        <v>395798000000</v>
      </c>
      <c r="O8" s="3">
        <v>682000000</v>
      </c>
      <c r="P8">
        <f t="shared" si="2"/>
        <v>11.083235831130283</v>
      </c>
      <c r="Q8">
        <f t="shared" si="3"/>
        <v>0</v>
      </c>
      <c r="R8" t="str">
        <f t="shared" si="0"/>
        <v>Safe</v>
      </c>
      <c r="S8">
        <f t="shared" si="4"/>
        <v>0.44662576216368644</v>
      </c>
      <c r="T8">
        <f t="shared" si="5"/>
        <v>0.43517975888915211</v>
      </c>
      <c r="U8">
        <f t="shared" si="6"/>
        <v>0.24162734955509879</v>
      </c>
      <c r="V8">
        <f t="shared" si="7"/>
        <v>4.8675705031881904</v>
      </c>
      <c r="X8" s="13">
        <f t="shared" si="1"/>
        <v>5.5340452703298357</v>
      </c>
      <c r="Y8" s="10"/>
      <c r="Z8" s="10"/>
      <c r="AB8" s="10" t="str">
        <f t="shared" si="8"/>
        <v>Non-Distress</v>
      </c>
      <c r="AC8" s="10">
        <f t="shared" si="9"/>
        <v>0</v>
      </c>
      <c r="AE8" s="10">
        <f t="shared" si="10"/>
        <v>0</v>
      </c>
      <c r="AG8" s="13">
        <f t="shared" si="11"/>
        <v>0.5</v>
      </c>
      <c r="AH8" s="13">
        <f t="shared" si="12"/>
        <v>0.5</v>
      </c>
      <c r="AI8" s="10">
        <f t="shared" si="13"/>
        <v>0.25</v>
      </c>
    </row>
    <row r="9" spans="1:53" x14ac:dyDescent="0.3">
      <c r="A9" t="s">
        <v>16</v>
      </c>
      <c r="B9">
        <v>2022</v>
      </c>
      <c r="C9" s="3">
        <v>464729000000</v>
      </c>
      <c r="D9" s="3">
        <v>421000000</v>
      </c>
      <c r="E9" s="3">
        <v>1645582000000</v>
      </c>
      <c r="F9" s="3">
        <v>815319000000</v>
      </c>
      <c r="G9" s="3">
        <v>310746000000</v>
      </c>
      <c r="H9" s="3">
        <v>254719000000</v>
      </c>
      <c r="I9" s="3">
        <v>1334836000000</v>
      </c>
      <c r="J9" s="3">
        <v>511631000000</v>
      </c>
      <c r="K9" s="3">
        <v>560600000000</v>
      </c>
      <c r="M9" s="3">
        <v>1290992000000</v>
      </c>
      <c r="N9" s="3">
        <v>364972000000</v>
      </c>
      <c r="O9" s="3">
        <v>2412000000</v>
      </c>
      <c r="P9">
        <f t="shared" si="2"/>
        <v>9.6565269683651564</v>
      </c>
      <c r="Q9">
        <f t="shared" si="3"/>
        <v>0</v>
      </c>
      <c r="R9" t="str">
        <f t="shared" si="0"/>
        <v>Safe</v>
      </c>
      <c r="S9">
        <f t="shared" si="4"/>
        <v>0.34066974480761214</v>
      </c>
      <c r="T9">
        <f t="shared" si="5"/>
        <v>0.31091188406290299</v>
      </c>
      <c r="U9">
        <f t="shared" si="6"/>
        <v>0.28241011386852799</v>
      </c>
      <c r="V9">
        <f t="shared" si="7"/>
        <v>4.2955854620815712</v>
      </c>
      <c r="X9" s="13">
        <f t="shared" si="1"/>
        <v>4.651853316597065</v>
      </c>
      <c r="Y9" s="10"/>
      <c r="Z9" s="10"/>
      <c r="AB9" s="10" t="str">
        <f t="shared" si="8"/>
        <v>Non-Distress</v>
      </c>
      <c r="AC9" s="10">
        <f t="shared" si="9"/>
        <v>0</v>
      </c>
      <c r="AE9" s="10">
        <f t="shared" si="10"/>
        <v>0</v>
      </c>
      <c r="AG9" s="13">
        <f t="shared" si="11"/>
        <v>0.5</v>
      </c>
      <c r="AH9" s="13">
        <f t="shared" si="12"/>
        <v>0.5</v>
      </c>
      <c r="AI9" s="10">
        <f t="shared" si="13"/>
        <v>0.25</v>
      </c>
    </row>
    <row r="10" spans="1:53" x14ac:dyDescent="0.3">
      <c r="A10" t="s">
        <v>17</v>
      </c>
      <c r="B10">
        <v>2025</v>
      </c>
      <c r="C10" s="3">
        <v>-2700087</v>
      </c>
      <c r="D10" s="3">
        <v>42520</v>
      </c>
      <c r="E10" s="3">
        <v>152564671</v>
      </c>
      <c r="F10" s="3">
        <v>55459154</v>
      </c>
      <c r="G10" s="3">
        <v>39905025</v>
      </c>
      <c r="H10" s="3">
        <v>35319303</v>
      </c>
      <c r="I10" s="3">
        <v>112663483</v>
      </c>
      <c r="J10" s="3">
        <v>-158648662</v>
      </c>
      <c r="K10" s="3">
        <v>20139851</v>
      </c>
      <c r="M10" s="3">
        <v>144667786</v>
      </c>
      <c r="N10" s="3">
        <v>-3146238</v>
      </c>
      <c r="O10" s="3">
        <v>55146</v>
      </c>
      <c r="P10">
        <f t="shared" si="2"/>
        <v>0.32149858282958288</v>
      </c>
      <c r="Q10">
        <f t="shared" si="3"/>
        <v>1</v>
      </c>
      <c r="R10" t="str">
        <f t="shared" si="0"/>
        <v>Distress</v>
      </c>
      <c r="S10">
        <f t="shared" si="4"/>
        <v>0.13200861554638688</v>
      </c>
      <c r="T10">
        <f t="shared" si="5"/>
        <v>-1.0398781117549816</v>
      </c>
      <c r="U10">
        <f t="shared" si="6"/>
        <v>-1.7697983303093807E-2</v>
      </c>
      <c r="V10">
        <f t="shared" si="7"/>
        <v>2.8232906256793475</v>
      </c>
      <c r="X10" s="13">
        <f t="shared" si="1"/>
        <v>-2.5658066929669747</v>
      </c>
      <c r="Y10" s="10"/>
      <c r="Z10" s="10"/>
      <c r="AB10" s="10" t="str">
        <f t="shared" si="8"/>
        <v>Distress</v>
      </c>
      <c r="AC10" s="10">
        <f t="shared" si="9"/>
        <v>1</v>
      </c>
      <c r="AE10" s="10">
        <f t="shared" si="10"/>
        <v>1</v>
      </c>
      <c r="AG10" s="13">
        <f t="shared" si="11"/>
        <v>0.7310585786300049</v>
      </c>
      <c r="AH10" s="13">
        <f t="shared" si="12"/>
        <v>-0.2689414213699951</v>
      </c>
      <c r="AI10" s="10">
        <f t="shared" si="13"/>
        <v>0.19661193324148185</v>
      </c>
    </row>
    <row r="11" spans="1:53" x14ac:dyDescent="0.3">
      <c r="A11" t="s">
        <v>17</v>
      </c>
      <c r="B11">
        <v>2024</v>
      </c>
      <c r="C11" s="3">
        <v>-10824729</v>
      </c>
      <c r="D11" s="3">
        <v>105918</v>
      </c>
      <c r="E11" s="3">
        <v>155447698</v>
      </c>
      <c r="F11" s="3">
        <v>54873539</v>
      </c>
      <c r="G11" s="3">
        <v>39354285</v>
      </c>
      <c r="H11" s="3">
        <v>34696733</v>
      </c>
      <c r="I11" s="3">
        <v>116106301</v>
      </c>
      <c r="J11" s="3">
        <v>-155502424</v>
      </c>
      <c r="K11" s="3">
        <v>20176806</v>
      </c>
      <c r="M11" s="3">
        <v>109676008</v>
      </c>
      <c r="N11" s="3">
        <v>-10191062</v>
      </c>
      <c r="O11" s="3">
        <v>143292</v>
      </c>
      <c r="P11">
        <f t="shared" si="2"/>
        <v>0.22017243006978759</v>
      </c>
      <c r="Q11">
        <f t="shared" si="3"/>
        <v>1</v>
      </c>
      <c r="R11" t="str">
        <f t="shared" si="0"/>
        <v>Distress</v>
      </c>
      <c r="S11">
        <f t="shared" si="4"/>
        <v>0.12979803663609094</v>
      </c>
      <c r="T11">
        <f t="shared" si="5"/>
        <v>-1.0003520541037538</v>
      </c>
      <c r="U11">
        <f t="shared" si="6"/>
        <v>-6.9635826964771136E-2</v>
      </c>
      <c r="V11">
        <f t="shared" si="7"/>
        <v>2.9502835841128863</v>
      </c>
      <c r="X11" s="13">
        <f t="shared" si="1"/>
        <v>-2.6955519460573671</v>
      </c>
      <c r="Y11" s="10"/>
      <c r="Z11" s="10"/>
      <c r="AB11" s="10" t="str">
        <f t="shared" si="8"/>
        <v>Distress</v>
      </c>
      <c r="AC11" s="10">
        <f t="shared" si="9"/>
        <v>1</v>
      </c>
      <c r="AE11" s="10">
        <f t="shared" si="10"/>
        <v>1</v>
      </c>
      <c r="AG11" s="13">
        <f t="shared" si="11"/>
        <v>0.7310585786300049</v>
      </c>
      <c r="AH11" s="13">
        <f t="shared" si="12"/>
        <v>-0.2689414213699951</v>
      </c>
      <c r="AI11" s="10">
        <f t="shared" si="13"/>
        <v>0.19661193324148185</v>
      </c>
    </row>
    <row r="12" spans="1:53" x14ac:dyDescent="0.3">
      <c r="A12" t="s">
        <v>17</v>
      </c>
      <c r="B12">
        <v>2023</v>
      </c>
      <c r="C12" s="3">
        <v>-18994895</v>
      </c>
      <c r="D12" s="3">
        <v>120378</v>
      </c>
      <c r="E12" s="3">
        <v>158715638</v>
      </c>
      <c r="F12" s="3">
        <v>55259401</v>
      </c>
      <c r="G12" s="3">
        <v>32716223</v>
      </c>
      <c r="H12" s="3">
        <v>27434627</v>
      </c>
      <c r="I12" s="3">
        <v>126010937</v>
      </c>
      <c r="J12" s="3">
        <v>-145311362</v>
      </c>
      <c r="K12" s="3">
        <v>27824774</v>
      </c>
      <c r="M12" s="3">
        <v>104802680</v>
      </c>
      <c r="N12" s="3">
        <v>-19115427</v>
      </c>
      <c r="O12" s="3">
        <v>0</v>
      </c>
      <c r="P12">
        <f t="shared" si="2"/>
        <v>1.4053445732513659</v>
      </c>
      <c r="Q12">
        <f t="shared" si="3"/>
        <v>0</v>
      </c>
      <c r="R12" t="str">
        <f t="shared" si="0"/>
        <v>Grey Area</v>
      </c>
      <c r="S12">
        <f t="shared" si="4"/>
        <v>0.17531211385736295</v>
      </c>
      <c r="T12">
        <f t="shared" si="5"/>
        <v>-0.91554533523659465</v>
      </c>
      <c r="U12">
        <f t="shared" si="6"/>
        <v>-0.11967878678722257</v>
      </c>
      <c r="V12">
        <f t="shared" si="7"/>
        <v>3.8516346156461889</v>
      </c>
      <c r="X12" s="13">
        <f t="shared" si="1"/>
        <v>-2.3427618906047116</v>
      </c>
      <c r="Y12" s="10"/>
      <c r="Z12" s="10"/>
      <c r="AB12" s="10" t="str">
        <f t="shared" si="8"/>
        <v>Distress</v>
      </c>
      <c r="AC12" s="10">
        <f t="shared" si="9"/>
        <v>1</v>
      </c>
      <c r="AE12" s="10">
        <f t="shared" si="10"/>
        <v>0</v>
      </c>
      <c r="AG12" s="13">
        <f t="shared" si="11"/>
        <v>0.5</v>
      </c>
      <c r="AH12" s="13">
        <f t="shared" si="12"/>
        <v>0.5</v>
      </c>
      <c r="AI12" s="10">
        <f t="shared" si="13"/>
        <v>0.25</v>
      </c>
    </row>
    <row r="13" spans="1:53" x14ac:dyDescent="0.3">
      <c r="A13" t="s">
        <v>17</v>
      </c>
      <c r="B13">
        <v>2022</v>
      </c>
      <c r="C13" s="3">
        <v>-26475916</v>
      </c>
      <c r="D13" s="3">
        <v>163017</v>
      </c>
      <c r="E13" s="3">
        <v>172000176</v>
      </c>
      <c r="F13" s="3">
        <v>58105339</v>
      </c>
      <c r="G13" s="3">
        <v>26737653</v>
      </c>
      <c r="H13" s="3">
        <v>21395255</v>
      </c>
      <c r="I13" s="3">
        <v>145269594</v>
      </c>
      <c r="J13" s="3">
        <v>-126195935</v>
      </c>
      <c r="K13" s="3">
        <v>36710084</v>
      </c>
      <c r="M13" s="3">
        <v>142773920</v>
      </c>
      <c r="N13" s="3">
        <v>-26743893</v>
      </c>
      <c r="P13">
        <f t="shared" si="2"/>
        <v>3.6786506814397759</v>
      </c>
      <c r="Q13">
        <f t="shared" si="3"/>
        <v>0</v>
      </c>
      <c r="R13" t="str">
        <f t="shared" si="0"/>
        <v>Safe</v>
      </c>
      <c r="S13">
        <f t="shared" si="4"/>
        <v>0.21343050253622997</v>
      </c>
      <c r="T13">
        <f t="shared" si="5"/>
        <v>-0.73369654575237175</v>
      </c>
      <c r="U13">
        <f t="shared" si="6"/>
        <v>-0.15392958667670201</v>
      </c>
      <c r="V13">
        <f t="shared" si="7"/>
        <v>5.4331468061164534</v>
      </c>
      <c r="X13" s="13">
        <f t="shared" si="1"/>
        <v>-1.6114967897033001</v>
      </c>
      <c r="Y13" s="10"/>
      <c r="Z13" s="10"/>
      <c r="AB13" s="10" t="str">
        <f t="shared" si="8"/>
        <v>Distress</v>
      </c>
      <c r="AC13" s="10">
        <f t="shared" si="9"/>
        <v>1</v>
      </c>
      <c r="AE13" s="10">
        <f t="shared" si="10"/>
        <v>0</v>
      </c>
      <c r="AG13" s="13">
        <f t="shared" si="11"/>
        <v>0.5</v>
      </c>
      <c r="AH13" s="13">
        <f t="shared" si="12"/>
        <v>0.5</v>
      </c>
      <c r="AI13" s="10">
        <f t="shared" si="13"/>
        <v>0.25</v>
      </c>
    </row>
    <row r="14" spans="1:53" x14ac:dyDescent="0.3">
      <c r="A14" t="s">
        <v>18</v>
      </c>
      <c r="B14">
        <v>2025</v>
      </c>
      <c r="C14" s="3">
        <v>416203000000</v>
      </c>
      <c r="D14" s="3">
        <v>325939000000</v>
      </c>
      <c r="E14" s="3">
        <v>8459645000000</v>
      </c>
      <c r="F14" s="3">
        <v>2025870000000</v>
      </c>
      <c r="G14" s="3">
        <v>4612426000000</v>
      </c>
      <c r="H14" s="3">
        <v>1004800000000</v>
      </c>
      <c r="I14" s="3">
        <v>3755965000000</v>
      </c>
      <c r="J14" s="3">
        <v>865916000000</v>
      </c>
      <c r="K14" s="3">
        <v>1021070000000</v>
      </c>
      <c r="M14" s="3">
        <v>3008803000000</v>
      </c>
      <c r="N14" s="3">
        <v>58379000000</v>
      </c>
      <c r="O14" s="3">
        <v>3984911000000</v>
      </c>
      <c r="P14">
        <f t="shared" si="2"/>
        <v>2.3111183709736549</v>
      </c>
      <c r="Q14">
        <f t="shared" si="3"/>
        <v>0</v>
      </c>
      <c r="R14" t="str">
        <f t="shared" si="0"/>
        <v>Grey Area</v>
      </c>
      <c r="S14">
        <f t="shared" si="4"/>
        <v>0.12069891821701738</v>
      </c>
      <c r="T14">
        <f t="shared" si="5"/>
        <v>0.10235843229828202</v>
      </c>
      <c r="U14">
        <f t="shared" si="6"/>
        <v>4.9198636585814179E-2</v>
      </c>
      <c r="V14">
        <f t="shared" si="7"/>
        <v>0.81431441935328608</v>
      </c>
      <c r="X14" s="13">
        <f t="shared" si="1"/>
        <v>1.3461698459385905</v>
      </c>
      <c r="Y14" s="10"/>
      <c r="Z14" s="10"/>
      <c r="AB14" s="10" t="str">
        <f t="shared" si="8"/>
        <v>Non-Distress</v>
      </c>
      <c r="AC14" s="10">
        <f t="shared" si="9"/>
        <v>0</v>
      </c>
      <c r="AE14" s="10">
        <f t="shared" si="10"/>
        <v>0</v>
      </c>
      <c r="AG14" s="13">
        <f t="shared" si="11"/>
        <v>0.5</v>
      </c>
      <c r="AH14" s="13">
        <f t="shared" si="12"/>
        <v>0.5</v>
      </c>
      <c r="AI14" s="10">
        <f t="shared" si="13"/>
        <v>0.25</v>
      </c>
    </row>
    <row r="15" spans="1:53" x14ac:dyDescent="0.3">
      <c r="A15" t="s">
        <v>18</v>
      </c>
      <c r="B15">
        <v>2024</v>
      </c>
      <c r="C15" s="3">
        <v>429237000000</v>
      </c>
      <c r="D15" s="3">
        <v>314178000000</v>
      </c>
      <c r="E15" s="3">
        <v>8005185000000</v>
      </c>
      <c r="F15" s="3">
        <v>1626757000000</v>
      </c>
      <c r="G15" s="3">
        <v>4221635000000</v>
      </c>
      <c r="H15" s="3">
        <v>580916000000</v>
      </c>
      <c r="I15" s="3">
        <v>3694069000000</v>
      </c>
      <c r="J15" s="3">
        <v>838789000000</v>
      </c>
      <c r="K15" s="3">
        <v>1045841000000</v>
      </c>
      <c r="M15" s="3">
        <v>2907675000000</v>
      </c>
      <c r="N15" s="3">
        <v>104947000000</v>
      </c>
      <c r="O15" s="3">
        <v>3629527000000</v>
      </c>
      <c r="P15">
        <f t="shared" si="2"/>
        <v>2.4777292428486368</v>
      </c>
      <c r="Q15">
        <f t="shared" si="3"/>
        <v>0</v>
      </c>
      <c r="R15" t="str">
        <f t="shared" si="0"/>
        <v>Grey Area</v>
      </c>
      <c r="S15">
        <f t="shared" si="4"/>
        <v>0.13064545041744818</v>
      </c>
      <c r="T15">
        <f t="shared" si="5"/>
        <v>0.10478071399973891</v>
      </c>
      <c r="U15">
        <f t="shared" si="6"/>
        <v>5.3619872620058122E-2</v>
      </c>
      <c r="V15">
        <f t="shared" si="7"/>
        <v>0.87503277758498776</v>
      </c>
      <c r="X15" s="13">
        <f t="shared" si="1"/>
        <v>1.4388973101404452</v>
      </c>
      <c r="Y15" s="10"/>
      <c r="Z15" s="10"/>
      <c r="AB15" s="10" t="str">
        <f t="shared" si="8"/>
        <v>Non-Distress</v>
      </c>
      <c r="AC15" s="10">
        <f t="shared" si="9"/>
        <v>0</v>
      </c>
      <c r="AE15" s="10">
        <f t="shared" si="10"/>
        <v>0</v>
      </c>
      <c r="AG15" s="13">
        <f t="shared" si="11"/>
        <v>0.5</v>
      </c>
      <c r="AH15" s="13">
        <f t="shared" si="12"/>
        <v>0.5</v>
      </c>
      <c r="AI15" s="10">
        <f t="shared" si="13"/>
        <v>0.25</v>
      </c>
    </row>
    <row r="16" spans="1:53" x14ac:dyDescent="0.3">
      <c r="A16" t="s">
        <v>18</v>
      </c>
      <c r="B16">
        <v>2023</v>
      </c>
      <c r="C16" s="3">
        <v>504644000000</v>
      </c>
      <c r="D16" s="3">
        <v>291421000000</v>
      </c>
      <c r="E16" s="3">
        <v>7797759000000</v>
      </c>
      <c r="F16" s="3">
        <v>1644481000000</v>
      </c>
      <c r="G16" s="3">
        <v>4069613000000</v>
      </c>
      <c r="H16" s="3">
        <v>948726000000</v>
      </c>
      <c r="I16" s="3">
        <v>3640045000000</v>
      </c>
      <c r="J16" s="3">
        <v>771962000000</v>
      </c>
      <c r="K16" s="3">
        <v>695755000000</v>
      </c>
      <c r="M16" s="3">
        <v>2822745000000</v>
      </c>
      <c r="N16" s="3">
        <v>165413000000</v>
      </c>
      <c r="O16" s="3">
        <v>3433897000000</v>
      </c>
      <c r="P16">
        <f t="shared" si="2"/>
        <v>2.2821116267667811</v>
      </c>
      <c r="Q16">
        <f t="shared" si="3"/>
        <v>0</v>
      </c>
      <c r="R16" t="str">
        <f t="shared" si="0"/>
        <v>Grey Area</v>
      </c>
      <c r="S16">
        <f t="shared" si="4"/>
        <v>8.9224994001481706E-2</v>
      </c>
      <c r="T16">
        <f t="shared" si="5"/>
        <v>9.8997930046312022E-2</v>
      </c>
      <c r="U16">
        <f t="shared" si="6"/>
        <v>6.4716542278364847E-2</v>
      </c>
      <c r="V16">
        <f t="shared" si="7"/>
        <v>0.89444500005283056</v>
      </c>
      <c r="X16" s="13">
        <f t="shared" si="1"/>
        <v>1.2212959224348194</v>
      </c>
      <c r="Y16" s="10"/>
      <c r="Z16" s="10"/>
      <c r="AB16" s="10" t="str">
        <f t="shared" si="8"/>
        <v>Non-Distress</v>
      </c>
      <c r="AC16" s="10">
        <f t="shared" si="9"/>
        <v>0</v>
      </c>
      <c r="AE16" s="10">
        <f t="shared" si="10"/>
        <v>0</v>
      </c>
      <c r="AG16" s="13">
        <f t="shared" si="11"/>
        <v>0.5</v>
      </c>
      <c r="AH16" s="13">
        <f t="shared" si="12"/>
        <v>0.5</v>
      </c>
      <c r="AI16" s="10">
        <f t="shared" si="13"/>
        <v>0.25</v>
      </c>
    </row>
    <row r="17" spans="1:35" x14ac:dyDescent="0.3">
      <c r="A17" t="s">
        <v>18</v>
      </c>
      <c r="B17">
        <v>2022</v>
      </c>
      <c r="C17" s="3">
        <v>472917000000</v>
      </c>
      <c r="D17" s="3">
        <v>337627000000</v>
      </c>
      <c r="E17" s="3">
        <v>7955474000000</v>
      </c>
      <c r="F17" s="3">
        <v>1842947000000</v>
      </c>
      <c r="G17" s="3">
        <v>4404660000000</v>
      </c>
      <c r="H17" s="3">
        <v>1677690000000</v>
      </c>
      <c r="I17" s="3">
        <v>3463071000000</v>
      </c>
      <c r="J17" s="3">
        <v>626453000000</v>
      </c>
      <c r="K17" s="3">
        <v>165257000000</v>
      </c>
      <c r="M17" s="3">
        <v>2612464000000</v>
      </c>
      <c r="N17" s="3">
        <v>88382000000</v>
      </c>
      <c r="O17" s="3">
        <v>3801127000000</v>
      </c>
      <c r="P17">
        <f t="shared" si="2"/>
        <v>1.6179915509585869</v>
      </c>
      <c r="Q17">
        <f t="shared" si="3"/>
        <v>0</v>
      </c>
      <c r="R17" t="str">
        <f t="shared" si="0"/>
        <v>Grey Area</v>
      </c>
      <c r="S17">
        <f t="shared" si="4"/>
        <v>2.0772740882567149E-2</v>
      </c>
      <c r="T17">
        <f t="shared" si="5"/>
        <v>7.874489942396895E-2</v>
      </c>
      <c r="U17">
        <f t="shared" si="6"/>
        <v>5.9445483700908332E-2</v>
      </c>
      <c r="V17">
        <f t="shared" si="7"/>
        <v>0.78622890302543214</v>
      </c>
      <c r="X17" s="13">
        <f t="shared" si="1"/>
        <v>0.70639060770506934</v>
      </c>
      <c r="Y17" s="10"/>
      <c r="Z17" s="10"/>
      <c r="AB17" s="10" t="str">
        <f t="shared" si="8"/>
        <v>Non-Distress</v>
      </c>
      <c r="AC17" s="10">
        <f t="shared" si="9"/>
        <v>0</v>
      </c>
      <c r="AE17" s="10">
        <f t="shared" si="10"/>
        <v>0</v>
      </c>
      <c r="AG17" s="13">
        <f t="shared" si="11"/>
        <v>0.5</v>
      </c>
      <c r="AH17" s="13">
        <f t="shared" si="12"/>
        <v>0.5</v>
      </c>
      <c r="AI17" s="10">
        <f t="shared" si="13"/>
        <v>0.25</v>
      </c>
    </row>
    <row r="18" spans="1:35" x14ac:dyDescent="0.3">
      <c r="A18" t="s">
        <v>19</v>
      </c>
      <c r="B18">
        <v>2025</v>
      </c>
      <c r="C18" s="3">
        <v>129669000000</v>
      </c>
      <c r="D18" s="3">
        <v>20793000000</v>
      </c>
      <c r="E18" s="3">
        <v>2089881000000</v>
      </c>
      <c r="F18" s="3">
        <v>584240000000</v>
      </c>
      <c r="G18" s="3">
        <v>945865000000</v>
      </c>
      <c r="H18" s="3">
        <v>720645000000</v>
      </c>
      <c r="I18" s="3">
        <v>1145390000000</v>
      </c>
      <c r="J18" s="3">
        <v>-2728564000000</v>
      </c>
      <c r="K18" s="3">
        <v>-136405000000</v>
      </c>
      <c r="M18" s="3">
        <v>1957977000000</v>
      </c>
      <c r="N18" s="3">
        <v>89129000000</v>
      </c>
      <c r="O18" s="3">
        <v>237050000000</v>
      </c>
      <c r="P18">
        <f t="shared" si="2"/>
        <v>-2.9960047521783402</v>
      </c>
      <c r="Q18">
        <f t="shared" si="3"/>
        <v>1</v>
      </c>
      <c r="R18" t="str">
        <f t="shared" si="0"/>
        <v>Distress</v>
      </c>
      <c r="S18">
        <f t="shared" si="4"/>
        <v>-6.5269266527615694E-2</v>
      </c>
      <c r="T18">
        <f t="shared" si="5"/>
        <v>-1.3056073527631478</v>
      </c>
      <c r="U18">
        <f t="shared" si="6"/>
        <v>6.2046116501370173E-2</v>
      </c>
      <c r="V18">
        <f t="shared" si="7"/>
        <v>1.2109444793918793</v>
      </c>
      <c r="X18" s="13">
        <f t="shared" si="1"/>
        <v>-4.3260328603057543</v>
      </c>
      <c r="Y18" s="10"/>
      <c r="Z18" s="10"/>
      <c r="AB18" s="10" t="str">
        <f t="shared" si="8"/>
        <v>Distress</v>
      </c>
      <c r="AC18" s="10">
        <f t="shared" si="9"/>
        <v>1</v>
      </c>
      <c r="AE18" s="10">
        <f t="shared" si="10"/>
        <v>1</v>
      </c>
      <c r="AG18" s="13">
        <f t="shared" si="11"/>
        <v>0.7310585786300049</v>
      </c>
      <c r="AH18" s="13">
        <f t="shared" si="12"/>
        <v>-0.2689414213699951</v>
      </c>
      <c r="AI18" s="10">
        <f t="shared" si="13"/>
        <v>0.19661193324148185</v>
      </c>
    </row>
    <row r="19" spans="1:35" x14ac:dyDescent="0.3">
      <c r="A19" t="s">
        <v>19</v>
      </c>
      <c r="B19">
        <v>2024</v>
      </c>
      <c r="C19" s="3">
        <v>133754000000</v>
      </c>
      <c r="D19" s="3">
        <v>21986000000</v>
      </c>
      <c r="E19" s="3">
        <v>1964172000000</v>
      </c>
      <c r="F19" s="3">
        <v>620106000000</v>
      </c>
      <c r="G19" s="3">
        <v>918034000000</v>
      </c>
      <c r="H19" s="3">
        <v>584216000000</v>
      </c>
      <c r="I19" s="3">
        <v>1047516000000</v>
      </c>
      <c r="J19" s="3">
        <v>-2844687000000</v>
      </c>
      <c r="K19" s="3">
        <v>35890000000</v>
      </c>
      <c r="M19" s="3">
        <v>1920620000000</v>
      </c>
      <c r="N19" s="3">
        <v>69472000000</v>
      </c>
      <c r="O19" s="3">
        <v>262449000000</v>
      </c>
      <c r="P19">
        <f t="shared" si="2"/>
        <v>-2.9458469005696233</v>
      </c>
      <c r="Q19">
        <f t="shared" si="3"/>
        <v>1</v>
      </c>
      <c r="R19" t="str">
        <f t="shared" si="0"/>
        <v>Distress</v>
      </c>
      <c r="S19">
        <f t="shared" si="4"/>
        <v>1.8272330529098265E-2</v>
      </c>
      <c r="T19">
        <f t="shared" si="5"/>
        <v>-1.448288133625772</v>
      </c>
      <c r="U19">
        <f t="shared" si="6"/>
        <v>6.8096887645277507E-2</v>
      </c>
      <c r="V19">
        <f t="shared" si="7"/>
        <v>1.1410427064792807</v>
      </c>
      <c r="X19" s="13">
        <f t="shared" si="1"/>
        <v>-4.2568154631259629</v>
      </c>
      <c r="Y19" s="10"/>
      <c r="Z19" s="10"/>
      <c r="AB19" s="10" t="str">
        <f t="shared" si="8"/>
        <v>Distress</v>
      </c>
      <c r="AC19" s="10">
        <f t="shared" si="9"/>
        <v>1</v>
      </c>
      <c r="AE19" s="10">
        <f t="shared" si="10"/>
        <v>1</v>
      </c>
      <c r="AG19" s="13">
        <f t="shared" si="11"/>
        <v>0.7310585786300049</v>
      </c>
      <c r="AH19" s="13">
        <f t="shared" si="12"/>
        <v>-0.2689414213699951</v>
      </c>
      <c r="AI19" s="10">
        <f t="shared" si="13"/>
        <v>0.19661193324148185</v>
      </c>
    </row>
    <row r="20" spans="1:35" x14ac:dyDescent="0.3">
      <c r="A20" t="s">
        <v>19</v>
      </c>
      <c r="B20">
        <v>2023</v>
      </c>
      <c r="C20" s="3">
        <v>78634000000</v>
      </c>
      <c r="D20" s="3">
        <v>27871000000</v>
      </c>
      <c r="E20" s="3">
        <v>1850004000000</v>
      </c>
      <c r="F20" s="3">
        <v>496669000000</v>
      </c>
      <c r="G20" s="3">
        <v>881806000000</v>
      </c>
      <c r="H20" s="3">
        <v>659907000000</v>
      </c>
      <c r="I20" s="3">
        <v>969551000000</v>
      </c>
      <c r="J20" s="3">
        <v>-2960347000000</v>
      </c>
      <c r="K20" s="3">
        <v>-163238000000</v>
      </c>
      <c r="M20" s="3">
        <v>1704013000000</v>
      </c>
      <c r="N20" s="3">
        <v>18777000000</v>
      </c>
      <c r="O20" s="3">
        <v>236345000000</v>
      </c>
      <c r="P20">
        <f t="shared" si="2"/>
        <v>-4.3553186751375055</v>
      </c>
      <c r="Q20">
        <f t="shared" si="3"/>
        <v>1</v>
      </c>
      <c r="R20" t="str">
        <f t="shared" si="0"/>
        <v>Distress</v>
      </c>
      <c r="S20">
        <f t="shared" si="4"/>
        <v>-8.8236565974992492E-2</v>
      </c>
      <c r="T20">
        <f t="shared" si="5"/>
        <v>-1.6001841077100374</v>
      </c>
      <c r="U20">
        <f t="shared" si="6"/>
        <v>4.2504772962653051E-2</v>
      </c>
      <c r="V20">
        <f t="shared" si="7"/>
        <v>1.0995060137944173</v>
      </c>
      <c r="X20" s="13">
        <f t="shared" si="1"/>
        <v>-5.5312304907888459</v>
      </c>
      <c r="Y20" s="10"/>
      <c r="Z20" s="10"/>
      <c r="AB20" s="10" t="str">
        <f t="shared" si="8"/>
        <v>Distress</v>
      </c>
      <c r="AC20" s="10">
        <f t="shared" si="9"/>
        <v>1</v>
      </c>
      <c r="AE20" s="10">
        <f t="shared" si="10"/>
        <v>1</v>
      </c>
      <c r="AG20" s="13">
        <f t="shared" si="11"/>
        <v>0.7310585786300049</v>
      </c>
      <c r="AH20" s="13">
        <f t="shared" si="12"/>
        <v>-0.2689414213699951</v>
      </c>
      <c r="AI20" s="10">
        <f t="shared" si="13"/>
        <v>0.19661193324148185</v>
      </c>
    </row>
    <row r="21" spans="1:35" x14ac:dyDescent="0.3">
      <c r="A21" t="s">
        <v>19</v>
      </c>
      <c r="B21">
        <v>2022</v>
      </c>
      <c r="C21" s="3">
        <v>-27501000000</v>
      </c>
      <c r="D21" s="3">
        <v>28986000000</v>
      </c>
      <c r="E21" s="3">
        <v>1826350000000</v>
      </c>
      <c r="F21" s="3">
        <v>558960000000</v>
      </c>
      <c r="G21" s="3">
        <v>1048489000000</v>
      </c>
      <c r="H21" s="3">
        <v>827907000000</v>
      </c>
      <c r="I21" s="3">
        <v>779093000000</v>
      </c>
      <c r="J21" s="3">
        <v>-3009932000000</v>
      </c>
      <c r="K21" s="3">
        <v>-268947000000</v>
      </c>
      <c r="M21" s="3">
        <v>1835284000000</v>
      </c>
      <c r="N21" s="3">
        <v>-62366000000</v>
      </c>
      <c r="O21" s="3">
        <v>308562000000</v>
      </c>
      <c r="P21">
        <f t="shared" si="2"/>
        <v>-5.6596656132535532</v>
      </c>
      <c r="Q21">
        <f t="shared" si="3"/>
        <v>1</v>
      </c>
      <c r="R21" t="str">
        <f t="shared" si="0"/>
        <v>Distress</v>
      </c>
      <c r="S21">
        <f t="shared" si="4"/>
        <v>-0.14725928765023133</v>
      </c>
      <c r="T21">
        <f t="shared" si="5"/>
        <v>-1.6480586963068415</v>
      </c>
      <c r="U21">
        <f t="shared" si="6"/>
        <v>-1.5057902373586661E-2</v>
      </c>
      <c r="V21">
        <f t="shared" si="7"/>
        <v>0.74306263585025689</v>
      </c>
      <c r="X21" s="13">
        <f t="shared" si="1"/>
        <v>-6.3426513570162601</v>
      </c>
      <c r="Y21" s="10"/>
      <c r="Z21" s="10"/>
      <c r="AB21" s="10" t="str">
        <f t="shared" si="8"/>
        <v>Distress</v>
      </c>
      <c r="AC21" s="10">
        <f t="shared" si="9"/>
        <v>1</v>
      </c>
      <c r="AE21" s="10">
        <f t="shared" si="10"/>
        <v>1</v>
      </c>
      <c r="AG21" s="13">
        <f t="shared" si="11"/>
        <v>0.7310585786300049</v>
      </c>
      <c r="AH21" s="13">
        <f t="shared" si="12"/>
        <v>-0.2689414213699951</v>
      </c>
      <c r="AI21" s="10">
        <f t="shared" si="13"/>
        <v>0.19661193324148185</v>
      </c>
    </row>
    <row r="22" spans="1:35" x14ac:dyDescent="0.3">
      <c r="A22" t="s">
        <v>20</v>
      </c>
      <c r="B22">
        <v>2025</v>
      </c>
      <c r="C22" s="3">
        <v>98259938000</v>
      </c>
      <c r="D22" s="3">
        <v>70168251000</v>
      </c>
      <c r="E22" s="3">
        <v>3637136641000</v>
      </c>
      <c r="F22" s="3">
        <v>1289999217000</v>
      </c>
      <c r="G22" s="3">
        <v>1860257837000</v>
      </c>
      <c r="H22" s="3">
        <v>1125117540000</v>
      </c>
      <c r="I22" s="3">
        <v>1776967263000</v>
      </c>
      <c r="J22" s="3">
        <v>738901717000</v>
      </c>
      <c r="K22" s="3">
        <v>164881677000</v>
      </c>
      <c r="M22" s="3">
        <v>2938710803000</v>
      </c>
      <c r="N22" s="3">
        <v>12662908000</v>
      </c>
      <c r="O22" s="3">
        <v>1340652754000</v>
      </c>
      <c r="P22">
        <f t="shared" si="2"/>
        <v>2.1442013495935059</v>
      </c>
      <c r="Q22">
        <f t="shared" si="3"/>
        <v>0</v>
      </c>
      <c r="R22" t="str">
        <f t="shared" si="0"/>
        <v>Grey Area</v>
      </c>
      <c r="S22">
        <f t="shared" si="4"/>
        <v>4.5332824492034254E-2</v>
      </c>
      <c r="T22">
        <f t="shared" si="5"/>
        <v>0.20315478628728262</v>
      </c>
      <c r="U22">
        <f t="shared" si="6"/>
        <v>2.7015740044614947E-2</v>
      </c>
      <c r="V22">
        <f t="shared" si="7"/>
        <v>0.95522632812324504</v>
      </c>
      <c r="X22" s="13">
        <f t="shared" si="1"/>
        <v>1.1146540615199525</v>
      </c>
      <c r="Y22" s="10"/>
      <c r="Z22" s="10"/>
      <c r="AB22" s="10" t="str">
        <f t="shared" si="8"/>
        <v>Non-Distress</v>
      </c>
      <c r="AC22" s="10">
        <f t="shared" si="9"/>
        <v>0</v>
      </c>
      <c r="AE22" s="10">
        <f t="shared" si="10"/>
        <v>0</v>
      </c>
      <c r="AG22" s="13">
        <f t="shared" si="11"/>
        <v>0.5</v>
      </c>
      <c r="AH22" s="13">
        <f t="shared" si="12"/>
        <v>0.5</v>
      </c>
      <c r="AI22" s="10">
        <f t="shared" si="13"/>
        <v>0.25</v>
      </c>
    </row>
    <row r="23" spans="1:35" x14ac:dyDescent="0.3">
      <c r="A23" t="s">
        <v>20</v>
      </c>
      <c r="B23">
        <v>2024</v>
      </c>
      <c r="C23" s="3">
        <v>110854444000</v>
      </c>
      <c r="D23" s="3">
        <v>76403210000</v>
      </c>
      <c r="E23" s="3">
        <v>3354191904000</v>
      </c>
      <c r="F23" s="3">
        <v>1259516805000</v>
      </c>
      <c r="G23" s="3">
        <v>1619702570000</v>
      </c>
      <c r="H23" s="3">
        <v>1057869607000</v>
      </c>
      <c r="I23" s="3">
        <v>1734584140000</v>
      </c>
      <c r="J23" s="3">
        <v>734805906000</v>
      </c>
      <c r="K23" s="3">
        <v>201647198000</v>
      </c>
      <c r="M23" s="3">
        <v>3025035536000</v>
      </c>
      <c r="N23" s="3">
        <v>10625480000</v>
      </c>
      <c r="O23" s="3">
        <v>1071690996000</v>
      </c>
      <c r="P23">
        <f t="shared" si="2"/>
        <v>2.4551118098647504</v>
      </c>
      <c r="Q23">
        <f t="shared" si="3"/>
        <v>0</v>
      </c>
      <c r="R23" t="str">
        <f t="shared" si="0"/>
        <v>Grey Area</v>
      </c>
      <c r="S23">
        <f t="shared" si="4"/>
        <v>6.011796694146454E-2</v>
      </c>
      <c r="T23">
        <f t="shared" si="5"/>
        <v>0.21907091992074643</v>
      </c>
      <c r="U23">
        <f t="shared" si="6"/>
        <v>3.304952345386139E-2</v>
      </c>
      <c r="V23">
        <f t="shared" si="7"/>
        <v>1.0709275715972963</v>
      </c>
      <c r="X23" s="13">
        <f t="shared" si="1"/>
        <v>1.2913449127489143</v>
      </c>
      <c r="Y23" s="10"/>
      <c r="Z23" s="10"/>
      <c r="AB23" s="10" t="str">
        <f t="shared" si="8"/>
        <v>Non-Distress</v>
      </c>
      <c r="AC23" s="10">
        <f t="shared" si="9"/>
        <v>0</v>
      </c>
      <c r="AE23" s="10">
        <f t="shared" si="10"/>
        <v>0</v>
      </c>
      <c r="AG23" s="13">
        <f t="shared" si="11"/>
        <v>0.5</v>
      </c>
      <c r="AH23" s="13">
        <f t="shared" si="12"/>
        <v>0.5</v>
      </c>
      <c r="AI23" s="10">
        <f t="shared" si="13"/>
        <v>0.25</v>
      </c>
    </row>
    <row r="24" spans="1:35" x14ac:dyDescent="0.3">
      <c r="A24" t="s">
        <v>20</v>
      </c>
      <c r="B24">
        <v>2023</v>
      </c>
      <c r="C24" s="3">
        <v>29390590000</v>
      </c>
      <c r="D24" s="3">
        <v>71359749000</v>
      </c>
      <c r="E24" s="3">
        <v>3351569378000</v>
      </c>
      <c r="F24" s="3">
        <v>1245292854000</v>
      </c>
      <c r="G24" s="3">
        <v>1699640104000</v>
      </c>
      <c r="H24" s="3">
        <v>1065296093000</v>
      </c>
      <c r="I24" s="3">
        <v>1652032849000</v>
      </c>
      <c r="J24" s="3">
        <v>721346251000</v>
      </c>
      <c r="K24" s="3">
        <v>179996761000</v>
      </c>
      <c r="M24" s="3">
        <v>2723631493000</v>
      </c>
      <c r="N24" s="3">
        <v>-29647091000</v>
      </c>
      <c r="O24" s="3">
        <v>1131272121000</v>
      </c>
      <c r="P24">
        <f t="shared" si="2"/>
        <v>2.1334626586625847</v>
      </c>
      <c r="Q24">
        <f t="shared" si="3"/>
        <v>0</v>
      </c>
      <c r="R24" t="str">
        <f t="shared" si="0"/>
        <v>Grey Area</v>
      </c>
      <c r="S24">
        <f t="shared" si="4"/>
        <v>5.3705217078755633E-2</v>
      </c>
      <c r="T24">
        <f t="shared" si="5"/>
        <v>0.21522641176249582</v>
      </c>
      <c r="U24">
        <f t="shared" si="6"/>
        <v>8.7692023303836252E-3</v>
      </c>
      <c r="V24">
        <f t="shared" si="7"/>
        <v>0.97198980249526989</v>
      </c>
      <c r="X24" s="13">
        <f t="shared" si="1"/>
        <v>1.1178473283929771</v>
      </c>
      <c r="Y24" s="10"/>
      <c r="Z24" s="10"/>
      <c r="AB24" s="10" t="str">
        <f t="shared" si="8"/>
        <v>Non-Distress</v>
      </c>
      <c r="AC24" s="10">
        <f t="shared" si="9"/>
        <v>0</v>
      </c>
      <c r="AE24" s="10">
        <f t="shared" si="10"/>
        <v>0</v>
      </c>
      <c r="AG24" s="13">
        <f t="shared" si="11"/>
        <v>0.5</v>
      </c>
      <c r="AH24" s="13">
        <f t="shared" si="12"/>
        <v>0.5</v>
      </c>
      <c r="AI24" s="10">
        <f t="shared" si="13"/>
        <v>0.25</v>
      </c>
    </row>
    <row r="25" spans="1:35" x14ac:dyDescent="0.3">
      <c r="A25" t="s">
        <v>20</v>
      </c>
      <c r="B25">
        <v>2022</v>
      </c>
      <c r="C25" s="3">
        <v>324696332000</v>
      </c>
      <c r="D25" s="3">
        <v>54029437000</v>
      </c>
      <c r="E25" s="3">
        <v>3590544759000</v>
      </c>
      <c r="F25" s="3">
        <v>1377131019000</v>
      </c>
      <c r="G25" s="3">
        <v>1844891328000</v>
      </c>
      <c r="H25" s="3">
        <v>1110996412000</v>
      </c>
      <c r="I25" s="3">
        <v>1745769138000</v>
      </c>
      <c r="J25" s="3">
        <v>762525667000</v>
      </c>
      <c r="K25" s="3">
        <v>266134607000</v>
      </c>
      <c r="M25" s="3">
        <v>3105631649000</v>
      </c>
      <c r="N25" s="3">
        <v>195539417000</v>
      </c>
      <c r="O25" s="3">
        <v>1037776431000</v>
      </c>
      <c r="P25">
        <f t="shared" si="2"/>
        <v>2.7798427687926002</v>
      </c>
      <c r="Q25">
        <f t="shared" si="3"/>
        <v>0</v>
      </c>
      <c r="R25" t="str">
        <f t="shared" si="0"/>
        <v>Safe</v>
      </c>
      <c r="S25">
        <f t="shared" si="4"/>
        <v>7.4120955137214603E-2</v>
      </c>
      <c r="T25">
        <f t="shared" si="5"/>
        <v>0.21237046692947242</v>
      </c>
      <c r="U25">
        <f t="shared" si="6"/>
        <v>9.0430938421285953E-2</v>
      </c>
      <c r="V25">
        <f t="shared" si="7"/>
        <v>0.9462720711536674</v>
      </c>
      <c r="X25" s="13">
        <f t="shared" si="1"/>
        <v>1.6271870988462624</v>
      </c>
      <c r="Y25" s="10"/>
      <c r="Z25" s="10"/>
      <c r="AB25" s="10" t="str">
        <f t="shared" si="8"/>
        <v>Non-Distress</v>
      </c>
      <c r="AC25" s="10">
        <f t="shared" si="9"/>
        <v>0</v>
      </c>
      <c r="AE25" s="10">
        <f t="shared" si="10"/>
        <v>0</v>
      </c>
      <c r="AG25" s="13">
        <f t="shared" si="11"/>
        <v>0.5</v>
      </c>
      <c r="AH25" s="13">
        <f t="shared" si="12"/>
        <v>0.5</v>
      </c>
      <c r="AI25" s="10">
        <f t="shared" si="13"/>
        <v>0.25</v>
      </c>
    </row>
    <row r="26" spans="1:35" x14ac:dyDescent="0.3">
      <c r="A26" t="s">
        <v>21</v>
      </c>
      <c r="B26">
        <v>2025</v>
      </c>
      <c r="C26" s="3">
        <v>3355829729000</v>
      </c>
      <c r="D26" s="3">
        <v>73767925000</v>
      </c>
      <c r="E26" s="3">
        <v>36562281257000</v>
      </c>
      <c r="F26" s="3">
        <v>23323716152000</v>
      </c>
      <c r="G26" s="3">
        <v>20952331788000</v>
      </c>
      <c r="H26" s="3">
        <v>15837200190000</v>
      </c>
      <c r="I26" s="3">
        <v>12155935632000</v>
      </c>
      <c r="J26" s="3">
        <v>10136709446000</v>
      </c>
      <c r="K26" s="3">
        <v>7486515962000</v>
      </c>
      <c r="M26" s="3">
        <v>46018468072000</v>
      </c>
      <c r="N26" s="3">
        <v>2472616076000</v>
      </c>
      <c r="O26" s="3">
        <v>5712782285000</v>
      </c>
      <c r="P26">
        <f t="shared" si="2"/>
        <v>3.4730160043484428</v>
      </c>
      <c r="Q26">
        <f t="shared" si="3"/>
        <v>0</v>
      </c>
      <c r="R26" t="str">
        <f t="shared" si="0"/>
        <v>Safe</v>
      </c>
      <c r="S26">
        <f t="shared" si="4"/>
        <v>0.20476063595092758</v>
      </c>
      <c r="T26">
        <f t="shared" si="5"/>
        <v>0.27724499395286734</v>
      </c>
      <c r="U26">
        <f t="shared" si="6"/>
        <v>9.178392632044842E-2</v>
      </c>
      <c r="V26">
        <f t="shared" si="7"/>
        <v>0.58017101652437808</v>
      </c>
      <c r="X26" s="13">
        <f t="shared" si="1"/>
        <v>2.6291015231471579</v>
      </c>
      <c r="Y26" s="10"/>
      <c r="Z26" s="10"/>
      <c r="AB26" s="10" t="str">
        <f t="shared" si="8"/>
        <v>Non-Distress</v>
      </c>
      <c r="AC26" s="10">
        <f t="shared" si="9"/>
        <v>0</v>
      </c>
      <c r="AE26" s="10">
        <f t="shared" si="10"/>
        <v>0</v>
      </c>
      <c r="AG26" s="13">
        <f t="shared" si="11"/>
        <v>0.5</v>
      </c>
      <c r="AH26" s="13">
        <f t="shared" si="12"/>
        <v>0.5</v>
      </c>
      <c r="AI26" s="10">
        <f t="shared" si="13"/>
        <v>0.25</v>
      </c>
    </row>
    <row r="27" spans="1:35" x14ac:dyDescent="0.3">
      <c r="A27" t="s">
        <v>21</v>
      </c>
      <c r="B27">
        <v>2024</v>
      </c>
      <c r="C27" s="3">
        <v>2897260201000</v>
      </c>
      <c r="D27" s="3">
        <v>84909111000</v>
      </c>
      <c r="E27" s="3">
        <v>33108684368000</v>
      </c>
      <c r="F27" s="3">
        <v>20998111740000</v>
      </c>
      <c r="G27" s="3">
        <v>18484691894000</v>
      </c>
      <c r="H27" s="3">
        <v>13454247427000</v>
      </c>
      <c r="I27" s="3">
        <v>11562536639000</v>
      </c>
      <c r="J27" s="3">
        <v>9647271262000</v>
      </c>
      <c r="K27" s="3">
        <v>7543864313000</v>
      </c>
      <c r="M27" s="3">
        <v>38729493298000</v>
      </c>
      <c r="N27" s="3">
        <v>2225117975000</v>
      </c>
      <c r="O27" s="3">
        <v>5317111993000</v>
      </c>
      <c r="P27">
        <f t="shared" si="2"/>
        <v>3.6894573678667637</v>
      </c>
      <c r="Q27">
        <f t="shared" si="3"/>
        <v>0</v>
      </c>
      <c r="R27" t="str">
        <f t="shared" si="0"/>
        <v>Safe</v>
      </c>
      <c r="S27">
        <f t="shared" si="4"/>
        <v>0.22785152768834419</v>
      </c>
      <c r="T27">
        <f t="shared" si="5"/>
        <v>0.29138189711108609</v>
      </c>
      <c r="U27">
        <f t="shared" si="6"/>
        <v>8.7507560517875546E-2</v>
      </c>
      <c r="V27">
        <f t="shared" si="7"/>
        <v>0.62551957616091602</v>
      </c>
      <c r="X27" s="13">
        <f t="shared" si="1"/>
        <v>2.7978291581395056</v>
      </c>
      <c r="Y27" s="10"/>
      <c r="Z27" s="10"/>
      <c r="AB27" s="10" t="str">
        <f t="shared" si="8"/>
        <v>Non-Distress</v>
      </c>
      <c r="AC27" s="10">
        <f t="shared" si="9"/>
        <v>0</v>
      </c>
      <c r="AE27" s="10">
        <f t="shared" si="10"/>
        <v>0</v>
      </c>
      <c r="AG27" s="13">
        <f t="shared" si="11"/>
        <v>0.5</v>
      </c>
      <c r="AH27" s="13">
        <f t="shared" si="12"/>
        <v>0.5</v>
      </c>
      <c r="AI27" s="10">
        <f t="shared" si="13"/>
        <v>0.25</v>
      </c>
    </row>
    <row r="28" spans="1:35" x14ac:dyDescent="0.3">
      <c r="A28" t="s">
        <v>21</v>
      </c>
      <c r="B28">
        <v>2023</v>
      </c>
      <c r="C28" s="3">
        <v>3736147627000</v>
      </c>
      <c r="D28" s="3">
        <v>68489236000</v>
      </c>
      <c r="E28" s="3">
        <v>30296571806000</v>
      </c>
      <c r="F28" s="3">
        <v>18163000346000</v>
      </c>
      <c r="G28" s="3">
        <v>16253614293000</v>
      </c>
      <c r="H28" s="3">
        <v>12575326497000</v>
      </c>
      <c r="I28" s="3">
        <v>11262624208000</v>
      </c>
      <c r="J28" s="3">
        <v>9392897529000</v>
      </c>
      <c r="K28" s="3">
        <v>5587673849000</v>
      </c>
      <c r="M28" s="3">
        <v>42086952436000</v>
      </c>
      <c r="N28" s="3">
        <v>2780349511000</v>
      </c>
      <c r="O28" s="3">
        <v>4628766141000</v>
      </c>
      <c r="P28">
        <f t="shared" si="2"/>
        <v>3.7768625129605526</v>
      </c>
      <c r="Q28">
        <f t="shared" si="3"/>
        <v>0</v>
      </c>
      <c r="R28" t="str">
        <f t="shared" si="0"/>
        <v>Safe</v>
      </c>
      <c r="S28">
        <f t="shared" si="4"/>
        <v>0.18443254519950025</v>
      </c>
      <c r="T28">
        <f t="shared" si="5"/>
        <v>0.31003169563692384</v>
      </c>
      <c r="U28">
        <f t="shared" si="6"/>
        <v>0.12331915475202659</v>
      </c>
      <c r="V28">
        <f t="shared" si="7"/>
        <v>0.69293044642080093</v>
      </c>
      <c r="X28" s="13">
        <f t="shared" si="1"/>
        <v>2.7697096720039358</v>
      </c>
      <c r="Y28" s="10"/>
      <c r="Z28" s="10"/>
      <c r="AB28" s="10" t="str">
        <f t="shared" si="8"/>
        <v>Non-Distress</v>
      </c>
      <c r="AC28" s="10">
        <f t="shared" si="9"/>
        <v>0</v>
      </c>
      <c r="AE28" s="10">
        <f t="shared" si="10"/>
        <v>0</v>
      </c>
      <c r="AG28" s="13">
        <f t="shared" si="11"/>
        <v>0.5</v>
      </c>
      <c r="AH28" s="13">
        <f t="shared" si="12"/>
        <v>0.5</v>
      </c>
      <c r="AI28" s="10">
        <f t="shared" si="13"/>
        <v>0.25</v>
      </c>
    </row>
    <row r="29" spans="1:35" x14ac:dyDescent="0.3">
      <c r="A29" t="s">
        <v>21</v>
      </c>
      <c r="B29">
        <v>2022</v>
      </c>
      <c r="C29" s="3">
        <v>3081029091000</v>
      </c>
      <c r="D29" s="3">
        <v>57212531000</v>
      </c>
      <c r="E29" s="3">
        <v>27187608036000</v>
      </c>
      <c r="F29" s="3">
        <v>15841294251000</v>
      </c>
      <c r="G29" s="3">
        <v>14032797261000</v>
      </c>
      <c r="H29" s="3">
        <v>11280491593000</v>
      </c>
      <c r="I29" s="3">
        <v>10968862687000</v>
      </c>
      <c r="J29" s="3">
        <v>9090404725000</v>
      </c>
      <c r="K29" s="3">
        <v>4560802658000</v>
      </c>
      <c r="M29" s="3">
        <v>47539986604000</v>
      </c>
      <c r="N29" s="3">
        <v>2403334889000</v>
      </c>
      <c r="O29" s="3">
        <v>3016563253000</v>
      </c>
      <c r="P29">
        <f t="shared" si="2"/>
        <v>3.7727523315280642</v>
      </c>
      <c r="Q29">
        <f t="shared" si="3"/>
        <v>0</v>
      </c>
      <c r="R29" t="str">
        <f t="shared" si="0"/>
        <v>Safe</v>
      </c>
      <c r="S29">
        <f t="shared" si="4"/>
        <v>0.16775299437747124</v>
      </c>
      <c r="T29">
        <f t="shared" si="5"/>
        <v>0.33435838537038998</v>
      </c>
      <c r="U29">
        <f t="shared" si="6"/>
        <v>0.11332475762193969</v>
      </c>
      <c r="V29">
        <f t="shared" si="7"/>
        <v>0.78165902941423537</v>
      </c>
      <c r="X29" s="13">
        <f t="shared" si="1"/>
        <v>2.7029638518448</v>
      </c>
      <c r="Y29" s="10"/>
      <c r="Z29" s="10"/>
      <c r="AB29" s="10" t="str">
        <f t="shared" si="8"/>
        <v>Non-Distress</v>
      </c>
      <c r="AC29" s="10">
        <f t="shared" si="9"/>
        <v>0</v>
      </c>
      <c r="AE29" s="10">
        <f t="shared" si="10"/>
        <v>0</v>
      </c>
      <c r="AG29" s="13">
        <f t="shared" si="11"/>
        <v>0.5</v>
      </c>
      <c r="AH29" s="13">
        <f t="shared" si="12"/>
        <v>0.5</v>
      </c>
      <c r="AI29" s="10">
        <f t="shared" si="13"/>
        <v>0.25</v>
      </c>
    </row>
    <row r="30" spans="1:35" x14ac:dyDescent="0.3">
      <c r="A30" t="s">
        <v>22</v>
      </c>
      <c r="B30">
        <v>2025</v>
      </c>
      <c r="C30" s="3">
        <v>93805837241</v>
      </c>
      <c r="D30" s="3">
        <v>46361128337</v>
      </c>
      <c r="E30" s="3">
        <v>2088153839835</v>
      </c>
      <c r="F30" s="3">
        <v>1025554589240</v>
      </c>
      <c r="G30" s="3">
        <v>1031624941322</v>
      </c>
      <c r="H30" s="3">
        <v>851473350517</v>
      </c>
      <c r="I30" s="3">
        <v>1049126800036</v>
      </c>
      <c r="J30" s="3">
        <v>360527659034</v>
      </c>
      <c r="K30" s="3">
        <v>174081238723</v>
      </c>
      <c r="M30" s="3">
        <v>2119242447464</v>
      </c>
      <c r="N30" s="3">
        <v>35118202918</v>
      </c>
      <c r="O30" s="3">
        <v>612237488056</v>
      </c>
      <c r="P30">
        <f t="shared" si="2"/>
        <v>2.4794281370295277</v>
      </c>
      <c r="Q30">
        <f t="shared" si="3"/>
        <v>0</v>
      </c>
      <c r="R30" t="str">
        <f t="shared" si="0"/>
        <v>Grey Area</v>
      </c>
      <c r="S30">
        <f t="shared" si="4"/>
        <v>8.3366098513486628E-2</v>
      </c>
      <c r="T30">
        <f t="shared" si="5"/>
        <v>0.17265378256924205</v>
      </c>
      <c r="U30">
        <f t="shared" si="6"/>
        <v>4.4922857431046494E-2</v>
      </c>
      <c r="V30">
        <f t="shared" si="7"/>
        <v>1.0169653311130418</v>
      </c>
      <c r="X30" s="13">
        <f t="shared" si="1"/>
        <v>1.3364163536357616</v>
      </c>
      <c r="Y30" s="10"/>
      <c r="Z30" s="10"/>
      <c r="AB30" s="10" t="str">
        <f t="shared" si="8"/>
        <v>Non-Distress</v>
      </c>
      <c r="AC30" s="10">
        <f t="shared" si="9"/>
        <v>0</v>
      </c>
      <c r="AE30" s="10">
        <f t="shared" si="10"/>
        <v>0</v>
      </c>
      <c r="AG30" s="13">
        <f t="shared" si="11"/>
        <v>0.5</v>
      </c>
      <c r="AH30" s="13">
        <f t="shared" si="12"/>
        <v>0.5</v>
      </c>
      <c r="AI30" s="10">
        <f t="shared" si="13"/>
        <v>0.25</v>
      </c>
    </row>
    <row r="31" spans="1:35" x14ac:dyDescent="0.3">
      <c r="A31" t="s">
        <v>22</v>
      </c>
      <c r="B31">
        <v>2024</v>
      </c>
      <c r="C31" s="3">
        <v>34764815987</v>
      </c>
      <c r="D31" s="3">
        <v>45102961696</v>
      </c>
      <c r="E31" s="3">
        <v>2046681278169</v>
      </c>
      <c r="F31" s="3">
        <v>947105255724</v>
      </c>
      <c r="G31" s="3">
        <v>1019907046039</v>
      </c>
      <c r="H31" s="3">
        <v>767212518685</v>
      </c>
      <c r="I31" s="3">
        <v>1019581996947</v>
      </c>
      <c r="J31" s="3">
        <v>328732516045</v>
      </c>
      <c r="K31" s="3">
        <v>179892737039</v>
      </c>
      <c r="M31" s="3">
        <v>1856914462624</v>
      </c>
      <c r="N31" s="3">
        <v>-8642229912</v>
      </c>
      <c r="O31" s="3">
        <v>580966123579</v>
      </c>
      <c r="P31">
        <f t="shared" si="2"/>
        <v>2.2640136552236783</v>
      </c>
      <c r="Q31">
        <f t="shared" si="3"/>
        <v>0</v>
      </c>
      <c r="R31" t="str">
        <f t="shared" si="0"/>
        <v>Grey Area</v>
      </c>
      <c r="S31">
        <f t="shared" si="4"/>
        <v>8.7894846626991902E-2</v>
      </c>
      <c r="T31">
        <f t="shared" si="5"/>
        <v>0.16061734650697071</v>
      </c>
      <c r="U31">
        <f t="shared" si="6"/>
        <v>1.6985945177600523E-2</v>
      </c>
      <c r="V31">
        <f t="shared" si="7"/>
        <v>0.99968129537563022</v>
      </c>
      <c r="X31" s="13">
        <f t="shared" si="1"/>
        <v>1.1887624104431489</v>
      </c>
      <c r="Y31" s="10"/>
      <c r="Z31" s="10"/>
      <c r="AB31" s="10" t="str">
        <f t="shared" si="8"/>
        <v>Non-Distress</v>
      </c>
      <c r="AC31" s="10">
        <f t="shared" si="9"/>
        <v>0</v>
      </c>
      <c r="AE31" s="10">
        <f t="shared" si="10"/>
        <v>0</v>
      </c>
      <c r="AG31" s="13">
        <f t="shared" si="11"/>
        <v>0.5</v>
      </c>
      <c r="AH31" s="13">
        <f t="shared" si="12"/>
        <v>0.5</v>
      </c>
      <c r="AI31" s="10">
        <f t="shared" si="13"/>
        <v>0.25</v>
      </c>
    </row>
    <row r="32" spans="1:35" x14ac:dyDescent="0.3">
      <c r="A32" t="s">
        <v>22</v>
      </c>
      <c r="B32">
        <v>2023</v>
      </c>
      <c r="C32" s="3">
        <v>46663715245</v>
      </c>
      <c r="D32" s="3">
        <v>42658220003</v>
      </c>
      <c r="E32" s="3">
        <v>1751702567743</v>
      </c>
      <c r="F32" s="3">
        <v>876816259095</v>
      </c>
      <c r="G32" s="3">
        <v>941764934889</v>
      </c>
      <c r="H32" s="3">
        <v>680008440675</v>
      </c>
      <c r="I32" s="3">
        <v>803523306242</v>
      </c>
      <c r="J32" s="3">
        <v>338564745577</v>
      </c>
      <c r="K32" s="3">
        <v>196807818420</v>
      </c>
      <c r="M32" s="3">
        <v>1652496343253</v>
      </c>
      <c r="N32" s="3">
        <v>2718710415</v>
      </c>
      <c r="O32" s="3">
        <v>574709740379</v>
      </c>
      <c r="P32">
        <f t="shared" si="2"/>
        <v>2.4420009138379699</v>
      </c>
      <c r="Q32">
        <f t="shared" si="3"/>
        <v>0</v>
      </c>
      <c r="R32" t="str">
        <f t="shared" si="0"/>
        <v>Grey Area</v>
      </c>
      <c r="S32">
        <f t="shared" si="4"/>
        <v>0.11235230343561073</v>
      </c>
      <c r="T32">
        <f t="shared" si="5"/>
        <v>0.19327752999370629</v>
      </c>
      <c r="U32">
        <f t="shared" si="6"/>
        <v>2.6639063105972589E-2</v>
      </c>
      <c r="V32">
        <f t="shared" si="7"/>
        <v>0.85321004899880493</v>
      </c>
      <c r="X32" s="13">
        <f t="shared" si="1"/>
        <v>1.4856956091619526</v>
      </c>
      <c r="Y32" s="10"/>
      <c r="Z32" s="10"/>
      <c r="AB32" s="10" t="str">
        <f t="shared" si="8"/>
        <v>Non-Distress</v>
      </c>
      <c r="AC32" s="10">
        <f t="shared" si="9"/>
        <v>0</v>
      </c>
      <c r="AE32" s="10">
        <f t="shared" si="10"/>
        <v>0</v>
      </c>
      <c r="AG32" s="13">
        <f t="shared" si="11"/>
        <v>0.5</v>
      </c>
      <c r="AH32" s="13">
        <f t="shared" si="12"/>
        <v>0.5</v>
      </c>
      <c r="AI32" s="10">
        <f t="shared" si="13"/>
        <v>0.25</v>
      </c>
    </row>
    <row r="33" spans="1:35" x14ac:dyDescent="0.3">
      <c r="A33" t="s">
        <v>22</v>
      </c>
      <c r="B33">
        <v>2022</v>
      </c>
      <c r="C33" s="3">
        <v>100368036323</v>
      </c>
      <c r="D33" s="3">
        <v>15523445910</v>
      </c>
      <c r="E33" s="3">
        <v>1568806950187</v>
      </c>
      <c r="F33" s="3">
        <v>714110899271</v>
      </c>
      <c r="G33" s="3">
        <v>803638004050</v>
      </c>
      <c r="H33" s="3">
        <v>508007638970</v>
      </c>
      <c r="I33" s="3">
        <v>758960288347</v>
      </c>
      <c r="J33" s="3">
        <v>340889319182</v>
      </c>
      <c r="K33" s="3">
        <v>206103260301</v>
      </c>
      <c r="M33" s="3">
        <v>1401914243306</v>
      </c>
      <c r="N33" s="3">
        <v>65304232607</v>
      </c>
      <c r="O33" s="3">
        <v>519668782856</v>
      </c>
      <c r="P33">
        <f t="shared" si="2"/>
        <v>2.9917508084086064</v>
      </c>
      <c r="Q33">
        <f t="shared" si="3"/>
        <v>0</v>
      </c>
      <c r="R33" t="str">
        <f t="shared" si="0"/>
        <v>Safe</v>
      </c>
      <c r="S33">
        <f t="shared" si="4"/>
        <v>0.13137579501189278</v>
      </c>
      <c r="T33">
        <f t="shared" si="5"/>
        <v>0.21729207608454718</v>
      </c>
      <c r="U33">
        <f t="shared" si="6"/>
        <v>6.3977302185610693E-2</v>
      </c>
      <c r="V33">
        <f t="shared" si="7"/>
        <v>0.94440567086444027</v>
      </c>
      <c r="X33" s="13">
        <f t="shared" si="1"/>
        <v>1.865211881895487</v>
      </c>
      <c r="Y33" s="10"/>
      <c r="Z33" s="10"/>
      <c r="AB33" s="10" t="str">
        <f t="shared" si="8"/>
        <v>Non-Distress</v>
      </c>
      <c r="AC33" s="10">
        <f t="shared" si="9"/>
        <v>0</v>
      </c>
      <c r="AE33" s="10">
        <f t="shared" si="10"/>
        <v>0</v>
      </c>
      <c r="AG33" s="13">
        <f t="shared" si="11"/>
        <v>0.5</v>
      </c>
      <c r="AH33" s="13">
        <f t="shared" si="12"/>
        <v>0.5</v>
      </c>
      <c r="AI33" s="10">
        <f t="shared" si="13"/>
        <v>0.25</v>
      </c>
    </row>
    <row r="34" spans="1:35" x14ac:dyDescent="0.3">
      <c r="A34" t="s">
        <v>23</v>
      </c>
      <c r="B34">
        <v>2025</v>
      </c>
      <c r="C34" s="3">
        <v>225095000000</v>
      </c>
      <c r="D34" s="3">
        <v>84016000000</v>
      </c>
      <c r="E34" s="3">
        <v>7077828000000</v>
      </c>
      <c r="F34" s="3">
        <v>2286743000000</v>
      </c>
      <c r="G34" s="3">
        <v>2396846000000</v>
      </c>
      <c r="H34" s="3">
        <v>1345435000000</v>
      </c>
      <c r="I34" s="3">
        <v>4680982000000</v>
      </c>
      <c r="J34" s="3">
        <v>4216399000000</v>
      </c>
      <c r="K34" s="3">
        <v>941308000000</v>
      </c>
      <c r="M34" s="3">
        <v>5085991000000</v>
      </c>
      <c r="N34" s="3">
        <v>79631000000</v>
      </c>
      <c r="O34" s="3">
        <v>1112833000000</v>
      </c>
      <c r="P34">
        <f t="shared" si="2"/>
        <v>5.0788246103227017</v>
      </c>
      <c r="Q34">
        <f t="shared" si="3"/>
        <v>0</v>
      </c>
      <c r="R34" t="str">
        <f t="shared" si="0"/>
        <v>Safe</v>
      </c>
      <c r="S34">
        <f t="shared" si="4"/>
        <v>0.13299390717039183</v>
      </c>
      <c r="T34">
        <f t="shared" si="5"/>
        <v>0.59571933649701581</v>
      </c>
      <c r="U34">
        <f t="shared" si="6"/>
        <v>3.1802835559157416E-2</v>
      </c>
      <c r="V34">
        <f t="shared" si="7"/>
        <v>1.9529757022353542</v>
      </c>
      <c r="X34" s="13">
        <f t="shared" si="1"/>
        <v>3.0031268549600689</v>
      </c>
      <c r="Y34" s="10"/>
      <c r="Z34" s="10"/>
      <c r="AB34" s="10" t="str">
        <f t="shared" si="8"/>
        <v>Non-Distress</v>
      </c>
      <c r="AC34" s="10">
        <f t="shared" si="9"/>
        <v>0</v>
      </c>
      <c r="AE34" s="10">
        <f t="shared" si="10"/>
        <v>0</v>
      </c>
      <c r="AG34" s="13">
        <f t="shared" si="11"/>
        <v>0.5</v>
      </c>
      <c r="AH34" s="13">
        <f t="shared" si="12"/>
        <v>0.5</v>
      </c>
      <c r="AI34" s="10">
        <f t="shared" si="13"/>
        <v>0.25</v>
      </c>
    </row>
    <row r="35" spans="1:35" x14ac:dyDescent="0.3">
      <c r="A35" t="s">
        <v>23</v>
      </c>
      <c r="B35">
        <v>2024</v>
      </c>
      <c r="C35" s="3">
        <v>421672000000</v>
      </c>
      <c r="D35" s="3">
        <v>105413000000</v>
      </c>
      <c r="E35" s="3">
        <v>7271566000000</v>
      </c>
      <c r="F35" s="3">
        <v>2128507000000</v>
      </c>
      <c r="G35" s="3">
        <v>2778081000000</v>
      </c>
      <c r="H35" s="3">
        <v>1502915000000</v>
      </c>
      <c r="I35" s="3">
        <v>4493485000000</v>
      </c>
      <c r="J35" s="3">
        <v>4028902000000</v>
      </c>
      <c r="K35" s="3">
        <v>625592000000</v>
      </c>
      <c r="M35" s="3">
        <v>5441260000000</v>
      </c>
      <c r="N35" s="3">
        <v>238610000000</v>
      </c>
      <c r="O35" s="3">
        <v>1304086000000</v>
      </c>
      <c r="P35">
        <f t="shared" si="2"/>
        <v>4.4586569231009703</v>
      </c>
      <c r="Q35">
        <f t="shared" si="3"/>
        <v>0</v>
      </c>
      <c r="R35" t="str">
        <f t="shared" si="0"/>
        <v>Safe</v>
      </c>
      <c r="S35">
        <f t="shared" si="4"/>
        <v>8.6032637261354711E-2</v>
      </c>
      <c r="T35">
        <f t="shared" si="5"/>
        <v>0.55406249492887771</v>
      </c>
      <c r="U35">
        <f t="shared" si="6"/>
        <v>5.7989159419030233E-2</v>
      </c>
      <c r="V35">
        <f t="shared" si="7"/>
        <v>1.6174780360975796</v>
      </c>
      <c r="X35" s="13">
        <f t="shared" si="1"/>
        <v>2.6918261738391189</v>
      </c>
      <c r="Y35" s="10"/>
      <c r="Z35" s="10"/>
      <c r="AB35" s="10" t="str">
        <f t="shared" si="8"/>
        <v>Non-Distress</v>
      </c>
      <c r="AC35" s="10">
        <f t="shared" si="9"/>
        <v>0</v>
      </c>
      <c r="AE35" s="10">
        <f t="shared" si="10"/>
        <v>0</v>
      </c>
      <c r="AG35" s="13">
        <f t="shared" si="11"/>
        <v>0.5</v>
      </c>
      <c r="AH35" s="13">
        <f t="shared" si="12"/>
        <v>0.5</v>
      </c>
      <c r="AI35" s="10">
        <f t="shared" si="13"/>
        <v>0.25</v>
      </c>
    </row>
    <row r="36" spans="1:35" x14ac:dyDescent="0.3">
      <c r="A36" t="s">
        <v>23</v>
      </c>
      <c r="B36">
        <v>2023</v>
      </c>
      <c r="C36" s="3">
        <v>899375000000</v>
      </c>
      <c r="D36" s="3">
        <v>143625000000</v>
      </c>
      <c r="E36" s="3">
        <v>7500664000000</v>
      </c>
      <c r="F36" s="3">
        <v>2776505000000</v>
      </c>
      <c r="G36" s="3">
        <v>3259927000000</v>
      </c>
      <c r="H36" s="3">
        <v>1922939000000</v>
      </c>
      <c r="I36" s="3">
        <v>4240737000000</v>
      </c>
      <c r="J36" s="3">
        <v>3776154000000</v>
      </c>
      <c r="K36" s="3">
        <v>853566000000</v>
      </c>
      <c r="M36" s="3">
        <v>5913565000000</v>
      </c>
      <c r="N36" s="3">
        <v>583297000000</v>
      </c>
      <c r="O36" s="3">
        <v>1841580000000</v>
      </c>
      <c r="P36">
        <f t="shared" si="2"/>
        <v>4.5594234032582177</v>
      </c>
      <c r="Q36">
        <f t="shared" si="3"/>
        <v>0</v>
      </c>
      <c r="R36" t="str">
        <f t="shared" si="0"/>
        <v>Safe</v>
      </c>
      <c r="S36">
        <f t="shared" si="4"/>
        <v>0.11379872501954494</v>
      </c>
      <c r="T36">
        <f t="shared" si="5"/>
        <v>0.50344262854595279</v>
      </c>
      <c r="U36">
        <f t="shared" si="6"/>
        <v>0.11990605098428619</v>
      </c>
      <c r="V36">
        <f t="shared" si="7"/>
        <v>1.3008687004340895</v>
      </c>
      <c r="X36" s="13">
        <f t="shared" si="1"/>
        <v>2.981530570510476</v>
      </c>
      <c r="Y36" s="10"/>
      <c r="Z36" s="10"/>
      <c r="AB36" s="10" t="str">
        <f t="shared" si="8"/>
        <v>Non-Distress</v>
      </c>
      <c r="AC36" s="10">
        <f t="shared" si="9"/>
        <v>0</v>
      </c>
      <c r="AE36" s="10">
        <f t="shared" si="10"/>
        <v>0</v>
      </c>
      <c r="AG36" s="13">
        <f t="shared" si="11"/>
        <v>0.5</v>
      </c>
      <c r="AH36" s="13">
        <f t="shared" si="12"/>
        <v>0.5</v>
      </c>
      <c r="AI36" s="10">
        <f t="shared" si="13"/>
        <v>0.25</v>
      </c>
    </row>
    <row r="37" spans="1:35" x14ac:dyDescent="0.3">
      <c r="A37" t="s">
        <v>23</v>
      </c>
      <c r="B37">
        <v>2022</v>
      </c>
      <c r="C37" s="3">
        <v>660571000000</v>
      </c>
      <c r="D37" s="3">
        <v>94731000000</v>
      </c>
      <c r="E37" s="3">
        <v>7466520000000</v>
      </c>
      <c r="F37" s="3">
        <v>2392927000000</v>
      </c>
      <c r="G37" s="3">
        <v>3746348000000</v>
      </c>
      <c r="H37" s="3">
        <v>1986252000000</v>
      </c>
      <c r="I37" s="3">
        <v>3720172000000</v>
      </c>
      <c r="J37" s="3">
        <v>3255589000000</v>
      </c>
      <c r="K37" s="3">
        <v>406675000000</v>
      </c>
      <c r="M37" s="3">
        <v>5571767000000</v>
      </c>
      <c r="N37" s="3">
        <v>437370000000</v>
      </c>
      <c r="O37" s="3">
        <v>2399562000000</v>
      </c>
      <c r="P37">
        <f t="shared" si="2"/>
        <v>3.4159305403659177</v>
      </c>
      <c r="Q37">
        <f t="shared" si="3"/>
        <v>0</v>
      </c>
      <c r="R37" t="str">
        <f t="shared" si="0"/>
        <v>Safe</v>
      </c>
      <c r="S37">
        <f t="shared" si="4"/>
        <v>5.4466471662836233E-2</v>
      </c>
      <c r="T37">
        <f t="shared" si="5"/>
        <v>0.43602494870434955</v>
      </c>
      <c r="U37">
        <f t="shared" si="6"/>
        <v>8.8471068181696422E-2</v>
      </c>
      <c r="V37">
        <f t="shared" si="7"/>
        <v>0.99301292885765013</v>
      </c>
      <c r="X37" s="13">
        <f t="shared" si="1"/>
        <v>2.2326389669946782</v>
      </c>
      <c r="Y37" s="10"/>
      <c r="Z37" s="10"/>
      <c r="AB37" s="10" t="str">
        <f t="shared" si="8"/>
        <v>Non-Distress</v>
      </c>
      <c r="AC37" s="10">
        <f t="shared" si="9"/>
        <v>0</v>
      </c>
      <c r="AE37" s="10">
        <f t="shared" si="10"/>
        <v>0</v>
      </c>
      <c r="AG37" s="13">
        <f t="shared" si="11"/>
        <v>0.5</v>
      </c>
      <c r="AH37" s="13">
        <f t="shared" si="12"/>
        <v>0.5</v>
      </c>
      <c r="AI37" s="10">
        <f t="shared" si="13"/>
        <v>0.25</v>
      </c>
    </row>
    <row r="38" spans="1:35" x14ac:dyDescent="0.3">
      <c r="A38" t="s">
        <v>24</v>
      </c>
      <c r="B38">
        <v>2025</v>
      </c>
      <c r="C38" s="3">
        <v>-12875036879</v>
      </c>
      <c r="D38" s="3">
        <v>12102052561</v>
      </c>
      <c r="E38" s="3">
        <v>296571404929</v>
      </c>
      <c r="F38" s="3">
        <v>35915151956</v>
      </c>
      <c r="G38" s="3">
        <v>177942579957</v>
      </c>
      <c r="H38" s="3">
        <v>39107613198</v>
      </c>
      <c r="I38" s="3">
        <v>118628824972</v>
      </c>
      <c r="J38" s="3">
        <v>-121564117352</v>
      </c>
      <c r="K38" s="3">
        <v>-3192461242</v>
      </c>
      <c r="M38" s="3">
        <v>246430143605</v>
      </c>
      <c r="N38" s="3">
        <v>-40968136595</v>
      </c>
      <c r="O38" s="3">
        <v>140789074580</v>
      </c>
      <c r="P38">
        <f t="shared" si="2"/>
        <v>-0.99861638945564557</v>
      </c>
      <c r="Q38">
        <f t="shared" si="3"/>
        <v>1</v>
      </c>
      <c r="R38" t="str">
        <f t="shared" si="0"/>
        <v>Distress</v>
      </c>
      <c r="S38">
        <f t="shared" si="4"/>
        <v>-1.0764561886080298E-2</v>
      </c>
      <c r="T38">
        <f t="shared" si="5"/>
        <v>-0.409898308911821</v>
      </c>
      <c r="U38">
        <f t="shared" si="6"/>
        <v>-4.3412940914119208E-2</v>
      </c>
      <c r="V38">
        <f t="shared" si="7"/>
        <v>0.66666913001186545</v>
      </c>
      <c r="X38" s="13">
        <f t="shared" si="1"/>
        <v>-1.5906418345357898</v>
      </c>
      <c r="Y38" s="10"/>
      <c r="Z38" s="10"/>
      <c r="AB38" s="10" t="str">
        <f t="shared" si="8"/>
        <v>Distress</v>
      </c>
      <c r="AC38" s="10">
        <f t="shared" si="9"/>
        <v>1</v>
      </c>
      <c r="AE38" s="10">
        <f t="shared" si="10"/>
        <v>1</v>
      </c>
      <c r="AG38" s="13">
        <f t="shared" si="11"/>
        <v>0.7310585786300049</v>
      </c>
      <c r="AH38" s="13">
        <f t="shared" si="12"/>
        <v>-0.2689414213699951</v>
      </c>
      <c r="AI38" s="10">
        <f t="shared" si="13"/>
        <v>0.19661193324148185</v>
      </c>
    </row>
    <row r="39" spans="1:35" x14ac:dyDescent="0.3">
      <c r="A39" t="s">
        <v>24</v>
      </c>
      <c r="B39">
        <v>2024</v>
      </c>
      <c r="C39" s="3">
        <v>-10050659680</v>
      </c>
      <c r="D39" s="3">
        <v>12664927763</v>
      </c>
      <c r="E39" s="3">
        <v>350160565915</v>
      </c>
      <c r="F39" s="3">
        <v>38490927187</v>
      </c>
      <c r="G39" s="3">
        <v>190381893443</v>
      </c>
      <c r="H39" s="3">
        <v>50093781413</v>
      </c>
      <c r="I39" s="3">
        <v>159778672472</v>
      </c>
      <c r="J39" s="3">
        <v>-80595980757</v>
      </c>
      <c r="K39" s="3">
        <v>-11602854226</v>
      </c>
      <c r="M39" s="3">
        <v>196741616114</v>
      </c>
      <c r="N39" s="3">
        <v>-23050071071</v>
      </c>
      <c r="O39" s="3">
        <v>149888311058</v>
      </c>
      <c r="P39">
        <f t="shared" si="2"/>
        <v>-0.2793886720743135</v>
      </c>
      <c r="Q39">
        <f t="shared" si="3"/>
        <v>1</v>
      </c>
      <c r="R39" t="str">
        <f t="shared" si="0"/>
        <v>Distress</v>
      </c>
      <c r="S39">
        <f t="shared" si="4"/>
        <v>-3.313581069781725E-2</v>
      </c>
      <c r="T39">
        <f t="shared" si="5"/>
        <v>-0.23016863862552797</v>
      </c>
      <c r="U39">
        <f t="shared" si="6"/>
        <v>-2.8703002731723239E-2</v>
      </c>
      <c r="V39">
        <f t="shared" si="7"/>
        <v>0.83925351083787514</v>
      </c>
      <c r="X39" s="13">
        <f t="shared" si="1"/>
        <v>-1.0597194230240212</v>
      </c>
      <c r="Y39" s="10"/>
      <c r="Z39" s="10"/>
      <c r="AB39" s="10" t="str">
        <f t="shared" si="8"/>
        <v>Distress</v>
      </c>
      <c r="AC39" s="10">
        <f t="shared" si="9"/>
        <v>1</v>
      </c>
      <c r="AE39" s="10">
        <f t="shared" si="10"/>
        <v>1</v>
      </c>
      <c r="AG39" s="13">
        <f t="shared" si="11"/>
        <v>0.7310585786300049</v>
      </c>
      <c r="AH39" s="13">
        <f t="shared" si="12"/>
        <v>-0.2689414213699951</v>
      </c>
      <c r="AI39" s="10">
        <f t="shared" si="13"/>
        <v>0.19661193324148185</v>
      </c>
    </row>
    <row r="40" spans="1:35" x14ac:dyDescent="0.3">
      <c r="A40" t="s">
        <v>24</v>
      </c>
      <c r="B40">
        <v>2023</v>
      </c>
      <c r="C40" s="3">
        <v>-52735786024</v>
      </c>
      <c r="D40" s="3">
        <v>13503357764</v>
      </c>
      <c r="E40" s="3">
        <v>378135050642</v>
      </c>
      <c r="F40" s="3">
        <v>24214366203</v>
      </c>
      <c r="G40" s="3">
        <v>195395707177</v>
      </c>
      <c r="H40" s="3">
        <v>41923858695</v>
      </c>
      <c r="I40" s="3">
        <v>182739343465</v>
      </c>
      <c r="J40" s="3">
        <v>-57545909686</v>
      </c>
      <c r="K40" s="3">
        <v>-17709492492</v>
      </c>
      <c r="M40" s="3">
        <v>219942382085</v>
      </c>
      <c r="N40" s="3">
        <v>-55959237094</v>
      </c>
      <c r="O40" s="3">
        <v>161852856289</v>
      </c>
      <c r="P40">
        <f t="shared" si="2"/>
        <v>-0.75854962010376059</v>
      </c>
      <c r="Q40">
        <f t="shared" si="3"/>
        <v>1</v>
      </c>
      <c r="R40" t="str">
        <f t="shared" si="0"/>
        <v>Distress</v>
      </c>
      <c r="S40">
        <f t="shared" si="4"/>
        <v>-4.6833776614817156E-2</v>
      </c>
      <c r="T40">
        <f t="shared" si="5"/>
        <v>-0.15218348467908013</v>
      </c>
      <c r="U40">
        <f t="shared" si="6"/>
        <v>-0.13946283459960895</v>
      </c>
      <c r="V40">
        <f t="shared" si="7"/>
        <v>0.93522701243106032</v>
      </c>
      <c r="X40" s="13">
        <f t="shared" si="1"/>
        <v>-1.4194954670824396</v>
      </c>
      <c r="Y40" s="10"/>
      <c r="Z40" s="10"/>
      <c r="AB40" s="10" t="str">
        <f t="shared" si="8"/>
        <v>Distress</v>
      </c>
      <c r="AC40" s="10">
        <f t="shared" si="9"/>
        <v>1</v>
      </c>
      <c r="AE40" s="10">
        <f t="shared" si="10"/>
        <v>1</v>
      </c>
      <c r="AG40" s="13">
        <f t="shared" si="11"/>
        <v>0.7310585786300049</v>
      </c>
      <c r="AH40" s="13">
        <f t="shared" si="12"/>
        <v>-0.2689414213699951</v>
      </c>
      <c r="AI40" s="10">
        <f t="shared" si="13"/>
        <v>0.19661193324148185</v>
      </c>
    </row>
    <row r="41" spans="1:35" x14ac:dyDescent="0.3">
      <c r="A41" t="s">
        <v>24</v>
      </c>
      <c r="B41">
        <v>2022</v>
      </c>
      <c r="C41" s="3">
        <v>2965672400</v>
      </c>
      <c r="D41" s="3">
        <v>14969816054</v>
      </c>
      <c r="E41" s="3">
        <v>444210370402</v>
      </c>
      <c r="F41" s="3">
        <v>77817661367</v>
      </c>
      <c r="G41" s="3">
        <v>205516461751</v>
      </c>
      <c r="H41" s="3">
        <v>51320417645</v>
      </c>
      <c r="I41" s="3">
        <v>238693908651</v>
      </c>
      <c r="J41" s="3">
        <v>-19285693307</v>
      </c>
      <c r="K41" s="3">
        <v>26497243722</v>
      </c>
      <c r="M41" s="3">
        <v>317855645702</v>
      </c>
      <c r="N41" s="3">
        <v>-10787670426</v>
      </c>
      <c r="O41" s="3">
        <v>167401015283</v>
      </c>
      <c r="P41">
        <f t="shared" si="2"/>
        <v>1.5141411212162161</v>
      </c>
      <c r="Q41">
        <f t="shared" si="3"/>
        <v>0</v>
      </c>
      <c r="R41" t="str">
        <f t="shared" si="0"/>
        <v>Grey Area</v>
      </c>
      <c r="S41">
        <f t="shared" si="4"/>
        <v>5.9650214149707073E-2</v>
      </c>
      <c r="T41">
        <f t="shared" si="5"/>
        <v>-4.3415675526771016E-2</v>
      </c>
      <c r="U41">
        <f t="shared" si="6"/>
        <v>6.6762790731700744E-3</v>
      </c>
      <c r="V41">
        <f t="shared" si="7"/>
        <v>1.1614344983235318</v>
      </c>
      <c r="X41" s="13">
        <f t="shared" si="1"/>
        <v>0.30446970517440364</v>
      </c>
      <c r="Y41" s="10"/>
      <c r="Z41" s="10"/>
      <c r="AB41" s="10" t="str">
        <f t="shared" si="8"/>
        <v>Non-Distress</v>
      </c>
      <c r="AC41" s="10">
        <f t="shared" si="9"/>
        <v>0</v>
      </c>
      <c r="AE41" s="10">
        <f t="shared" si="10"/>
        <v>0</v>
      </c>
      <c r="AG41" s="13">
        <f t="shared" si="11"/>
        <v>0.5</v>
      </c>
      <c r="AH41" s="13">
        <f t="shared" si="12"/>
        <v>0.5</v>
      </c>
      <c r="AI41" s="10">
        <f t="shared" si="13"/>
        <v>0.25</v>
      </c>
    </row>
    <row r="42" spans="1:35" x14ac:dyDescent="0.3">
      <c r="A42" t="s">
        <v>25</v>
      </c>
      <c r="B42">
        <v>2025</v>
      </c>
      <c r="C42" s="3">
        <v>-355238671258.30548</v>
      </c>
      <c r="D42" s="3">
        <v>95303361140.608734</v>
      </c>
      <c r="E42" s="3">
        <v>5296889315042.1709</v>
      </c>
      <c r="F42" s="3">
        <v>1654952034475.521</v>
      </c>
      <c r="G42" s="3">
        <v>1508920870942.217</v>
      </c>
      <c r="H42" s="3">
        <v>1372093634310.5129</v>
      </c>
      <c r="I42" s="3">
        <v>3781489973632.5532</v>
      </c>
      <c r="J42" s="3">
        <v>2771387099277.3042</v>
      </c>
      <c r="K42" s="3">
        <v>282858400165.00873</v>
      </c>
      <c r="M42" s="3">
        <v>3959007262981.5591</v>
      </c>
      <c r="N42" s="3">
        <v>-990540425917.89453</v>
      </c>
      <c r="O42" s="3">
        <v>975546909963.55994</v>
      </c>
      <c r="P42">
        <f t="shared" si="2"/>
        <v>4.2366882915013493</v>
      </c>
      <c r="Q42">
        <f t="shared" si="3"/>
        <v>0</v>
      </c>
      <c r="R42" t="str">
        <f t="shared" si="0"/>
        <v>Safe</v>
      </c>
      <c r="S42">
        <f t="shared" si="4"/>
        <v>5.3400851583162968E-2</v>
      </c>
      <c r="T42">
        <f t="shared" si="5"/>
        <v>0.52321030975804705</v>
      </c>
      <c r="U42">
        <f t="shared" si="6"/>
        <v>-6.7065526600583167E-2</v>
      </c>
      <c r="V42">
        <f t="shared" si="7"/>
        <v>2.5060889848195109</v>
      </c>
      <c r="X42" s="13">
        <f t="shared" si="1"/>
        <v>1.8245035377324517</v>
      </c>
      <c r="Y42" s="10"/>
      <c r="Z42" s="10"/>
      <c r="AB42" s="10" t="str">
        <f t="shared" si="8"/>
        <v>Non-Distress</v>
      </c>
      <c r="AC42" s="10">
        <f t="shared" si="9"/>
        <v>0</v>
      </c>
      <c r="AE42" s="10">
        <f t="shared" si="10"/>
        <v>0</v>
      </c>
      <c r="AG42" s="13">
        <f t="shared" si="11"/>
        <v>0.5</v>
      </c>
      <c r="AH42" s="13">
        <f t="shared" si="12"/>
        <v>0.5</v>
      </c>
      <c r="AI42" s="10">
        <f t="shared" si="13"/>
        <v>0.25</v>
      </c>
    </row>
    <row r="43" spans="1:35" x14ac:dyDescent="0.3">
      <c r="A43" t="s">
        <v>25</v>
      </c>
      <c r="B43">
        <v>2024</v>
      </c>
      <c r="C43" s="3">
        <v>486022783729.83978</v>
      </c>
      <c r="D43" s="3">
        <v>162136571787.37439</v>
      </c>
      <c r="E43" s="3">
        <v>7684349394118.4268</v>
      </c>
      <c r="F43" s="3">
        <v>1022393506611.043</v>
      </c>
      <c r="G43" s="3">
        <v>2968866437408.4932</v>
      </c>
      <c r="H43" s="3">
        <v>814262577614.98267</v>
      </c>
      <c r="I43" s="3">
        <v>4701537781703.0498</v>
      </c>
      <c r="J43" s="3">
        <v>3514033594701.7031</v>
      </c>
      <c r="K43" s="3">
        <v>208130928996.06</v>
      </c>
      <c r="M43" s="3">
        <v>3756333790950.0708</v>
      </c>
      <c r="N43" s="3">
        <v>61039352300.518082</v>
      </c>
      <c r="O43" s="3">
        <v>2379592639622.1572</v>
      </c>
      <c r="P43">
        <f t="shared" si="2"/>
        <v>3.7562913470531947</v>
      </c>
      <c r="Q43">
        <f t="shared" si="3"/>
        <v>0</v>
      </c>
      <c r="R43" t="str">
        <f t="shared" si="0"/>
        <v>Safe</v>
      </c>
      <c r="S43">
        <f t="shared" si="4"/>
        <v>2.7085042379171705E-2</v>
      </c>
      <c r="T43">
        <f t="shared" si="5"/>
        <v>0.45729747757062317</v>
      </c>
      <c r="U43">
        <f t="shared" si="6"/>
        <v>6.3248397333655837E-2</v>
      </c>
      <c r="V43">
        <f t="shared" si="7"/>
        <v>1.5836137734127897</v>
      </c>
      <c r="X43" s="13">
        <f t="shared" si="1"/>
        <v>2.0383692633953729</v>
      </c>
      <c r="Y43" s="10"/>
      <c r="Z43" s="10"/>
      <c r="AB43" s="10" t="str">
        <f t="shared" si="8"/>
        <v>Non-Distress</v>
      </c>
      <c r="AC43" s="10">
        <f t="shared" si="9"/>
        <v>0</v>
      </c>
      <c r="AE43" s="10">
        <f t="shared" si="10"/>
        <v>0</v>
      </c>
      <c r="AG43" s="13">
        <f t="shared" si="11"/>
        <v>0.5</v>
      </c>
      <c r="AH43" s="13">
        <f t="shared" si="12"/>
        <v>0.5</v>
      </c>
      <c r="AI43" s="10">
        <f t="shared" si="13"/>
        <v>0.25</v>
      </c>
    </row>
    <row r="44" spans="1:35" x14ac:dyDescent="0.3">
      <c r="A44" t="s">
        <v>25</v>
      </c>
      <c r="B44">
        <v>2023</v>
      </c>
      <c r="C44" s="3">
        <v>340571883576.50488</v>
      </c>
      <c r="D44" s="3">
        <v>151672491033.45309</v>
      </c>
      <c r="E44" s="3">
        <v>7629213408802.9482</v>
      </c>
      <c r="F44" s="3">
        <v>856553364098.76575</v>
      </c>
      <c r="G44" s="3">
        <v>2940729126130.4941</v>
      </c>
      <c r="H44" s="3">
        <v>819262831477.85901</v>
      </c>
      <c r="I44" s="3">
        <v>4666163691180.3486</v>
      </c>
      <c r="J44" s="3">
        <v>3310873830238.585</v>
      </c>
      <c r="K44" s="3">
        <v>37290532620.906723</v>
      </c>
      <c r="M44" s="3">
        <v>3709638746393.2441</v>
      </c>
      <c r="N44" s="3">
        <v>80509735936.095367</v>
      </c>
      <c r="O44" s="3">
        <v>2356968332367.834</v>
      </c>
      <c r="P44">
        <f t="shared" si="2"/>
        <v>3.41287484625009</v>
      </c>
      <c r="Q44">
        <f t="shared" si="3"/>
        <v>0</v>
      </c>
      <c r="R44" t="str">
        <f t="shared" si="0"/>
        <v>Safe</v>
      </c>
      <c r="S44">
        <f t="shared" si="4"/>
        <v>4.8878607298989876E-3</v>
      </c>
      <c r="T44">
        <f t="shared" si="5"/>
        <v>0.43397315723510127</v>
      </c>
      <c r="U44">
        <f t="shared" si="6"/>
        <v>4.4640497693187724E-2</v>
      </c>
      <c r="V44">
        <f t="shared" si="7"/>
        <v>1.5867369931212389</v>
      </c>
      <c r="X44" s="13">
        <f t="shared" si="1"/>
        <v>1.7363746419163282</v>
      </c>
      <c r="Y44" s="10"/>
      <c r="Z44" s="10"/>
      <c r="AB44" s="10" t="str">
        <f t="shared" si="8"/>
        <v>Non-Distress</v>
      </c>
      <c r="AC44" s="10">
        <f t="shared" si="9"/>
        <v>0</v>
      </c>
      <c r="AE44" s="10">
        <f t="shared" si="10"/>
        <v>0</v>
      </c>
      <c r="AG44" s="13">
        <f t="shared" si="11"/>
        <v>0.5</v>
      </c>
      <c r="AH44" s="13">
        <f t="shared" si="12"/>
        <v>0.5</v>
      </c>
      <c r="AI44" s="10">
        <f t="shared" si="13"/>
        <v>0.25</v>
      </c>
    </row>
    <row r="45" spans="1:35" x14ac:dyDescent="0.3">
      <c r="A45" t="s">
        <v>25</v>
      </c>
      <c r="B45">
        <v>2022</v>
      </c>
      <c r="C45" s="3">
        <v>615702272789.02051</v>
      </c>
      <c r="D45" s="3">
        <v>78829633649.853699</v>
      </c>
      <c r="E45" s="3">
        <v>8816155182835.2734</v>
      </c>
      <c r="F45" s="3">
        <v>920224253173.68616</v>
      </c>
      <c r="G45" s="3">
        <v>2776781298377.6021</v>
      </c>
      <c r="H45" s="3">
        <v>629633718004.78479</v>
      </c>
      <c r="I45" s="3">
        <v>6006619199938.8271</v>
      </c>
      <c r="J45" s="3">
        <v>4739967235429.1973</v>
      </c>
      <c r="K45" s="3">
        <v>290590535168.90143</v>
      </c>
      <c r="M45" s="3">
        <v>4187696747026.5151</v>
      </c>
      <c r="N45" s="3">
        <v>337939684774.2746</v>
      </c>
      <c r="O45" s="3">
        <v>2105455523039.5471</v>
      </c>
      <c r="P45">
        <f t="shared" si="2"/>
        <v>4.7095777416784568</v>
      </c>
      <c r="Q45">
        <f t="shared" si="3"/>
        <v>0</v>
      </c>
      <c r="R45" t="str">
        <f t="shared" si="0"/>
        <v>Safe</v>
      </c>
      <c r="S45">
        <f t="shared" si="4"/>
        <v>3.2961141125858399E-2</v>
      </c>
      <c r="T45">
        <f t="shared" si="5"/>
        <v>0.53764562183044795</v>
      </c>
      <c r="U45">
        <f t="shared" si="6"/>
        <v>6.9837957706072359E-2</v>
      </c>
      <c r="V45">
        <f t="shared" si="7"/>
        <v>2.163158907562627</v>
      </c>
      <c r="X45" s="13">
        <f t="shared" si="1"/>
        <v>2.3944062551871546</v>
      </c>
      <c r="Y45" s="10"/>
      <c r="Z45" s="10"/>
      <c r="AB45" s="10" t="str">
        <f t="shared" si="8"/>
        <v>Non-Distress</v>
      </c>
      <c r="AC45" s="10">
        <f t="shared" si="9"/>
        <v>0</v>
      </c>
      <c r="AE45" s="10">
        <f t="shared" si="10"/>
        <v>0</v>
      </c>
      <c r="AG45" s="13">
        <f t="shared" si="11"/>
        <v>0.5</v>
      </c>
      <c r="AH45" s="13">
        <f t="shared" si="12"/>
        <v>0.5</v>
      </c>
      <c r="AI45" s="10">
        <f t="shared" si="13"/>
        <v>0.25</v>
      </c>
    </row>
    <row r="46" spans="1:35" x14ac:dyDescent="0.3">
      <c r="A46" t="s">
        <v>26</v>
      </c>
      <c r="B46">
        <v>2025</v>
      </c>
      <c r="C46" s="3">
        <v>8353312187</v>
      </c>
      <c r="D46" s="3">
        <v>1371194957</v>
      </c>
      <c r="E46" s="3">
        <v>470635044033</v>
      </c>
      <c r="F46" s="3">
        <v>209603656629</v>
      </c>
      <c r="G46" s="3">
        <v>120235936616</v>
      </c>
      <c r="H46" s="3">
        <v>52232386545</v>
      </c>
      <c r="I46" s="3">
        <v>350527066726</v>
      </c>
      <c r="J46" s="3">
        <v>198330004998</v>
      </c>
      <c r="K46" s="3">
        <v>157371270084</v>
      </c>
      <c r="M46" s="3">
        <v>300472069089</v>
      </c>
      <c r="N46" s="3">
        <v>5635165158</v>
      </c>
      <c r="O46" s="3">
        <v>21029235757</v>
      </c>
      <c r="P46">
        <f t="shared" si="2"/>
        <v>6.7476985118401895</v>
      </c>
      <c r="Q46">
        <f t="shared" si="3"/>
        <v>0</v>
      </c>
      <c r="R46" t="str">
        <f t="shared" si="0"/>
        <v>Safe</v>
      </c>
      <c r="S46">
        <f t="shared" si="4"/>
        <v>0.33438068855953157</v>
      </c>
      <c r="T46">
        <f t="shared" si="5"/>
        <v>0.42140934363590121</v>
      </c>
      <c r="U46">
        <f t="shared" si="6"/>
        <v>1.7749022927443292E-2</v>
      </c>
      <c r="V46">
        <f t="shared" si="7"/>
        <v>2.9153269529182904</v>
      </c>
      <c r="X46" s="13">
        <f t="shared" si="1"/>
        <v>3.6360327963446379</v>
      </c>
      <c r="Y46" s="10"/>
      <c r="Z46" s="10"/>
      <c r="AB46" s="10" t="str">
        <f t="shared" si="8"/>
        <v>Non-Distress</v>
      </c>
      <c r="AC46" s="10">
        <f t="shared" si="9"/>
        <v>0</v>
      </c>
      <c r="AE46" s="10">
        <f t="shared" si="10"/>
        <v>0</v>
      </c>
      <c r="AG46" s="13">
        <f t="shared" si="11"/>
        <v>0.5</v>
      </c>
      <c r="AH46" s="13">
        <f t="shared" si="12"/>
        <v>0.5</v>
      </c>
      <c r="AI46" s="10">
        <f t="shared" si="13"/>
        <v>0.25</v>
      </c>
    </row>
    <row r="47" spans="1:35" x14ac:dyDescent="0.3">
      <c r="A47" t="s">
        <v>26</v>
      </c>
      <c r="B47">
        <v>2024</v>
      </c>
      <c r="C47" s="3">
        <v>24332928464</v>
      </c>
      <c r="D47" s="3">
        <v>1578812031</v>
      </c>
      <c r="E47" s="3">
        <v>464607373995</v>
      </c>
      <c r="F47" s="3">
        <v>211735232721</v>
      </c>
      <c r="G47" s="3">
        <v>121043838704</v>
      </c>
      <c r="H47" s="3">
        <v>51722852799</v>
      </c>
      <c r="I47" s="3">
        <v>343686823816</v>
      </c>
      <c r="J47" s="3">
        <v>192794839840</v>
      </c>
      <c r="K47" s="3">
        <v>160012379922</v>
      </c>
      <c r="M47" s="3">
        <v>399693178434</v>
      </c>
      <c r="N47" s="3">
        <v>16970253071</v>
      </c>
      <c r="O47" s="3">
        <v>22423729680</v>
      </c>
      <c r="P47">
        <f t="shared" si="2"/>
        <v>6.9453391758599512</v>
      </c>
      <c r="Q47">
        <f t="shared" si="3"/>
        <v>0</v>
      </c>
      <c r="R47" t="str">
        <f t="shared" si="0"/>
        <v>Safe</v>
      </c>
      <c r="S47">
        <f t="shared" si="4"/>
        <v>0.34440344445269611</v>
      </c>
      <c r="T47">
        <f t="shared" si="5"/>
        <v>0.4149629356551599</v>
      </c>
      <c r="U47">
        <f t="shared" si="6"/>
        <v>5.2373100010810129E-2</v>
      </c>
      <c r="V47">
        <f t="shared" si="7"/>
        <v>2.8393582647064757</v>
      </c>
      <c r="X47" s="13">
        <f t="shared" si="1"/>
        <v>3.8403873256144876</v>
      </c>
      <c r="Y47" s="10"/>
      <c r="Z47" s="10"/>
      <c r="AB47" s="10" t="str">
        <f t="shared" si="8"/>
        <v>Non-Distress</v>
      </c>
      <c r="AC47" s="10">
        <f t="shared" si="9"/>
        <v>0</v>
      </c>
      <c r="AE47" s="10">
        <f t="shared" si="10"/>
        <v>0</v>
      </c>
      <c r="AG47" s="13">
        <f t="shared" si="11"/>
        <v>0.5</v>
      </c>
      <c r="AH47" s="13">
        <f t="shared" si="12"/>
        <v>0.5</v>
      </c>
      <c r="AI47" s="10">
        <f t="shared" si="13"/>
        <v>0.25</v>
      </c>
    </row>
    <row r="48" spans="1:35" x14ac:dyDescent="0.3">
      <c r="A48" t="s">
        <v>26</v>
      </c>
      <c r="B48">
        <v>2023</v>
      </c>
      <c r="C48" s="3">
        <v>69976074490</v>
      </c>
      <c r="D48" s="3">
        <v>3264815658</v>
      </c>
      <c r="E48" s="3">
        <v>490506911907</v>
      </c>
      <c r="F48" s="3">
        <v>231702143731</v>
      </c>
      <c r="G48" s="3">
        <v>156657593788</v>
      </c>
      <c r="H48" s="3">
        <v>90785195067</v>
      </c>
      <c r="I48" s="3">
        <v>333959719337</v>
      </c>
      <c r="J48" s="3">
        <v>183419279469</v>
      </c>
      <c r="K48" s="3">
        <v>140916948664</v>
      </c>
      <c r="M48" s="3">
        <v>469138780462</v>
      </c>
      <c r="N48" s="3">
        <v>50415186821</v>
      </c>
      <c r="O48" s="3">
        <v>47854281546</v>
      </c>
      <c r="P48">
        <f t="shared" si="2"/>
        <v>6.3007009355494841</v>
      </c>
      <c r="Q48">
        <f t="shared" si="3"/>
        <v>0</v>
      </c>
      <c r="R48" t="str">
        <f t="shared" si="0"/>
        <v>Safe</v>
      </c>
      <c r="S48">
        <f t="shared" si="4"/>
        <v>0.2872884056131666</v>
      </c>
      <c r="T48">
        <f t="shared" si="5"/>
        <v>0.37393821578558356</v>
      </c>
      <c r="U48">
        <f t="shared" si="6"/>
        <v>0.1426607307488206</v>
      </c>
      <c r="V48">
        <f t="shared" si="7"/>
        <v>2.1317812386990802</v>
      </c>
      <c r="X48" s="13">
        <f t="shared" si="1"/>
        <v>3.7631943388928533</v>
      </c>
      <c r="Y48" s="10"/>
      <c r="Z48" s="10"/>
      <c r="AB48" s="10" t="str">
        <f t="shared" si="8"/>
        <v>Non-Distress</v>
      </c>
      <c r="AC48" s="10">
        <f t="shared" si="9"/>
        <v>0</v>
      </c>
      <c r="AE48" s="10">
        <f t="shared" si="10"/>
        <v>0</v>
      </c>
      <c r="AG48" s="13">
        <f t="shared" si="11"/>
        <v>0.5</v>
      </c>
      <c r="AH48" s="13">
        <f t="shared" si="12"/>
        <v>0.5</v>
      </c>
      <c r="AI48" s="10">
        <f t="shared" si="13"/>
        <v>0.25</v>
      </c>
    </row>
    <row r="49" spans="1:35" x14ac:dyDescent="0.3">
      <c r="A49" t="s">
        <v>26</v>
      </c>
      <c r="B49">
        <v>2022</v>
      </c>
      <c r="C49" s="3">
        <v>65839405408</v>
      </c>
      <c r="D49" s="3">
        <v>4606363851</v>
      </c>
      <c r="E49" s="3">
        <v>468541883266</v>
      </c>
      <c r="F49" s="3">
        <v>223008531561</v>
      </c>
      <c r="G49" s="3">
        <v>189586990363</v>
      </c>
      <c r="H49" s="3">
        <v>124402291984</v>
      </c>
      <c r="I49" s="3">
        <v>279050286209</v>
      </c>
      <c r="J49" s="3">
        <v>133104092648</v>
      </c>
      <c r="K49" s="3">
        <v>98606239577</v>
      </c>
      <c r="M49" s="3">
        <v>526828140182</v>
      </c>
      <c r="N49" s="3">
        <v>46609418559</v>
      </c>
      <c r="O49" s="3">
        <v>65936796982</v>
      </c>
      <c r="P49">
        <f t="shared" si="2"/>
        <v>4.7964526065792086</v>
      </c>
      <c r="Q49">
        <f t="shared" si="3"/>
        <v>0</v>
      </c>
      <c r="R49" t="str">
        <f t="shared" si="0"/>
        <v>Safe</v>
      </c>
      <c r="S49">
        <f t="shared" si="4"/>
        <v>0.21045341536952714</v>
      </c>
      <c r="T49">
        <f t="shared" si="5"/>
        <v>0.28408152483656263</v>
      </c>
      <c r="U49">
        <f t="shared" si="6"/>
        <v>0.14051978651099956</v>
      </c>
      <c r="V49">
        <f t="shared" si="7"/>
        <v>1.4718852051752374</v>
      </c>
      <c r="X49" s="13">
        <f t="shared" si="1"/>
        <v>2.9603621788291994</v>
      </c>
      <c r="Y49" s="10"/>
      <c r="Z49" s="10"/>
      <c r="AB49" s="10" t="str">
        <f t="shared" si="8"/>
        <v>Non-Distress</v>
      </c>
      <c r="AC49" s="10">
        <f t="shared" si="9"/>
        <v>0</v>
      </c>
      <c r="AE49" s="10">
        <f t="shared" si="10"/>
        <v>0</v>
      </c>
      <c r="AG49" s="13">
        <f t="shared" si="11"/>
        <v>0.5</v>
      </c>
      <c r="AH49" s="13">
        <f t="shared" si="12"/>
        <v>0.5</v>
      </c>
      <c r="AI49" s="10">
        <f t="shared" si="13"/>
        <v>0.25</v>
      </c>
    </row>
    <row r="50" spans="1:35" x14ac:dyDescent="0.3">
      <c r="A50" t="s">
        <v>27</v>
      </c>
      <c r="B50">
        <v>2025</v>
      </c>
      <c r="C50" s="3">
        <v>61793122824</v>
      </c>
      <c r="D50" s="3">
        <v>12304495571</v>
      </c>
      <c r="E50" s="3">
        <v>1126390266281</v>
      </c>
      <c r="F50" s="3">
        <v>207850488124</v>
      </c>
      <c r="G50" s="3">
        <v>933306281473</v>
      </c>
      <c r="H50" s="3">
        <v>422783944325</v>
      </c>
      <c r="I50" s="3">
        <v>193083984808</v>
      </c>
      <c r="J50" s="3">
        <v>-2295798622171</v>
      </c>
      <c r="K50" s="3">
        <v>-214933456201</v>
      </c>
      <c r="M50" s="3">
        <v>112321565520</v>
      </c>
      <c r="N50" s="3">
        <v>71191038752</v>
      </c>
      <c r="O50" s="3">
        <v>640847825252</v>
      </c>
      <c r="P50">
        <f t="shared" si="2"/>
        <v>-7.3103758430932215</v>
      </c>
      <c r="Q50">
        <f t="shared" si="3"/>
        <v>1</v>
      </c>
      <c r="R50" t="str">
        <f t="shared" si="0"/>
        <v>Distress</v>
      </c>
      <c r="S50">
        <f t="shared" si="4"/>
        <v>-0.19081615194584844</v>
      </c>
      <c r="T50">
        <f t="shared" si="5"/>
        <v>-2.0381911056023529</v>
      </c>
      <c r="U50">
        <f t="shared" si="6"/>
        <v>5.4859425435219891E-2</v>
      </c>
      <c r="V50">
        <f t="shared" si="7"/>
        <v>0.2068816942957496</v>
      </c>
      <c r="X50" s="13">
        <f t="shared" si="1"/>
        <v>-7.5723905448282309</v>
      </c>
      <c r="Y50" s="10"/>
      <c r="Z50" s="10"/>
      <c r="AB50" s="10" t="str">
        <f t="shared" si="8"/>
        <v>Distress</v>
      </c>
      <c r="AC50" s="10">
        <f t="shared" si="9"/>
        <v>1</v>
      </c>
      <c r="AE50" s="10">
        <f t="shared" si="10"/>
        <v>1</v>
      </c>
      <c r="AG50" s="13">
        <f t="shared" si="11"/>
        <v>0.7310585786300049</v>
      </c>
      <c r="AH50" s="13">
        <f t="shared" si="12"/>
        <v>-0.2689414213699951</v>
      </c>
      <c r="AI50" s="10">
        <f t="shared" si="13"/>
        <v>0.19661193324148185</v>
      </c>
    </row>
    <row r="51" spans="1:35" x14ac:dyDescent="0.3">
      <c r="A51" t="s">
        <v>27</v>
      </c>
      <c r="B51">
        <v>2024</v>
      </c>
      <c r="C51" s="3">
        <v>11531710</v>
      </c>
      <c r="D51" s="3">
        <v>10009344071</v>
      </c>
      <c r="E51" s="3">
        <v>1120332244899</v>
      </c>
      <c r="F51" s="3">
        <v>217373805479</v>
      </c>
      <c r="G51" s="3">
        <v>998450398730</v>
      </c>
      <c r="H51" s="3">
        <v>493621615287</v>
      </c>
      <c r="I51" s="3">
        <v>121881846169</v>
      </c>
      <c r="J51" s="3">
        <v>-2367000760810</v>
      </c>
      <c r="K51" s="3">
        <v>-276247809808</v>
      </c>
      <c r="M51" s="3">
        <v>102996849573</v>
      </c>
      <c r="N51" s="3">
        <v>-8132123747</v>
      </c>
      <c r="O51" s="3">
        <v>608133595388</v>
      </c>
      <c r="P51">
        <f t="shared" si="2"/>
        <v>-8.3769190541377831</v>
      </c>
      <c r="Q51">
        <f t="shared" si="3"/>
        <v>1</v>
      </c>
      <c r="R51" t="str">
        <f t="shared" si="0"/>
        <v>Distress</v>
      </c>
      <c r="S51">
        <f t="shared" si="4"/>
        <v>-0.24657668389514598</v>
      </c>
      <c r="T51">
        <f t="shared" si="5"/>
        <v>-2.1127667900189637</v>
      </c>
      <c r="U51">
        <f t="shared" si="6"/>
        <v>1.0293116218430011E-5</v>
      </c>
      <c r="V51">
        <f t="shared" si="7"/>
        <v>0.12207100755734103</v>
      </c>
      <c r="X51" s="13">
        <f t="shared" si="1"/>
        <v>-8.4265933000086104</v>
      </c>
      <c r="Y51" s="10"/>
      <c r="Z51" s="10"/>
      <c r="AB51" s="10" t="str">
        <f t="shared" si="8"/>
        <v>Distress</v>
      </c>
      <c r="AC51" s="10">
        <f t="shared" si="9"/>
        <v>1</v>
      </c>
      <c r="AE51" s="10">
        <f t="shared" si="10"/>
        <v>1</v>
      </c>
      <c r="AG51" s="13">
        <f t="shared" si="11"/>
        <v>0.7310585786300049</v>
      </c>
      <c r="AH51" s="13">
        <f t="shared" si="12"/>
        <v>-0.2689414213699951</v>
      </c>
      <c r="AI51" s="10">
        <f t="shared" si="13"/>
        <v>0.19661193324148185</v>
      </c>
    </row>
    <row r="52" spans="1:35" x14ac:dyDescent="0.3">
      <c r="A52" t="s">
        <v>27</v>
      </c>
      <c r="B52">
        <v>2023</v>
      </c>
      <c r="C52" s="3">
        <v>-13217138672</v>
      </c>
      <c r="D52" s="3">
        <v>24820372793</v>
      </c>
      <c r="E52" s="3">
        <v>1091535722180</v>
      </c>
      <c r="F52" s="3">
        <v>174182198896</v>
      </c>
      <c r="G52" s="3">
        <v>960975795439</v>
      </c>
      <c r="H52" s="3">
        <v>474170526029</v>
      </c>
      <c r="I52" s="3">
        <v>130559926741</v>
      </c>
      <c r="J52" s="3">
        <v>-2358322680238</v>
      </c>
      <c r="K52" s="3">
        <v>-299988327133</v>
      </c>
      <c r="M52" s="3">
        <v>103137139854</v>
      </c>
      <c r="N52" s="3">
        <v>-35143440478</v>
      </c>
      <c r="O52" s="3">
        <v>581542899891</v>
      </c>
      <c r="P52">
        <f t="shared" si="2"/>
        <v>-8.7850185769471771</v>
      </c>
      <c r="Q52">
        <f t="shared" si="3"/>
        <v>1</v>
      </c>
      <c r="R52" t="str">
        <f t="shared" si="0"/>
        <v>Distress</v>
      </c>
      <c r="S52">
        <f t="shared" si="4"/>
        <v>-0.27483143339905308</v>
      </c>
      <c r="T52">
        <f t="shared" si="5"/>
        <v>-2.1605547416515059</v>
      </c>
      <c r="U52">
        <f t="shared" si="6"/>
        <v>-1.210875503515626E-2</v>
      </c>
      <c r="V52">
        <f t="shared" si="7"/>
        <v>0.13586182644835154</v>
      </c>
      <c r="X52" s="13">
        <f t="shared" si="1"/>
        <v>-8.8139466742523567</v>
      </c>
      <c r="Y52" s="10"/>
      <c r="Z52" s="10"/>
      <c r="AB52" s="10" t="str">
        <f t="shared" si="8"/>
        <v>Distress</v>
      </c>
      <c r="AC52" s="10">
        <f t="shared" si="9"/>
        <v>1</v>
      </c>
      <c r="AE52" s="10">
        <f t="shared" si="10"/>
        <v>1</v>
      </c>
      <c r="AG52" s="13">
        <f t="shared" si="11"/>
        <v>0.7310585786300049</v>
      </c>
      <c r="AH52" s="13">
        <f t="shared" si="12"/>
        <v>-0.2689414213699951</v>
      </c>
      <c r="AI52" s="10">
        <f t="shared" si="13"/>
        <v>0.19661193324148185</v>
      </c>
    </row>
    <row r="53" spans="1:35" x14ac:dyDescent="0.3">
      <c r="A53" t="s">
        <v>27</v>
      </c>
      <c r="B53">
        <v>2022</v>
      </c>
      <c r="C53" s="3">
        <v>-68074754562</v>
      </c>
      <c r="D53" s="3">
        <v>31415814709</v>
      </c>
      <c r="E53" s="3">
        <v>1129483925972</v>
      </c>
      <c r="F53" s="3">
        <v>133670970030</v>
      </c>
      <c r="G53" s="3">
        <v>2511842509953</v>
      </c>
      <c r="H53" s="3">
        <v>1794855564629</v>
      </c>
      <c r="I53" s="3">
        <v>-1382358583981</v>
      </c>
      <c r="J53" s="3">
        <v>-2323062819164</v>
      </c>
      <c r="K53" s="3">
        <v>-1661184594599</v>
      </c>
      <c r="M53" s="3">
        <v>92453939139</v>
      </c>
      <c r="N53" s="3">
        <v>-97329335486</v>
      </c>
      <c r="O53" s="3">
        <v>1119113998616</v>
      </c>
      <c r="P53">
        <f t="shared" si="2"/>
        <v>-17.335965265849691</v>
      </c>
      <c r="Q53">
        <f t="shared" si="3"/>
        <v>1</v>
      </c>
      <c r="R53" t="str">
        <f t="shared" si="0"/>
        <v>Distress</v>
      </c>
      <c r="S53">
        <f t="shared" si="4"/>
        <v>-1.4707465563703657</v>
      </c>
      <c r="T53">
        <f t="shared" si="5"/>
        <v>-2.0567471264939354</v>
      </c>
      <c r="U53">
        <f t="shared" si="6"/>
        <v>-6.0270671407224238E-2</v>
      </c>
      <c r="V53">
        <f t="shared" si="7"/>
        <v>-0.55033648746030095</v>
      </c>
      <c r="X53" s="13">
        <f t="shared" si="1"/>
        <v>-16.045538536343553</v>
      </c>
      <c r="Y53" s="10"/>
      <c r="Z53" s="10"/>
      <c r="AB53" s="10" t="str">
        <f t="shared" si="8"/>
        <v>Distress</v>
      </c>
      <c r="AC53" s="10">
        <f t="shared" si="9"/>
        <v>1</v>
      </c>
      <c r="AE53" s="10">
        <f t="shared" si="10"/>
        <v>1</v>
      </c>
      <c r="AG53" s="13">
        <f t="shared" si="11"/>
        <v>0.7310585786300049</v>
      </c>
      <c r="AH53" s="13">
        <f t="shared" si="12"/>
        <v>-0.2689414213699951</v>
      </c>
      <c r="AI53" s="10">
        <f t="shared" si="13"/>
        <v>0.19661193324148185</v>
      </c>
    </row>
    <row r="54" spans="1:35" x14ac:dyDescent="0.3">
      <c r="A54" t="s">
        <v>28</v>
      </c>
      <c r="B54">
        <v>2025</v>
      </c>
      <c r="C54" s="3">
        <v>530934807639</v>
      </c>
      <c r="D54" s="3">
        <v>7373715678</v>
      </c>
      <c r="E54" s="3">
        <v>2883857831018</v>
      </c>
      <c r="F54" s="3">
        <v>1429219004893</v>
      </c>
      <c r="G54" s="3">
        <v>949185148205</v>
      </c>
      <c r="H54" s="3">
        <v>740050715581</v>
      </c>
      <c r="I54" s="3">
        <v>1896801133401</v>
      </c>
      <c r="J54" s="3">
        <v>1982351130667</v>
      </c>
      <c r="K54" s="3">
        <v>689168289312</v>
      </c>
      <c r="M54" s="3">
        <v>2914327066752</v>
      </c>
      <c r="N54" s="3">
        <v>400475916944</v>
      </c>
      <c r="O54" s="3">
        <v>72965355889</v>
      </c>
      <c r="P54">
        <f t="shared" ref="P54:P105" si="14">6.56*(F54-H54)/E54+3.26*J54/E54+6.72*C54/E54+1.05*I54/G54</f>
        <v>7.1440366846799179</v>
      </c>
      <c r="Q54">
        <f t="shared" ref="Q54:Q105" si="15">IF(VALUE(TRIM(P54))&lt;=1.1, 1, 0)</f>
        <v>0</v>
      </c>
      <c r="R54" t="str">
        <f t="shared" si="0"/>
        <v>Safe</v>
      </c>
      <c r="S54">
        <f t="shared" ref="S54:S105" si="16">MAX(-2,MIN(K54/E54,2))</f>
        <v>0.23897443275444824</v>
      </c>
      <c r="T54">
        <f t="shared" ref="T54:T105" si="17" xml:space="preserve"> J54/E54</f>
        <v>0.68739558148302726</v>
      </c>
      <c r="U54">
        <f t="shared" ref="U54:U105" si="18">C54/E54</f>
        <v>0.18410574957212103</v>
      </c>
      <c r="V54">
        <f t="shared" ref="V54:V105" si="19">I54/G54</f>
        <v>1.998346831477539</v>
      </c>
      <c r="X54" s="13">
        <f t="shared" si="1"/>
        <v>4.6900431727360283</v>
      </c>
      <c r="Y54" s="10"/>
      <c r="Z54" s="10"/>
      <c r="AB54" s="10" t="str">
        <f t="shared" si="8"/>
        <v>Non-Distress</v>
      </c>
      <c r="AC54" s="10">
        <f t="shared" si="9"/>
        <v>0</v>
      </c>
      <c r="AE54" s="10">
        <f t="shared" si="10"/>
        <v>0</v>
      </c>
      <c r="AG54" s="13">
        <f t="shared" si="11"/>
        <v>0.5</v>
      </c>
      <c r="AH54" s="13">
        <f t="shared" si="12"/>
        <v>0.5</v>
      </c>
      <c r="AI54" s="10">
        <f t="shared" si="13"/>
        <v>0.25</v>
      </c>
    </row>
    <row r="55" spans="1:35" x14ac:dyDescent="0.3">
      <c r="A55" t="s">
        <v>28</v>
      </c>
      <c r="B55">
        <v>2024</v>
      </c>
      <c r="C55" s="3">
        <v>558959347118</v>
      </c>
      <c r="D55" s="3">
        <v>10966453175</v>
      </c>
      <c r="E55" s="3">
        <v>2661363620207</v>
      </c>
      <c r="F55" s="3">
        <v>1506249726473</v>
      </c>
      <c r="G55" s="3">
        <v>783821572438</v>
      </c>
      <c r="H55" s="3">
        <v>717936133361</v>
      </c>
      <c r="I55" s="3">
        <v>1843642590348</v>
      </c>
      <c r="J55" s="3">
        <v>1891705174469</v>
      </c>
      <c r="K55" s="3">
        <v>788313593112</v>
      </c>
      <c r="M55" s="3">
        <v>2632310100626</v>
      </c>
      <c r="N55" s="3">
        <v>425971673126</v>
      </c>
      <c r="O55" s="3">
        <v>106568230327</v>
      </c>
      <c r="P55">
        <f t="shared" si="14"/>
        <v>8.1414438468409323</v>
      </c>
      <c r="Q55">
        <f t="shared" si="15"/>
        <v>0</v>
      </c>
      <c r="R55" t="str">
        <f t="shared" si="0"/>
        <v>Safe</v>
      </c>
      <c r="S55">
        <f t="shared" si="16"/>
        <v>0.29620664652005924</v>
      </c>
      <c r="T55">
        <f t="shared" si="17"/>
        <v>0.71080297337267417</v>
      </c>
      <c r="U55">
        <f t="shared" si="18"/>
        <v>0.21002742461570295</v>
      </c>
      <c r="V55">
        <f t="shared" si="19"/>
        <v>2.3521202467208586</v>
      </c>
      <c r="X55" s="13">
        <f t="shared" si="1"/>
        <v>5.2571538243225726</v>
      </c>
      <c r="Y55" s="10"/>
      <c r="Z55" s="10"/>
      <c r="AB55" s="10" t="str">
        <f t="shared" si="8"/>
        <v>Non-Distress</v>
      </c>
      <c r="AC55" s="10">
        <f t="shared" si="9"/>
        <v>0</v>
      </c>
      <c r="AE55" s="10">
        <f t="shared" si="10"/>
        <v>0</v>
      </c>
      <c r="AG55" s="13">
        <f t="shared" si="11"/>
        <v>0.5</v>
      </c>
      <c r="AH55" s="13">
        <f t="shared" si="12"/>
        <v>0.5</v>
      </c>
      <c r="AI55" s="10">
        <f t="shared" si="13"/>
        <v>0.25</v>
      </c>
    </row>
    <row r="56" spans="1:35" x14ac:dyDescent="0.3">
      <c r="A56" t="s">
        <v>28</v>
      </c>
      <c r="B56">
        <v>2023</v>
      </c>
      <c r="C56" s="3">
        <v>583861933626</v>
      </c>
      <c r="D56" s="3">
        <v>8194237641</v>
      </c>
      <c r="E56" s="3">
        <v>2620491657384</v>
      </c>
      <c r="F56" s="3">
        <v>1573862491967</v>
      </c>
      <c r="G56" s="3">
        <v>765455201158</v>
      </c>
      <c r="H56" s="3">
        <v>652036510074</v>
      </c>
      <c r="I56" s="3">
        <v>1823503151831</v>
      </c>
      <c r="J56" s="3">
        <v>1775632474057</v>
      </c>
      <c r="K56" s="3">
        <v>921825981893</v>
      </c>
      <c r="M56" s="3">
        <v>2447442037597</v>
      </c>
      <c r="N56" s="3">
        <v>445291325550</v>
      </c>
      <c r="O56" s="3">
        <v>172981827834</v>
      </c>
      <c r="P56">
        <f t="shared" si="14"/>
        <v>8.5152276712990371</v>
      </c>
      <c r="Q56">
        <f t="shared" si="15"/>
        <v>0</v>
      </c>
      <c r="R56" t="str">
        <f t="shared" si="0"/>
        <v>Safe</v>
      </c>
      <c r="S56">
        <f t="shared" si="16"/>
        <v>0.35177596513062204</v>
      </c>
      <c r="T56">
        <f t="shared" si="17"/>
        <v>0.67759516388981333</v>
      </c>
      <c r="U56">
        <f t="shared" si="18"/>
        <v>0.22280625545240665</v>
      </c>
      <c r="V56">
        <f t="shared" si="19"/>
        <v>2.3822467324963736</v>
      </c>
      <c r="X56" s="13">
        <f t="shared" si="1"/>
        <v>5.5510584751820566</v>
      </c>
      <c r="Y56" s="10"/>
      <c r="Z56" s="10"/>
      <c r="AB56" s="10" t="str">
        <f t="shared" si="8"/>
        <v>Non-Distress</v>
      </c>
      <c r="AC56" s="10">
        <f t="shared" si="9"/>
        <v>0</v>
      </c>
      <c r="AE56" s="10">
        <f t="shared" si="10"/>
        <v>0</v>
      </c>
      <c r="AG56" s="13">
        <f t="shared" si="11"/>
        <v>0.5</v>
      </c>
      <c r="AH56" s="13">
        <f t="shared" si="12"/>
        <v>0.5</v>
      </c>
      <c r="AI56" s="10">
        <f t="shared" si="13"/>
        <v>0.25</v>
      </c>
    </row>
    <row r="57" spans="1:35" x14ac:dyDescent="0.3">
      <c r="A57" t="s">
        <v>28</v>
      </c>
      <c r="B57">
        <v>2022</v>
      </c>
      <c r="C57" s="3">
        <v>749457719976</v>
      </c>
      <c r="D57" s="3">
        <v>3361625979</v>
      </c>
      <c r="E57" s="3">
        <v>2578868615545</v>
      </c>
      <c r="F57" s="3">
        <v>1601724616560</v>
      </c>
      <c r="G57" s="3">
        <v>745695258308</v>
      </c>
      <c r="H57" s="3">
        <v>685894904063</v>
      </c>
      <c r="I57" s="3">
        <v>1804073110104</v>
      </c>
      <c r="J57" s="3">
        <v>1733056303542</v>
      </c>
      <c r="K57" s="3">
        <v>915829712497</v>
      </c>
      <c r="M57" s="3">
        <v>2586665297217</v>
      </c>
      <c r="N57" s="3">
        <v>576213564285</v>
      </c>
      <c r="O57" s="3">
        <v>50488037774</v>
      </c>
      <c r="P57">
        <f t="shared" si="14"/>
        <v>9.0136494493479535</v>
      </c>
      <c r="Q57">
        <f t="shared" si="15"/>
        <v>0</v>
      </c>
      <c r="R57" t="str">
        <f t="shared" si="0"/>
        <v>Safe</v>
      </c>
      <c r="S57">
        <f t="shared" si="16"/>
        <v>0.35512848811937436</v>
      </c>
      <c r="T57">
        <f t="shared" si="17"/>
        <v>0.67202194524196346</v>
      </c>
      <c r="U57">
        <f t="shared" si="18"/>
        <v>0.29061492914310988</v>
      </c>
      <c r="V57">
        <f t="shared" si="19"/>
        <v>2.4193168590041516</v>
      </c>
      <c r="X57" s="13">
        <f t="shared" si="1"/>
        <v>5.8828879153607279</v>
      </c>
      <c r="Y57" s="10"/>
      <c r="Z57" s="10"/>
      <c r="AB57" s="10" t="str">
        <f t="shared" si="8"/>
        <v>Non-Distress</v>
      </c>
      <c r="AC57" s="10">
        <f t="shared" si="9"/>
        <v>0</v>
      </c>
      <c r="AE57" s="10">
        <f t="shared" si="10"/>
        <v>0</v>
      </c>
      <c r="AG57" s="13">
        <f t="shared" si="11"/>
        <v>0.5</v>
      </c>
      <c r="AH57" s="13">
        <f t="shared" si="12"/>
        <v>0.5</v>
      </c>
      <c r="AI57" s="10">
        <f t="shared" si="13"/>
        <v>0.25</v>
      </c>
    </row>
    <row r="58" spans="1:35" x14ac:dyDescent="0.3">
      <c r="A58" t="s">
        <v>29</v>
      </c>
      <c r="B58">
        <v>2025</v>
      </c>
      <c r="C58" s="3">
        <v>2677089000000</v>
      </c>
      <c r="D58" s="3">
        <v>37546000000</v>
      </c>
      <c r="E58" s="3">
        <v>22615479000000</v>
      </c>
      <c r="F58" s="3">
        <v>9973987000000</v>
      </c>
      <c r="G58" s="3">
        <v>5651097000000</v>
      </c>
      <c r="H58" s="3">
        <v>4523347000000</v>
      </c>
      <c r="I58" s="3">
        <v>15687936000000</v>
      </c>
      <c r="J58" s="3">
        <v>11693278000000</v>
      </c>
      <c r="K58" s="3">
        <v>5450640000000</v>
      </c>
      <c r="M58" s="3">
        <v>19906774000000</v>
      </c>
      <c r="N58" s="3">
        <v>2205022000000</v>
      </c>
      <c r="O58" s="3">
        <v>597489000000</v>
      </c>
      <c r="P58">
        <f t="shared" si="14"/>
        <v>6.9769905390052642</v>
      </c>
      <c r="Q58">
        <f t="shared" si="15"/>
        <v>0</v>
      </c>
      <c r="R58" t="str">
        <f t="shared" si="0"/>
        <v>Safe</v>
      </c>
      <c r="S58">
        <f t="shared" si="16"/>
        <v>0.24101368801430206</v>
      </c>
      <c r="T58">
        <f t="shared" si="17"/>
        <v>0.51704754960087296</v>
      </c>
      <c r="U58">
        <f t="shared" si="18"/>
        <v>0.11837418964241261</v>
      </c>
      <c r="V58">
        <f t="shared" si="19"/>
        <v>2.7760868376529371</v>
      </c>
      <c r="X58" s="13">
        <f t="shared" si="1"/>
        <v>3.8596185281427351</v>
      </c>
      <c r="Y58" s="10"/>
      <c r="Z58" s="10"/>
      <c r="AB58" s="10" t="str">
        <f t="shared" si="8"/>
        <v>Non-Distress</v>
      </c>
      <c r="AC58" s="10">
        <f t="shared" si="9"/>
        <v>0</v>
      </c>
      <c r="AE58" s="10">
        <f t="shared" si="10"/>
        <v>0</v>
      </c>
      <c r="AG58" s="13">
        <f t="shared" si="11"/>
        <v>0.5</v>
      </c>
      <c r="AH58" s="13">
        <f t="shared" si="12"/>
        <v>0.5</v>
      </c>
      <c r="AI58" s="10">
        <f t="shared" si="13"/>
        <v>0.25</v>
      </c>
    </row>
    <row r="59" spans="1:35" x14ac:dyDescent="0.3">
      <c r="A59" t="s">
        <v>29</v>
      </c>
      <c r="B59">
        <v>2024</v>
      </c>
      <c r="C59" s="3">
        <v>2530134000000</v>
      </c>
      <c r="D59" s="3">
        <v>40971000000</v>
      </c>
      <c r="E59" s="3">
        <v>21030018000000</v>
      </c>
      <c r="F59" s="3">
        <v>8883749000000</v>
      </c>
      <c r="G59" s="3">
        <v>5441894000000</v>
      </c>
      <c r="H59" s="3">
        <v>4481577000000</v>
      </c>
      <c r="I59" s="3">
        <v>14372275000000</v>
      </c>
      <c r="J59" s="3">
        <v>10380994000000</v>
      </c>
      <c r="K59" s="3">
        <v>4402172000000</v>
      </c>
      <c r="M59" s="3">
        <v>19073703000000</v>
      </c>
      <c r="N59" s="3">
        <v>2033641000000</v>
      </c>
      <c r="O59" s="3">
        <v>654998000000</v>
      </c>
      <c r="P59">
        <f t="shared" si="14"/>
        <v>6.5639994163369826</v>
      </c>
      <c r="Q59">
        <f t="shared" si="15"/>
        <v>0</v>
      </c>
      <c r="R59" t="str">
        <f t="shared" si="0"/>
        <v>Safe</v>
      </c>
      <c r="S59">
        <f t="shared" si="16"/>
        <v>0.209328018644587</v>
      </c>
      <c r="T59">
        <f t="shared" si="17"/>
        <v>0.49362744244916956</v>
      </c>
      <c r="U59">
        <f t="shared" si="18"/>
        <v>0.12031059602516746</v>
      </c>
      <c r="V59">
        <f t="shared" si="19"/>
        <v>2.6410428060524516</v>
      </c>
      <c r="X59" s="13">
        <f t="shared" si="1"/>
        <v>3.5927608701088243</v>
      </c>
      <c r="Y59" s="10"/>
      <c r="Z59" s="10"/>
      <c r="AB59" s="10" t="str">
        <f t="shared" si="8"/>
        <v>Non-Distress</v>
      </c>
      <c r="AC59" s="10">
        <f t="shared" si="9"/>
        <v>0</v>
      </c>
      <c r="AE59" s="10">
        <f t="shared" si="10"/>
        <v>0</v>
      </c>
      <c r="AG59" s="13">
        <f t="shared" si="11"/>
        <v>0.5</v>
      </c>
      <c r="AH59" s="13">
        <f t="shared" si="12"/>
        <v>0.5</v>
      </c>
      <c r="AI59" s="10">
        <f t="shared" si="13"/>
        <v>0.25</v>
      </c>
    </row>
    <row r="60" spans="1:35" x14ac:dyDescent="0.3">
      <c r="A60" t="s">
        <v>29</v>
      </c>
      <c r="B60">
        <v>2023</v>
      </c>
      <c r="C60" s="3">
        <v>2351840000000</v>
      </c>
      <c r="D60" s="3">
        <v>36885000000</v>
      </c>
      <c r="E60" s="3">
        <v>19613043000000</v>
      </c>
      <c r="F60" s="3">
        <v>7957495000000</v>
      </c>
      <c r="G60" s="3">
        <v>5073319000000</v>
      </c>
      <c r="H60" s="3">
        <v>4336152000000</v>
      </c>
      <c r="I60" s="3">
        <v>13333307000000</v>
      </c>
      <c r="J60" s="3">
        <v>9338669000000</v>
      </c>
      <c r="K60" s="3">
        <v>3621343000000</v>
      </c>
      <c r="M60" s="3">
        <v>18649065000000</v>
      </c>
      <c r="N60" s="3">
        <v>1842435000000</v>
      </c>
      <c r="O60" s="3">
        <v>446773000000</v>
      </c>
      <c r="P60">
        <f t="shared" si="14"/>
        <v>6.3288089633123983</v>
      </c>
      <c r="Q60">
        <f t="shared" si="15"/>
        <v>0</v>
      </c>
      <c r="R60" t="str">
        <f t="shared" si="0"/>
        <v>Safe</v>
      </c>
      <c r="S60">
        <f t="shared" si="16"/>
        <v>0.18463952788968035</v>
      </c>
      <c r="T60">
        <f t="shared" si="17"/>
        <v>0.47614584845401092</v>
      </c>
      <c r="U60">
        <f t="shared" si="18"/>
        <v>0.11991204016633217</v>
      </c>
      <c r="V60">
        <f t="shared" si="19"/>
        <v>2.6281231280745407</v>
      </c>
      <c r="X60" s="13">
        <f t="shared" si="1"/>
        <v>3.3820851576485511</v>
      </c>
      <c r="Y60" s="10"/>
      <c r="Z60" s="10"/>
      <c r="AB60" s="10" t="str">
        <f t="shared" si="8"/>
        <v>Non-Distress</v>
      </c>
      <c r="AC60" s="10">
        <f t="shared" si="9"/>
        <v>0</v>
      </c>
      <c r="AE60" s="10">
        <f t="shared" si="10"/>
        <v>0</v>
      </c>
      <c r="AG60" s="13">
        <f t="shared" si="11"/>
        <v>0.5</v>
      </c>
      <c r="AH60" s="13">
        <f t="shared" si="12"/>
        <v>0.5</v>
      </c>
      <c r="AI60" s="10">
        <f t="shared" si="13"/>
        <v>0.25</v>
      </c>
    </row>
    <row r="61" spans="1:35" x14ac:dyDescent="0.3">
      <c r="A61" t="s">
        <v>29</v>
      </c>
      <c r="B61">
        <v>2022</v>
      </c>
      <c r="C61" s="3">
        <v>1760922000000</v>
      </c>
      <c r="D61" s="3">
        <v>30016000000</v>
      </c>
      <c r="E61" s="3">
        <v>18521261000000</v>
      </c>
      <c r="F61" s="3">
        <v>7825596000000</v>
      </c>
      <c r="G61" s="3">
        <v>5469696000000</v>
      </c>
      <c r="H61" s="3">
        <v>4652198000000</v>
      </c>
      <c r="I61" s="3">
        <v>11933213000000</v>
      </c>
      <c r="J61" s="3">
        <v>8130778000000</v>
      </c>
      <c r="K61" s="3">
        <v>3173398000000</v>
      </c>
      <c r="M61" s="3">
        <v>18579927000000</v>
      </c>
      <c r="N61" s="3">
        <v>1326575000000</v>
      </c>
      <c r="O61" s="3">
        <v>504694000000</v>
      </c>
      <c r="P61">
        <f t="shared" si="14"/>
        <v>5.4847976574638633</v>
      </c>
      <c r="Q61">
        <f t="shared" si="15"/>
        <v>0</v>
      </c>
      <c r="R61" t="str">
        <f t="shared" si="0"/>
        <v>Safe</v>
      </c>
      <c r="S61">
        <f t="shared" si="16"/>
        <v>0.17133811785277472</v>
      </c>
      <c r="T61">
        <f t="shared" si="17"/>
        <v>0.43899699917840368</v>
      </c>
      <c r="U61">
        <f t="shared" si="18"/>
        <v>9.5075707858120459E-2</v>
      </c>
      <c r="V61">
        <f t="shared" si="19"/>
        <v>2.1816958383061875</v>
      </c>
      <c r="X61" s="13">
        <f t="shared" si="1"/>
        <v>3.0397082713674348</v>
      </c>
      <c r="Y61" s="10"/>
      <c r="Z61" s="10"/>
      <c r="AB61" s="10" t="str">
        <f t="shared" si="8"/>
        <v>Non-Distress</v>
      </c>
      <c r="AC61" s="10">
        <f t="shared" si="9"/>
        <v>0</v>
      </c>
      <c r="AE61" s="10">
        <f t="shared" si="10"/>
        <v>0</v>
      </c>
      <c r="AG61" s="13">
        <f t="shared" si="11"/>
        <v>0.5</v>
      </c>
      <c r="AH61" s="13">
        <f t="shared" si="12"/>
        <v>0.5</v>
      </c>
      <c r="AI61" s="10">
        <f t="shared" si="13"/>
        <v>0.25</v>
      </c>
    </row>
    <row r="62" spans="1:35" x14ac:dyDescent="0.3">
      <c r="A62" t="s">
        <v>30</v>
      </c>
      <c r="B62">
        <v>2025</v>
      </c>
      <c r="C62" s="3">
        <v>2178342000000</v>
      </c>
      <c r="D62" s="3">
        <v>2526000000</v>
      </c>
      <c r="E62" s="3">
        <v>11084379000000</v>
      </c>
      <c r="F62" s="3">
        <v>7821844000000</v>
      </c>
      <c r="G62" s="3">
        <v>1544155000000</v>
      </c>
      <c r="H62" s="3">
        <v>1457408000000</v>
      </c>
      <c r="I62" s="3">
        <v>9537181000000</v>
      </c>
      <c r="J62" s="3">
        <v>1954615000000</v>
      </c>
      <c r="K62" s="3">
        <v>6364436000000</v>
      </c>
      <c r="M62" s="3">
        <v>8123685000000</v>
      </c>
      <c r="N62" s="3">
        <v>1747462000000</v>
      </c>
      <c r="O62" s="3">
        <v>86208000000</v>
      </c>
      <c r="P62">
        <f t="shared" si="14"/>
        <v>12.147256962485068</v>
      </c>
      <c r="Q62">
        <f t="shared" si="15"/>
        <v>0</v>
      </c>
      <c r="R62" t="str">
        <f t="shared" si="0"/>
        <v>Safe</v>
      </c>
      <c r="S62">
        <f t="shared" si="16"/>
        <v>0.57418065549725428</v>
      </c>
      <c r="T62">
        <f t="shared" si="17"/>
        <v>0.17633960368911961</v>
      </c>
      <c r="U62">
        <f t="shared" si="18"/>
        <v>0.19652359414992937</v>
      </c>
      <c r="V62">
        <f t="shared" si="19"/>
        <v>6.1763106682943096</v>
      </c>
      <c r="X62" s="13">
        <f t="shared" si="1"/>
        <v>5.3033189992992096</v>
      </c>
      <c r="Y62" s="10"/>
      <c r="Z62" s="10"/>
      <c r="AB62" s="10" t="str">
        <f t="shared" si="8"/>
        <v>Non-Distress</v>
      </c>
      <c r="AC62" s="10">
        <f t="shared" si="9"/>
        <v>0</v>
      </c>
      <c r="AE62" s="10">
        <f t="shared" si="10"/>
        <v>0</v>
      </c>
      <c r="AG62" s="13">
        <f t="shared" si="11"/>
        <v>0.5</v>
      </c>
      <c r="AH62" s="13">
        <f t="shared" si="12"/>
        <v>0.5</v>
      </c>
      <c r="AI62" s="10">
        <f t="shared" si="13"/>
        <v>0.25</v>
      </c>
    </row>
    <row r="63" spans="1:35" x14ac:dyDescent="0.3">
      <c r="A63" t="s">
        <v>30</v>
      </c>
      <c r="B63">
        <v>2024</v>
      </c>
      <c r="C63" s="3">
        <v>2071133000000</v>
      </c>
      <c r="D63" s="3">
        <v>2539000000</v>
      </c>
      <c r="E63" s="3">
        <v>11060975000000</v>
      </c>
      <c r="F63" s="3">
        <v>8493362000000</v>
      </c>
      <c r="G63" s="3">
        <v>1429095000000</v>
      </c>
      <c r="H63" s="3">
        <v>1351585000000</v>
      </c>
      <c r="I63" s="3">
        <v>9625393000000</v>
      </c>
      <c r="J63" s="3">
        <v>1527177000000</v>
      </c>
      <c r="K63" s="3">
        <v>7141777000000</v>
      </c>
      <c r="M63" s="3">
        <v>7471356000000</v>
      </c>
      <c r="N63" s="3">
        <v>1664341000000</v>
      </c>
      <c r="O63" s="3">
        <v>93382000000</v>
      </c>
      <c r="P63">
        <f t="shared" si="14"/>
        <v>13.016092960480561</v>
      </c>
      <c r="Q63">
        <f t="shared" si="15"/>
        <v>0</v>
      </c>
      <c r="R63" t="str">
        <f t="shared" si="0"/>
        <v>Safe</v>
      </c>
      <c r="S63">
        <f t="shared" si="16"/>
        <v>0.64567336966225852</v>
      </c>
      <c r="T63">
        <f t="shared" si="17"/>
        <v>0.13806893153632477</v>
      </c>
      <c r="U63">
        <f t="shared" si="18"/>
        <v>0.18724687471041207</v>
      </c>
      <c r="V63">
        <f t="shared" si="19"/>
        <v>6.7353066101273882</v>
      </c>
      <c r="X63" s="13">
        <f t="shared" si="1"/>
        <v>5.5939824436002343</v>
      </c>
      <c r="Y63" s="10"/>
      <c r="Z63" s="10"/>
      <c r="AB63" s="10" t="str">
        <f t="shared" si="8"/>
        <v>Non-Distress</v>
      </c>
      <c r="AC63" s="10">
        <f t="shared" si="9"/>
        <v>0</v>
      </c>
      <c r="AE63" s="10">
        <f t="shared" si="10"/>
        <v>0</v>
      </c>
      <c r="AG63" s="13">
        <f t="shared" si="11"/>
        <v>0.5</v>
      </c>
      <c r="AH63" s="13">
        <f t="shared" si="12"/>
        <v>0.5</v>
      </c>
      <c r="AI63" s="10">
        <f t="shared" si="13"/>
        <v>0.25</v>
      </c>
    </row>
    <row r="64" spans="1:35" x14ac:dyDescent="0.3">
      <c r="A64" t="s">
        <v>30</v>
      </c>
      <c r="B64">
        <v>2023</v>
      </c>
      <c r="C64" s="3">
        <v>1996220000000</v>
      </c>
      <c r="D64" s="3">
        <v>4077000000</v>
      </c>
      <c r="E64" s="3">
        <v>11166987000000</v>
      </c>
      <c r="F64" s="3">
        <v>8910802000000</v>
      </c>
      <c r="G64" s="3">
        <v>1245498000000</v>
      </c>
      <c r="H64" s="3">
        <v>1175130000000</v>
      </c>
      <c r="I64" s="3">
        <v>9914367000000</v>
      </c>
      <c r="J64" s="3">
        <v>1210978000000</v>
      </c>
      <c r="K64" s="3">
        <v>7735672000000</v>
      </c>
      <c r="M64" s="3">
        <v>7016882000000</v>
      </c>
      <c r="N64" s="3">
        <v>1642166000000</v>
      </c>
      <c r="O64" s="3">
        <v>31912000000</v>
      </c>
      <c r="P64">
        <f t="shared" si="14"/>
        <v>14.457255360861993</v>
      </c>
      <c r="Q64">
        <f t="shared" si="15"/>
        <v>0</v>
      </c>
      <c r="R64" t="str">
        <f t="shared" si="0"/>
        <v>Safe</v>
      </c>
      <c r="S64">
        <f t="shared" si="16"/>
        <v>0.69272687431265034</v>
      </c>
      <c r="T64">
        <f t="shared" si="17"/>
        <v>0.10844268019654719</v>
      </c>
      <c r="U64">
        <f t="shared" si="18"/>
        <v>0.17876084211435009</v>
      </c>
      <c r="V64">
        <f t="shared" si="19"/>
        <v>7.9601629227826942</v>
      </c>
      <c r="X64" s="13">
        <f t="shared" si="1"/>
        <v>5.7960373418446771</v>
      </c>
      <c r="Y64" s="10"/>
      <c r="Z64" s="10"/>
      <c r="AB64" s="10" t="str">
        <f t="shared" si="8"/>
        <v>Non-Distress</v>
      </c>
      <c r="AC64" s="10">
        <f t="shared" si="9"/>
        <v>0</v>
      </c>
      <c r="AE64" s="10">
        <f t="shared" si="10"/>
        <v>0</v>
      </c>
      <c r="AG64" s="13">
        <f t="shared" si="11"/>
        <v>0.5</v>
      </c>
      <c r="AH64" s="13">
        <f t="shared" si="12"/>
        <v>0.5</v>
      </c>
      <c r="AI64" s="10">
        <f t="shared" si="13"/>
        <v>0.25</v>
      </c>
    </row>
    <row r="65" spans="1:35" x14ac:dyDescent="0.3">
      <c r="A65" t="s">
        <v>30</v>
      </c>
      <c r="B65">
        <v>2022</v>
      </c>
      <c r="C65" s="3">
        <v>1751710000000</v>
      </c>
      <c r="D65" s="3">
        <v>6463000000</v>
      </c>
      <c r="E65" s="3">
        <v>10792122000000</v>
      </c>
      <c r="F65" s="3">
        <v>8716715000000</v>
      </c>
      <c r="G65" s="3">
        <v>1217237000000</v>
      </c>
      <c r="H65" s="3">
        <v>1108163000000</v>
      </c>
      <c r="I65" s="3">
        <v>9570106000000</v>
      </c>
      <c r="J65" s="3">
        <v>931790000000</v>
      </c>
      <c r="K65" s="3">
        <v>7608552000000</v>
      </c>
      <c r="M65" s="3">
        <v>6694171000000</v>
      </c>
      <c r="N65" s="3">
        <v>1400561000000</v>
      </c>
      <c r="O65" s="3">
        <v>80762000000</v>
      </c>
      <c r="P65">
        <f t="shared" si="14"/>
        <v>14.252343587205704</v>
      </c>
      <c r="Q65">
        <f t="shared" si="15"/>
        <v>0</v>
      </c>
      <c r="R65" t="str">
        <f t="shared" si="0"/>
        <v>Safe</v>
      </c>
      <c r="S65">
        <f t="shared" si="16"/>
        <v>0.7050098210528013</v>
      </c>
      <c r="T65">
        <f t="shared" si="17"/>
        <v>8.6339831962611246E-2</v>
      </c>
      <c r="U65">
        <f t="shared" si="18"/>
        <v>0.16231376924760488</v>
      </c>
      <c r="V65">
        <f t="shared" si="19"/>
        <v>7.862155028149818</v>
      </c>
      <c r="X65" s="13">
        <f t="shared" si="1"/>
        <v>5.7148953104324862</v>
      </c>
      <c r="Y65" s="10"/>
      <c r="Z65" s="10"/>
      <c r="AB65" s="10" t="str">
        <f t="shared" si="8"/>
        <v>Non-Distress</v>
      </c>
      <c r="AC65" s="10">
        <f t="shared" si="9"/>
        <v>0</v>
      </c>
      <c r="AE65" s="10">
        <f t="shared" si="10"/>
        <v>0</v>
      </c>
      <c r="AG65" s="13">
        <f t="shared" si="11"/>
        <v>0.5</v>
      </c>
      <c r="AH65" s="13">
        <f t="shared" si="12"/>
        <v>0.5</v>
      </c>
      <c r="AI65" s="10">
        <f t="shared" si="13"/>
        <v>0.25</v>
      </c>
    </row>
    <row r="66" spans="1:35" x14ac:dyDescent="0.3">
      <c r="A66" t="s">
        <v>31</v>
      </c>
      <c r="B66">
        <v>2025</v>
      </c>
      <c r="C66" s="3">
        <v>4323750292</v>
      </c>
      <c r="D66" s="3">
        <v>4302846011</v>
      </c>
      <c r="E66" s="3">
        <v>510502215857</v>
      </c>
      <c r="F66" s="3">
        <v>275411996343</v>
      </c>
      <c r="G66" s="3">
        <v>301706688574</v>
      </c>
      <c r="H66" s="3">
        <v>281015959754</v>
      </c>
      <c r="I66" s="3">
        <v>208795527283</v>
      </c>
      <c r="J66" s="3">
        <v>50718326409</v>
      </c>
      <c r="K66" s="3">
        <v>-5603963411</v>
      </c>
      <c r="M66" s="3">
        <v>267063247239</v>
      </c>
      <c r="N66" s="3">
        <v>75417863</v>
      </c>
      <c r="O66" s="3">
        <v>42373250010</v>
      </c>
      <c r="P66">
        <f t="shared" si="14"/>
        <v>1.0354353007367125</v>
      </c>
      <c r="Q66">
        <f t="shared" si="15"/>
        <v>1</v>
      </c>
      <c r="R66" t="str">
        <f t="shared" ref="R66:R129" si="20">IF(P66&lt;1.1, "Distress", IF(P66&lt;=2.6, "Grey Area", "Safe"))</f>
        <v>Distress</v>
      </c>
      <c r="S66">
        <f t="shared" si="16"/>
        <v>-1.097735374486555E-2</v>
      </c>
      <c r="T66">
        <f t="shared" si="17"/>
        <v>9.9349865355348482E-2</v>
      </c>
      <c r="U66">
        <f t="shared" si="18"/>
        <v>8.4696014193426199E-3</v>
      </c>
      <c r="V66">
        <f t="shared" si="19"/>
        <v>0.69204805591105889</v>
      </c>
      <c r="X66" s="13">
        <f t="shared" ref="X66:X129" si="21">(S66 * $T$729) + (T66 * $T$730) + (U66 * $T$731) + (V66 * $T$732)</f>
        <v>0.32923710128052519</v>
      </c>
      <c r="Y66" s="10"/>
      <c r="Z66" s="10"/>
      <c r="AB66" s="10" t="str">
        <f t="shared" si="8"/>
        <v>Non-Distress</v>
      </c>
      <c r="AC66" s="10">
        <f t="shared" si="9"/>
        <v>0</v>
      </c>
      <c r="AE66" s="10">
        <f t="shared" si="10"/>
        <v>1</v>
      </c>
      <c r="AG66" s="13">
        <f t="shared" si="11"/>
        <v>0.7310585786300049</v>
      </c>
      <c r="AH66" s="13">
        <f t="shared" si="12"/>
        <v>-0.2689414213699951</v>
      </c>
      <c r="AI66" s="10">
        <f t="shared" si="13"/>
        <v>0.19661193324148185</v>
      </c>
    </row>
    <row r="67" spans="1:35" x14ac:dyDescent="0.3">
      <c r="A67" t="s">
        <v>31</v>
      </c>
      <c r="B67">
        <v>2024</v>
      </c>
      <c r="C67" s="3">
        <v>13211151021</v>
      </c>
      <c r="D67" s="3">
        <v>2653109582</v>
      </c>
      <c r="E67" s="3">
        <v>467820444645</v>
      </c>
      <c r="F67" s="3">
        <v>229565296215</v>
      </c>
      <c r="G67" s="3">
        <v>260070186113</v>
      </c>
      <c r="H67" s="3">
        <v>233644681605</v>
      </c>
      <c r="I67" s="3">
        <v>207750258532</v>
      </c>
      <c r="J67" s="3">
        <v>50642908546</v>
      </c>
      <c r="K67" s="3">
        <v>-4079385390</v>
      </c>
      <c r="M67" s="3">
        <v>361344059586</v>
      </c>
      <c r="N67" s="3">
        <v>7728820325</v>
      </c>
      <c r="O67" s="3">
        <v>47076580246</v>
      </c>
      <c r="P67">
        <f t="shared" si="14"/>
        <v>1.3242376945062326</v>
      </c>
      <c r="Q67">
        <f t="shared" si="15"/>
        <v>0</v>
      </c>
      <c r="R67" t="str">
        <f t="shared" si="20"/>
        <v>Grey Area</v>
      </c>
      <c r="S67">
        <f t="shared" si="16"/>
        <v>-8.7199810027447453E-3</v>
      </c>
      <c r="T67">
        <f t="shared" si="17"/>
        <v>0.10825287591787437</v>
      </c>
      <c r="U67">
        <f t="shared" si="18"/>
        <v>2.82397898001767E-2</v>
      </c>
      <c r="V67">
        <f t="shared" si="19"/>
        <v>0.79882381612836206</v>
      </c>
      <c r="X67" s="13">
        <f t="shared" si="21"/>
        <v>0.4724366904620631</v>
      </c>
      <c r="Y67" s="10"/>
      <c r="Z67" s="10"/>
      <c r="AB67" s="10" t="str">
        <f t="shared" ref="AB67:AB130" si="22">IF(X67 &lt; AA67, "Distress", "Non-Distress")</f>
        <v>Non-Distress</v>
      </c>
      <c r="AC67" s="10">
        <f t="shared" ref="AC67:AC130" si="23">IF(X67 &lt; AA67, 1, 0)</f>
        <v>0</v>
      </c>
      <c r="AE67" s="10">
        <f t="shared" ref="AE67:AE130" si="24">IF(VALUE(TRIM(P67))&lt;=1.1, 1, 0)</f>
        <v>0</v>
      </c>
      <c r="AG67" s="13">
        <f t="shared" ref="AG67:AG130" si="25">1/(1+EXP(-Q67))</f>
        <v>0.5</v>
      </c>
      <c r="AH67" s="13">
        <f t="shared" ref="AH67:AH130" si="26">AG67-Q67</f>
        <v>0.5</v>
      </c>
      <c r="AI67" s="10">
        <f t="shared" ref="AI67:AI130" si="27">AG67*(1-AG67)</f>
        <v>0.25</v>
      </c>
    </row>
    <row r="68" spans="1:35" x14ac:dyDescent="0.3">
      <c r="A68" t="s">
        <v>31</v>
      </c>
      <c r="B68">
        <v>2023</v>
      </c>
      <c r="C68" s="3">
        <v>13910802449</v>
      </c>
      <c r="D68" s="3">
        <v>1534110411</v>
      </c>
      <c r="E68" s="3">
        <v>355759037821</v>
      </c>
      <c r="F68" s="3">
        <v>112172204006</v>
      </c>
      <c r="G68" s="3">
        <v>155010662197</v>
      </c>
      <c r="H68" s="3">
        <v>144009919896</v>
      </c>
      <c r="I68" s="3">
        <v>200748375624</v>
      </c>
      <c r="J68" s="3">
        <v>42914088221</v>
      </c>
      <c r="K68" s="3">
        <v>-31837715890</v>
      </c>
      <c r="M68" s="3">
        <v>352261975649</v>
      </c>
      <c r="N68" s="3">
        <v>9634070208</v>
      </c>
      <c r="O68" s="3">
        <v>25258221398</v>
      </c>
      <c r="P68">
        <f t="shared" si="14"/>
        <v>1.4287522135991573</v>
      </c>
      <c r="Q68">
        <f t="shared" si="15"/>
        <v>0</v>
      </c>
      <c r="R68" t="str">
        <f t="shared" si="20"/>
        <v>Grey Area</v>
      </c>
      <c r="S68">
        <f t="shared" si="16"/>
        <v>-8.9492360011438787E-2</v>
      </c>
      <c r="T68">
        <f t="shared" si="17"/>
        <v>0.12062683912078771</v>
      </c>
      <c r="U68">
        <f t="shared" si="18"/>
        <v>3.9101754193520202E-2</v>
      </c>
      <c r="V68">
        <f t="shared" si="19"/>
        <v>1.2950617252952112</v>
      </c>
      <c r="X68" s="13">
        <f t="shared" si="21"/>
        <v>9.3177638114634073E-2</v>
      </c>
      <c r="Y68" s="10"/>
      <c r="Z68" s="10"/>
      <c r="AB68" s="10" t="str">
        <f t="shared" si="22"/>
        <v>Non-Distress</v>
      </c>
      <c r="AC68" s="10">
        <f t="shared" si="23"/>
        <v>0</v>
      </c>
      <c r="AE68" s="10">
        <f t="shared" si="24"/>
        <v>0</v>
      </c>
      <c r="AG68" s="13">
        <f t="shared" si="25"/>
        <v>0.5</v>
      </c>
      <c r="AH68" s="13">
        <f t="shared" si="26"/>
        <v>0.5</v>
      </c>
      <c r="AI68" s="10">
        <f t="shared" si="27"/>
        <v>0.25</v>
      </c>
    </row>
    <row r="69" spans="1:35" x14ac:dyDescent="0.3">
      <c r="A69" t="s">
        <v>31</v>
      </c>
      <c r="B69">
        <v>2022</v>
      </c>
      <c r="C69" s="3">
        <v>17066386425</v>
      </c>
      <c r="D69" s="3">
        <v>1442698795</v>
      </c>
      <c r="E69" s="3">
        <v>261840122827</v>
      </c>
      <c r="F69" s="3">
        <v>54948492204</v>
      </c>
      <c r="G69" s="3">
        <v>146865304059</v>
      </c>
      <c r="H69" s="3">
        <v>130711352348</v>
      </c>
      <c r="I69" s="3">
        <v>114974818768</v>
      </c>
      <c r="J69" s="3">
        <v>33280018013</v>
      </c>
      <c r="K69" s="3">
        <v>-75762860144</v>
      </c>
      <c r="M69" s="3">
        <v>395627919197</v>
      </c>
      <c r="N69" s="3">
        <v>12459122288</v>
      </c>
      <c r="O69" s="3">
        <v>16608974093</v>
      </c>
      <c r="P69">
        <f t="shared" si="14"/>
        <v>-0.22377130998713557</v>
      </c>
      <c r="Q69">
        <f t="shared" si="15"/>
        <v>1</v>
      </c>
      <c r="R69" t="str">
        <f t="shared" si="20"/>
        <v>Distress</v>
      </c>
      <c r="S69">
        <f t="shared" si="16"/>
        <v>-0.28934778721463239</v>
      </c>
      <c r="T69">
        <f t="shared" si="17"/>
        <v>0.12710052857326373</v>
      </c>
      <c r="U69">
        <f t="shared" si="18"/>
        <v>6.5178652685997651E-2</v>
      </c>
      <c r="V69">
        <f t="shared" si="19"/>
        <v>0.78285895708772246</v>
      </c>
      <c r="X69" s="13">
        <f t="shared" si="21"/>
        <v>-1.0029725876937574</v>
      </c>
      <c r="Y69" s="10"/>
      <c r="Z69" s="10"/>
      <c r="AB69" s="10" t="str">
        <f t="shared" si="22"/>
        <v>Distress</v>
      </c>
      <c r="AC69" s="10">
        <f t="shared" si="23"/>
        <v>1</v>
      </c>
      <c r="AE69" s="10">
        <f t="shared" si="24"/>
        <v>1</v>
      </c>
      <c r="AG69" s="13">
        <f t="shared" si="25"/>
        <v>0.7310585786300049</v>
      </c>
      <c r="AH69" s="13">
        <f t="shared" si="26"/>
        <v>-0.2689414213699951</v>
      </c>
      <c r="AI69" s="10">
        <f t="shared" si="27"/>
        <v>0.19661193324148185</v>
      </c>
    </row>
    <row r="70" spans="1:35" x14ac:dyDescent="0.3">
      <c r="A70" t="s">
        <v>32</v>
      </c>
      <c r="B70">
        <v>2025</v>
      </c>
      <c r="C70" s="3">
        <v>220086829991</v>
      </c>
      <c r="D70" s="3">
        <v>18218458905</v>
      </c>
      <c r="E70" s="3">
        <v>1232630823230</v>
      </c>
      <c r="F70" s="3">
        <v>767238988666</v>
      </c>
      <c r="G70" s="3">
        <v>696676897249</v>
      </c>
      <c r="H70" s="3">
        <v>595184402062</v>
      </c>
      <c r="I70" s="3">
        <v>535877913083</v>
      </c>
      <c r="J70" s="3">
        <v>266175839507</v>
      </c>
      <c r="K70" s="3">
        <v>172054586604</v>
      </c>
      <c r="M70" s="3">
        <v>1732944872499</v>
      </c>
      <c r="N70" s="3">
        <v>155548239865</v>
      </c>
      <c r="O70" s="3">
        <v>376612770590</v>
      </c>
      <c r="P70">
        <f t="shared" si="14"/>
        <v>3.627144708303748</v>
      </c>
      <c r="Q70">
        <f t="shared" si="15"/>
        <v>0</v>
      </c>
      <c r="R70" t="str">
        <f t="shared" si="20"/>
        <v>Safe</v>
      </c>
      <c r="S70">
        <f t="shared" si="16"/>
        <v>0.13958322586250616</v>
      </c>
      <c r="T70">
        <f t="shared" si="17"/>
        <v>0.21594124898605874</v>
      </c>
      <c r="U70">
        <f t="shared" si="18"/>
        <v>0.17855048392695708</v>
      </c>
      <c r="V70">
        <f t="shared" si="19"/>
        <v>0.76919145044000403</v>
      </c>
      <c r="X70" s="13">
        <f t="shared" si="21"/>
        <v>2.4576496454056032</v>
      </c>
      <c r="Y70" s="10"/>
      <c r="Z70" s="10"/>
      <c r="AB70" s="10" t="str">
        <f t="shared" si="22"/>
        <v>Non-Distress</v>
      </c>
      <c r="AC70" s="10">
        <f t="shared" si="23"/>
        <v>0</v>
      </c>
      <c r="AE70" s="10">
        <f t="shared" si="24"/>
        <v>0</v>
      </c>
      <c r="AG70" s="13">
        <f t="shared" si="25"/>
        <v>0.5</v>
      </c>
      <c r="AH70" s="13">
        <f t="shared" si="26"/>
        <v>0.5</v>
      </c>
      <c r="AI70" s="10">
        <f t="shared" si="27"/>
        <v>0.25</v>
      </c>
    </row>
    <row r="71" spans="1:35" x14ac:dyDescent="0.3">
      <c r="A71" t="s">
        <v>32</v>
      </c>
      <c r="B71">
        <v>2024</v>
      </c>
      <c r="C71" s="3">
        <v>114596001636</v>
      </c>
      <c r="D71" s="3">
        <v>8549497409</v>
      </c>
      <c r="E71" s="3">
        <v>815608114271</v>
      </c>
      <c r="F71" s="3">
        <v>683343711817</v>
      </c>
      <c r="G71" s="3">
        <v>381594447554</v>
      </c>
      <c r="H71" s="3">
        <v>363015902146</v>
      </c>
      <c r="I71" s="3">
        <v>433921323891</v>
      </c>
      <c r="J71" s="3">
        <v>164219250315</v>
      </c>
      <c r="K71" s="3">
        <v>320327809671</v>
      </c>
      <c r="M71" s="3">
        <v>1240838719683</v>
      </c>
      <c r="N71" s="3">
        <v>78746115328</v>
      </c>
      <c r="O71" s="3">
        <v>121420756298</v>
      </c>
      <c r="P71">
        <f t="shared" si="14"/>
        <v>5.3709774255686806</v>
      </c>
      <c r="Q71">
        <f t="shared" si="15"/>
        <v>0</v>
      </c>
      <c r="R71" t="str">
        <f t="shared" si="20"/>
        <v>Safe</v>
      </c>
      <c r="S71">
        <f t="shared" si="16"/>
        <v>0.39274720796189322</v>
      </c>
      <c r="T71">
        <f t="shared" si="17"/>
        <v>0.20134577800489525</v>
      </c>
      <c r="U71">
        <f t="shared" si="18"/>
        <v>0.14050375374014915</v>
      </c>
      <c r="V71">
        <f t="shared" si="19"/>
        <v>1.1371269332465723</v>
      </c>
      <c r="X71" s="13">
        <f t="shared" si="21"/>
        <v>3.7888995828862724</v>
      </c>
      <c r="Y71" s="10"/>
      <c r="Z71" s="10"/>
      <c r="AB71" s="10" t="str">
        <f t="shared" si="22"/>
        <v>Non-Distress</v>
      </c>
      <c r="AC71" s="10">
        <f t="shared" si="23"/>
        <v>0</v>
      </c>
      <c r="AE71" s="10">
        <f t="shared" si="24"/>
        <v>0</v>
      </c>
      <c r="AG71" s="13">
        <f t="shared" si="25"/>
        <v>0.5</v>
      </c>
      <c r="AH71" s="13">
        <f t="shared" si="26"/>
        <v>0.5</v>
      </c>
      <c r="AI71" s="10">
        <f t="shared" si="27"/>
        <v>0.25</v>
      </c>
    </row>
    <row r="72" spans="1:35" x14ac:dyDescent="0.3">
      <c r="A72" t="s">
        <v>32</v>
      </c>
      <c r="B72">
        <v>2023</v>
      </c>
      <c r="C72" s="3">
        <v>72338169102</v>
      </c>
      <c r="D72" s="3">
        <v>7286136310</v>
      </c>
      <c r="E72" s="3">
        <v>680277911372</v>
      </c>
      <c r="F72" s="3">
        <v>579843781178</v>
      </c>
      <c r="G72" s="3">
        <v>308454908772</v>
      </c>
      <c r="H72" s="3">
        <v>290674627079</v>
      </c>
      <c r="I72" s="3">
        <v>371727542379</v>
      </c>
      <c r="J72" s="3">
        <v>102025468803</v>
      </c>
      <c r="K72" s="3">
        <v>289169154099</v>
      </c>
      <c r="M72" s="3">
        <v>1004155159435</v>
      </c>
      <c r="N72" s="3">
        <v>34297540237</v>
      </c>
      <c r="O72" s="3">
        <v>121868493298</v>
      </c>
      <c r="P72">
        <f t="shared" si="14"/>
        <v>5.2573778003331419</v>
      </c>
      <c r="Q72">
        <f t="shared" si="15"/>
        <v>0</v>
      </c>
      <c r="R72" t="str">
        <f t="shared" si="20"/>
        <v>Safe</v>
      </c>
      <c r="S72">
        <f t="shared" si="16"/>
        <v>0.42507503075588188</v>
      </c>
      <c r="T72">
        <f t="shared" si="17"/>
        <v>0.14997615988623342</v>
      </c>
      <c r="U72">
        <f t="shared" si="18"/>
        <v>0.10633620156225083</v>
      </c>
      <c r="V72">
        <f t="shared" si="19"/>
        <v>1.205127659854391</v>
      </c>
      <c r="X72" s="13">
        <f t="shared" si="21"/>
        <v>3.6557576386559636</v>
      </c>
      <c r="Y72" s="10"/>
      <c r="Z72" s="10"/>
      <c r="AB72" s="10" t="str">
        <f t="shared" si="22"/>
        <v>Non-Distress</v>
      </c>
      <c r="AC72" s="10">
        <f t="shared" si="23"/>
        <v>0</v>
      </c>
      <c r="AE72" s="10">
        <f t="shared" si="24"/>
        <v>0</v>
      </c>
      <c r="AG72" s="13">
        <f t="shared" si="25"/>
        <v>0.5</v>
      </c>
      <c r="AH72" s="13">
        <f t="shared" si="26"/>
        <v>0.5</v>
      </c>
      <c r="AI72" s="10">
        <f t="shared" si="27"/>
        <v>0.25</v>
      </c>
    </row>
    <row r="73" spans="1:35" x14ac:dyDescent="0.3">
      <c r="A73" t="s">
        <v>33</v>
      </c>
      <c r="B73">
        <v>2025</v>
      </c>
      <c r="C73" s="3">
        <v>-10992938332</v>
      </c>
      <c r="D73" s="3">
        <v>23790856598</v>
      </c>
      <c r="E73" s="3">
        <v>684668570014</v>
      </c>
      <c r="F73" s="3">
        <v>538826985733</v>
      </c>
      <c r="G73" s="3">
        <v>663390970204</v>
      </c>
      <c r="H73" s="3">
        <v>655062187863</v>
      </c>
      <c r="I73" s="3">
        <v>21277599810</v>
      </c>
      <c r="J73" s="3">
        <v>-216881331857</v>
      </c>
      <c r="K73" s="3">
        <v>-116235202130</v>
      </c>
      <c r="M73" s="3">
        <v>824216596902</v>
      </c>
      <c r="N73" s="3">
        <v>-36416684882</v>
      </c>
      <c r="O73" s="3">
        <v>411857483120</v>
      </c>
      <c r="P73">
        <f t="shared" si="14"/>
        <v>-2.2205642549591178</v>
      </c>
      <c r="Q73">
        <f t="shared" si="15"/>
        <v>1</v>
      </c>
      <c r="R73" t="str">
        <f t="shared" si="20"/>
        <v>Distress</v>
      </c>
      <c r="S73">
        <f t="shared" si="16"/>
        <v>-0.16976856718809691</v>
      </c>
      <c r="T73">
        <f t="shared" si="17"/>
        <v>-0.31676834800897208</v>
      </c>
      <c r="U73">
        <f t="shared" si="18"/>
        <v>-1.6055853610711556E-2</v>
      </c>
      <c r="V73">
        <f t="shared" si="19"/>
        <v>3.2073996731455216E-2</v>
      </c>
      <c r="X73" s="13">
        <f t="shared" si="21"/>
        <v>-2.1521499273940434</v>
      </c>
      <c r="Y73" s="10"/>
      <c r="Z73" s="10"/>
      <c r="AB73" s="10" t="str">
        <f t="shared" si="22"/>
        <v>Distress</v>
      </c>
      <c r="AC73" s="10">
        <f t="shared" si="23"/>
        <v>1</v>
      </c>
      <c r="AE73" s="10">
        <f t="shared" si="24"/>
        <v>1</v>
      </c>
      <c r="AG73" s="13">
        <f t="shared" si="25"/>
        <v>0.7310585786300049</v>
      </c>
      <c r="AH73" s="13">
        <f t="shared" si="26"/>
        <v>-0.2689414213699951</v>
      </c>
      <c r="AI73" s="10">
        <f t="shared" si="27"/>
        <v>0.19661193324148185</v>
      </c>
    </row>
    <row r="74" spans="1:35" x14ac:dyDescent="0.3">
      <c r="A74" t="s">
        <v>33</v>
      </c>
      <c r="B74">
        <v>2024</v>
      </c>
      <c r="C74" s="3">
        <v>-36842146005</v>
      </c>
      <c r="D74" s="3">
        <v>20408666617</v>
      </c>
      <c r="E74" s="3">
        <v>704587096783</v>
      </c>
      <c r="F74" s="3">
        <v>535857986014</v>
      </c>
      <c r="G74" s="3">
        <v>647423349628</v>
      </c>
      <c r="H74" s="3">
        <v>309268500222</v>
      </c>
      <c r="I74" s="3">
        <v>57163747155</v>
      </c>
      <c r="J74" s="3">
        <v>-180995184512</v>
      </c>
      <c r="K74" s="3">
        <v>226589485792</v>
      </c>
      <c r="M74" s="3">
        <v>788262006240</v>
      </c>
      <c r="N74" s="3">
        <v>-56678118644</v>
      </c>
      <c r="O74" s="3">
        <v>94661947326</v>
      </c>
      <c r="P74">
        <f t="shared" si="14"/>
        <v>1.0135369104702101</v>
      </c>
      <c r="Q74">
        <f t="shared" si="15"/>
        <v>1</v>
      </c>
      <c r="R74" t="str">
        <f t="shared" si="20"/>
        <v>Distress</v>
      </c>
      <c r="S74">
        <f t="shared" si="16"/>
        <v>0.32159187533601036</v>
      </c>
      <c r="T74">
        <f t="shared" si="17"/>
        <v>-0.25688120792785851</v>
      </c>
      <c r="U74">
        <f t="shared" si="18"/>
        <v>-5.2288987654207225E-2</v>
      </c>
      <c r="V74">
        <f t="shared" si="19"/>
        <v>8.8294231568641218E-2</v>
      </c>
      <c r="X74" s="13">
        <f t="shared" si="21"/>
        <v>0.87445258665122383</v>
      </c>
      <c r="Y74" s="10"/>
      <c r="Z74" s="10"/>
      <c r="AB74" s="10" t="str">
        <f t="shared" si="22"/>
        <v>Non-Distress</v>
      </c>
      <c r="AC74" s="10">
        <f t="shared" si="23"/>
        <v>0</v>
      </c>
      <c r="AE74" s="10">
        <f t="shared" si="24"/>
        <v>1</v>
      </c>
      <c r="AG74" s="13">
        <f t="shared" si="25"/>
        <v>0.7310585786300049</v>
      </c>
      <c r="AH74" s="13">
        <f t="shared" si="26"/>
        <v>-0.2689414213699951</v>
      </c>
      <c r="AI74" s="10">
        <f t="shared" si="27"/>
        <v>0.19661193324148185</v>
      </c>
    </row>
    <row r="75" spans="1:35" x14ac:dyDescent="0.3">
      <c r="A75" t="s">
        <v>33</v>
      </c>
      <c r="B75">
        <v>2023</v>
      </c>
      <c r="C75" s="3">
        <v>16816497718</v>
      </c>
      <c r="D75" s="3">
        <v>17886301399</v>
      </c>
      <c r="E75" s="3">
        <v>726111487745</v>
      </c>
      <c r="F75" s="3">
        <v>519939671621</v>
      </c>
      <c r="G75" s="3">
        <v>615100361501</v>
      </c>
      <c r="H75" s="3">
        <v>289523226246</v>
      </c>
      <c r="I75" s="3">
        <v>111011126244</v>
      </c>
      <c r="J75" s="3">
        <v>-127147805423</v>
      </c>
      <c r="K75" s="3">
        <v>230416445375</v>
      </c>
      <c r="M75" s="3">
        <v>950454205479</v>
      </c>
      <c r="N75" s="3">
        <v>-1296781540</v>
      </c>
      <c r="O75" s="3">
        <v>370885998997</v>
      </c>
      <c r="P75">
        <f t="shared" si="14"/>
        <v>1.8559618515582095</v>
      </c>
      <c r="Q75">
        <f t="shared" si="15"/>
        <v>0</v>
      </c>
      <c r="R75" t="str">
        <f t="shared" si="20"/>
        <v>Grey Area</v>
      </c>
      <c r="S75">
        <f t="shared" si="16"/>
        <v>0.31732929345406385</v>
      </c>
      <c r="T75">
        <f t="shared" si="17"/>
        <v>-0.17510782788724105</v>
      </c>
      <c r="U75">
        <f t="shared" si="18"/>
        <v>2.3159663497715813E-2</v>
      </c>
      <c r="V75">
        <f t="shared" si="19"/>
        <v>0.18047644448314881</v>
      </c>
      <c r="X75" s="13">
        <f t="shared" si="21"/>
        <v>1.4853514956716714</v>
      </c>
      <c r="Y75" s="10"/>
      <c r="Z75" s="10"/>
      <c r="AB75" s="10" t="str">
        <f t="shared" si="22"/>
        <v>Non-Distress</v>
      </c>
      <c r="AC75" s="10">
        <f t="shared" si="23"/>
        <v>0</v>
      </c>
      <c r="AE75" s="10">
        <f t="shared" si="24"/>
        <v>0</v>
      </c>
      <c r="AG75" s="13">
        <f t="shared" si="25"/>
        <v>0.5</v>
      </c>
      <c r="AH75" s="13">
        <f t="shared" si="26"/>
        <v>0.5</v>
      </c>
      <c r="AI75" s="10">
        <f t="shared" si="27"/>
        <v>0.25</v>
      </c>
    </row>
    <row r="76" spans="1:35" x14ac:dyDescent="0.3">
      <c r="A76" t="s">
        <v>33</v>
      </c>
      <c r="B76">
        <v>2022</v>
      </c>
      <c r="C76" s="3">
        <v>-119885596952</v>
      </c>
      <c r="D76" s="3">
        <v>11919685708</v>
      </c>
      <c r="E76" s="3">
        <v>731341359270</v>
      </c>
      <c r="F76" s="3">
        <v>537627993840</v>
      </c>
      <c r="G76" s="3">
        <v>621151862369</v>
      </c>
      <c r="H76" s="3">
        <v>290085800398</v>
      </c>
      <c r="I76" s="3">
        <v>110189496901</v>
      </c>
      <c r="J76" s="3">
        <v>-127969434766</v>
      </c>
      <c r="K76" s="3">
        <v>247542193442</v>
      </c>
      <c r="M76" s="3">
        <v>1061799427322</v>
      </c>
      <c r="N76" s="3">
        <v>-103341187716</v>
      </c>
      <c r="O76" s="3">
        <v>422838939596</v>
      </c>
      <c r="P76">
        <f t="shared" si="14"/>
        <v>0.73466193728338169</v>
      </c>
      <c r="Q76">
        <f t="shared" si="15"/>
        <v>1</v>
      </c>
      <c r="R76" t="str">
        <f t="shared" si="20"/>
        <v>Distress</v>
      </c>
      <c r="S76">
        <f t="shared" si="16"/>
        <v>0.33847695102200726</v>
      </c>
      <c r="T76">
        <f t="shared" si="17"/>
        <v>-0.17497907528945816</v>
      </c>
      <c r="U76">
        <f t="shared" si="18"/>
        <v>-0.16392563531709148</v>
      </c>
      <c r="V76">
        <f t="shared" si="19"/>
        <v>0.17739542224143101</v>
      </c>
      <c r="X76" s="13">
        <f t="shared" si="21"/>
        <v>0.70990033426111721</v>
      </c>
      <c r="Y76" s="10"/>
      <c r="Z76" s="10"/>
      <c r="AB76" s="10" t="str">
        <f t="shared" si="22"/>
        <v>Non-Distress</v>
      </c>
      <c r="AC76" s="10">
        <f t="shared" si="23"/>
        <v>0</v>
      </c>
      <c r="AE76" s="10">
        <f t="shared" si="24"/>
        <v>1</v>
      </c>
      <c r="AG76" s="13">
        <f t="shared" si="25"/>
        <v>0.7310585786300049</v>
      </c>
      <c r="AH76" s="13">
        <f t="shared" si="26"/>
        <v>-0.2689414213699951</v>
      </c>
      <c r="AI76" s="10">
        <f t="shared" si="27"/>
        <v>0.19661193324148185</v>
      </c>
    </row>
    <row r="77" spans="1:35" x14ac:dyDescent="0.3">
      <c r="A77" t="s">
        <v>34</v>
      </c>
      <c r="B77">
        <v>2025</v>
      </c>
      <c r="C77" s="3">
        <v>226558041605</v>
      </c>
      <c r="D77" s="3">
        <v>65628121117</v>
      </c>
      <c r="E77" s="3">
        <v>2364602590330</v>
      </c>
      <c r="F77" s="3">
        <v>1313973450334</v>
      </c>
      <c r="G77" s="3">
        <v>1973528364712</v>
      </c>
      <c r="H77" s="3">
        <v>1286287498454</v>
      </c>
      <c r="I77" s="3">
        <v>390116810728</v>
      </c>
      <c r="J77" s="3">
        <v>-259731541808</v>
      </c>
      <c r="K77" s="3">
        <v>27685951880</v>
      </c>
      <c r="M77" s="3">
        <v>6474280326568</v>
      </c>
      <c r="N77" s="3">
        <v>129261911856</v>
      </c>
      <c r="O77" s="3">
        <v>1564108619235</v>
      </c>
      <c r="P77">
        <f t="shared" si="14"/>
        <v>0.57014168333287674</v>
      </c>
      <c r="Q77">
        <f t="shared" si="15"/>
        <v>1</v>
      </c>
      <c r="R77" t="str">
        <f t="shared" si="20"/>
        <v>Distress</v>
      </c>
      <c r="S77">
        <f t="shared" si="16"/>
        <v>1.1708501036589068E-2</v>
      </c>
      <c r="T77">
        <f t="shared" si="17"/>
        <v>-0.10984151961524845</v>
      </c>
      <c r="U77">
        <f t="shared" si="18"/>
        <v>9.5812312196351751E-2</v>
      </c>
      <c r="V77">
        <f t="shared" si="19"/>
        <v>0.19767479287531312</v>
      </c>
      <c r="X77" s="13">
        <f t="shared" si="21"/>
        <v>0.18351262200996879</v>
      </c>
      <c r="Y77" s="10"/>
      <c r="Z77" s="10"/>
      <c r="AB77" s="10" t="str">
        <f t="shared" si="22"/>
        <v>Non-Distress</v>
      </c>
      <c r="AC77" s="10">
        <f t="shared" si="23"/>
        <v>0</v>
      </c>
      <c r="AE77" s="10">
        <f t="shared" si="24"/>
        <v>1</v>
      </c>
      <c r="AG77" s="13">
        <f t="shared" si="25"/>
        <v>0.7310585786300049</v>
      </c>
      <c r="AH77" s="13">
        <f t="shared" si="26"/>
        <v>-0.2689414213699951</v>
      </c>
      <c r="AI77" s="10">
        <f t="shared" si="27"/>
        <v>0.19661193324148185</v>
      </c>
    </row>
    <row r="78" spans="1:35" x14ac:dyDescent="0.3">
      <c r="A78" t="s">
        <v>34</v>
      </c>
      <c r="B78">
        <v>2024</v>
      </c>
      <c r="C78" s="3">
        <v>176323793741</v>
      </c>
      <c r="D78" s="3">
        <v>32931524744</v>
      </c>
      <c r="E78" s="3">
        <v>2194978339108</v>
      </c>
      <c r="F78" s="3">
        <v>1340183785723</v>
      </c>
      <c r="G78" s="3">
        <v>1932991565333</v>
      </c>
      <c r="H78" s="3">
        <v>1341212254344</v>
      </c>
      <c r="I78" s="3">
        <v>260867246863</v>
      </c>
      <c r="J78" s="3">
        <v>-388981105673</v>
      </c>
      <c r="K78" s="3">
        <v>-1028468621</v>
      </c>
      <c r="M78" s="3">
        <v>4930799547694</v>
      </c>
      <c r="N78" s="3">
        <v>102995767911</v>
      </c>
      <c r="O78" s="3">
        <v>779853742865</v>
      </c>
      <c r="P78">
        <f t="shared" si="14"/>
        <v>0.100732494505478</v>
      </c>
      <c r="Q78">
        <f t="shared" si="15"/>
        <v>1</v>
      </c>
      <c r="R78" t="str">
        <f t="shared" si="20"/>
        <v>Distress</v>
      </c>
      <c r="S78">
        <f t="shared" si="16"/>
        <v>-4.6855524843946811E-4</v>
      </c>
      <c r="T78">
        <f t="shared" si="17"/>
        <v>-0.17721409762570822</v>
      </c>
      <c r="U78">
        <f t="shared" si="18"/>
        <v>8.0330539303934467E-2</v>
      </c>
      <c r="V78">
        <f t="shared" si="19"/>
        <v>0.13495519149772386</v>
      </c>
      <c r="X78" s="13">
        <f t="shared" si="21"/>
        <v>-0.18931882497745953</v>
      </c>
      <c r="Y78" s="10"/>
      <c r="Z78" s="10"/>
      <c r="AB78" s="10" t="str">
        <f t="shared" si="22"/>
        <v>Distress</v>
      </c>
      <c r="AC78" s="10">
        <f t="shared" si="23"/>
        <v>1</v>
      </c>
      <c r="AE78" s="10">
        <f t="shared" si="24"/>
        <v>1</v>
      </c>
      <c r="AG78" s="13">
        <f t="shared" si="25"/>
        <v>0.7310585786300049</v>
      </c>
      <c r="AH78" s="13">
        <f t="shared" si="26"/>
        <v>-0.2689414213699951</v>
      </c>
      <c r="AI78" s="10">
        <f t="shared" si="27"/>
        <v>0.19661193324148185</v>
      </c>
    </row>
    <row r="79" spans="1:35" x14ac:dyDescent="0.3">
      <c r="A79" t="s">
        <v>34</v>
      </c>
      <c r="B79">
        <v>2023</v>
      </c>
      <c r="C79" s="3">
        <v>69254831674</v>
      </c>
      <c r="D79" s="3">
        <v>179075576</v>
      </c>
      <c r="E79" s="3">
        <v>690330534107</v>
      </c>
      <c r="F79" s="3">
        <v>133101244776</v>
      </c>
      <c r="G79" s="3">
        <v>549791851137</v>
      </c>
      <c r="H79" s="3">
        <v>323061683055</v>
      </c>
      <c r="I79" s="3">
        <v>141109986407</v>
      </c>
      <c r="J79" s="3">
        <v>-492177767764</v>
      </c>
      <c r="K79" s="3">
        <v>-189960438279</v>
      </c>
      <c r="M79" s="3">
        <v>611771423767</v>
      </c>
      <c r="N79" s="3">
        <v>57069005210</v>
      </c>
      <c r="O79" s="3">
        <v>892069358</v>
      </c>
      <c r="P79">
        <f t="shared" si="14"/>
        <v>-3.185731520600882</v>
      </c>
      <c r="Q79">
        <f t="shared" si="15"/>
        <v>1</v>
      </c>
      <c r="R79" t="str">
        <f t="shared" si="20"/>
        <v>Distress</v>
      </c>
      <c r="S79">
        <f t="shared" si="16"/>
        <v>-0.27517316545287923</v>
      </c>
      <c r="T79">
        <f t="shared" si="17"/>
        <v>-0.71295958015340133</v>
      </c>
      <c r="U79">
        <f t="shared" si="18"/>
        <v>0.1003212638762776</v>
      </c>
      <c r="V79">
        <f t="shared" si="19"/>
        <v>0.25666074554429413</v>
      </c>
      <c r="X79" s="13">
        <f t="shared" si="21"/>
        <v>-3.5223344028387258</v>
      </c>
      <c r="Y79" s="10"/>
      <c r="Z79" s="10"/>
      <c r="AB79" s="10" t="str">
        <f t="shared" si="22"/>
        <v>Distress</v>
      </c>
      <c r="AC79" s="10">
        <f t="shared" si="23"/>
        <v>1</v>
      </c>
      <c r="AE79" s="10">
        <f t="shared" si="24"/>
        <v>1</v>
      </c>
      <c r="AG79" s="13">
        <f t="shared" si="25"/>
        <v>0.7310585786300049</v>
      </c>
      <c r="AH79" s="13">
        <f t="shared" si="26"/>
        <v>-0.2689414213699951</v>
      </c>
      <c r="AI79" s="10">
        <f t="shared" si="27"/>
        <v>0.19661193324148185</v>
      </c>
    </row>
    <row r="80" spans="1:35" x14ac:dyDescent="0.3">
      <c r="A80" t="s">
        <v>34</v>
      </c>
      <c r="B80">
        <v>2022</v>
      </c>
      <c r="C80" s="3">
        <v>-120691824856</v>
      </c>
      <c r="D80" s="3">
        <v>868956260</v>
      </c>
      <c r="E80" s="3">
        <v>615017828200</v>
      </c>
      <c r="F80" s="3">
        <v>39055344194</v>
      </c>
      <c r="G80" s="3">
        <v>881306165566</v>
      </c>
      <c r="H80" s="3">
        <v>299265301028</v>
      </c>
      <c r="I80" s="3">
        <v>-265646189868</v>
      </c>
      <c r="J80" s="3">
        <v>-548933944039</v>
      </c>
      <c r="K80" s="3">
        <v>-260209956834</v>
      </c>
      <c r="M80" s="3">
        <v>39116821863</v>
      </c>
      <c r="N80" s="3">
        <v>-93605399937</v>
      </c>
      <c r="O80" s="3">
        <v>2742328355</v>
      </c>
      <c r="P80">
        <f t="shared" si="14"/>
        <v>-7.3204394291351695</v>
      </c>
      <c r="Q80">
        <f t="shared" si="15"/>
        <v>1</v>
      </c>
      <c r="R80" t="str">
        <f t="shared" si="20"/>
        <v>Distress</v>
      </c>
      <c r="S80">
        <f t="shared" si="16"/>
        <v>-0.42309335583907876</v>
      </c>
      <c r="T80">
        <f t="shared" si="17"/>
        <v>-0.89254964469174713</v>
      </c>
      <c r="U80">
        <f t="shared" si="18"/>
        <v>-0.19624118086012909</v>
      </c>
      <c r="V80">
        <f t="shared" si="19"/>
        <v>-0.30142327405300112</v>
      </c>
      <c r="X80" s="13">
        <f t="shared" si="21"/>
        <v>-6.473588634836708</v>
      </c>
      <c r="Y80" s="10"/>
      <c r="Z80" s="10"/>
      <c r="AB80" s="10" t="str">
        <f t="shared" si="22"/>
        <v>Distress</v>
      </c>
      <c r="AC80" s="10">
        <f t="shared" si="23"/>
        <v>1</v>
      </c>
      <c r="AE80" s="10">
        <f t="shared" si="24"/>
        <v>1</v>
      </c>
      <c r="AG80" s="13">
        <f t="shared" si="25"/>
        <v>0.7310585786300049</v>
      </c>
      <c r="AH80" s="13">
        <f t="shared" si="26"/>
        <v>-0.2689414213699951</v>
      </c>
      <c r="AI80" s="10">
        <f t="shared" si="27"/>
        <v>0.19661193324148185</v>
      </c>
    </row>
    <row r="81" spans="1:35" x14ac:dyDescent="0.3">
      <c r="A81" t="s">
        <v>35</v>
      </c>
      <c r="B81">
        <v>2025</v>
      </c>
      <c r="C81" s="3">
        <v>243771000000</v>
      </c>
      <c r="D81" s="3">
        <v>66000000</v>
      </c>
      <c r="E81" s="3">
        <v>3738296000000</v>
      </c>
      <c r="F81" s="3">
        <v>2640362000000</v>
      </c>
      <c r="G81" s="3">
        <v>243726000000</v>
      </c>
      <c r="H81" s="3">
        <v>184465000000</v>
      </c>
      <c r="I81" s="3">
        <v>3492961000000</v>
      </c>
      <c r="J81" s="3">
        <v>3028767000000</v>
      </c>
      <c r="K81" s="3">
        <v>2455897000000</v>
      </c>
      <c r="M81" s="3">
        <v>1696438000000</v>
      </c>
      <c r="N81" s="3">
        <v>190294000000</v>
      </c>
      <c r="O81" s="3">
        <v>16806000000</v>
      </c>
      <c r="P81">
        <f t="shared" si="14"/>
        <v>22.437172960215516</v>
      </c>
      <c r="Q81">
        <f t="shared" si="15"/>
        <v>0</v>
      </c>
      <c r="R81" t="str">
        <f t="shared" si="20"/>
        <v>Safe</v>
      </c>
      <c r="S81">
        <f t="shared" si="16"/>
        <v>0.65695627098549714</v>
      </c>
      <c r="T81">
        <f t="shared" si="17"/>
        <v>0.8101998878633474</v>
      </c>
      <c r="U81">
        <f t="shared" si="18"/>
        <v>6.5209122017090143E-2</v>
      </c>
      <c r="V81">
        <f t="shared" si="19"/>
        <v>14.331507512534568</v>
      </c>
      <c r="X81" s="13">
        <f t="shared" si="21"/>
        <v>7.6019154496769961</v>
      </c>
      <c r="Y81" s="10"/>
      <c r="Z81" s="10"/>
      <c r="AB81" s="10" t="str">
        <f t="shared" si="22"/>
        <v>Non-Distress</v>
      </c>
      <c r="AC81" s="10">
        <f t="shared" si="23"/>
        <v>0</v>
      </c>
      <c r="AE81" s="10">
        <f t="shared" si="24"/>
        <v>0</v>
      </c>
      <c r="AG81" s="13">
        <f t="shared" si="25"/>
        <v>0.5</v>
      </c>
      <c r="AH81" s="13">
        <f t="shared" si="26"/>
        <v>0.5</v>
      </c>
      <c r="AI81" s="10">
        <f t="shared" si="27"/>
        <v>0.25</v>
      </c>
    </row>
    <row r="82" spans="1:35" x14ac:dyDescent="0.3">
      <c r="A82" t="s">
        <v>35</v>
      </c>
      <c r="B82">
        <v>2024</v>
      </c>
      <c r="C82" s="3">
        <v>235215000000</v>
      </c>
      <c r="D82" s="3">
        <v>235000000</v>
      </c>
      <c r="E82" s="3">
        <v>3634529000000</v>
      </c>
      <c r="F82" s="3">
        <v>2572633000000</v>
      </c>
      <c r="G82" s="3">
        <v>244074000000</v>
      </c>
      <c r="H82" s="3">
        <v>192052000000</v>
      </c>
      <c r="I82" s="3">
        <v>3387723000000</v>
      </c>
      <c r="J82" s="3">
        <v>2923141000000</v>
      </c>
      <c r="K82" s="3">
        <v>2380581000000</v>
      </c>
      <c r="M82" s="3">
        <v>1367926000000</v>
      </c>
      <c r="N82" s="3">
        <v>178507000000</v>
      </c>
      <c r="O82" s="3">
        <v>109000000</v>
      </c>
      <c r="P82">
        <f t="shared" si="14"/>
        <v>21.927447637407926</v>
      </c>
      <c r="Q82">
        <f t="shared" si="15"/>
        <v>0</v>
      </c>
      <c r="R82" t="str">
        <f t="shared" si="20"/>
        <v>Safe</v>
      </c>
      <c r="S82">
        <f t="shared" si="16"/>
        <v>0.65499023394778255</v>
      </c>
      <c r="T82">
        <f t="shared" si="17"/>
        <v>0.80426954909425674</v>
      </c>
      <c r="U82">
        <f t="shared" si="18"/>
        <v>6.4716776231528217E-2</v>
      </c>
      <c r="V82">
        <f t="shared" si="19"/>
        <v>13.879901177511739</v>
      </c>
      <c r="X82" s="13">
        <f t="shared" si="21"/>
        <v>7.5486794279365768</v>
      </c>
      <c r="Y82" s="10"/>
      <c r="Z82" s="10"/>
      <c r="AB82" s="10" t="str">
        <f t="shared" si="22"/>
        <v>Non-Distress</v>
      </c>
      <c r="AC82" s="10">
        <f t="shared" si="23"/>
        <v>0</v>
      </c>
      <c r="AE82" s="10">
        <f t="shared" si="24"/>
        <v>0</v>
      </c>
      <c r="AG82" s="13">
        <f t="shared" si="25"/>
        <v>0.5</v>
      </c>
      <c r="AH82" s="13">
        <f t="shared" si="26"/>
        <v>0.5</v>
      </c>
      <c r="AI82" s="10">
        <f t="shared" si="27"/>
        <v>0.25</v>
      </c>
    </row>
    <row r="83" spans="1:35" x14ac:dyDescent="0.3">
      <c r="A83" t="s">
        <v>35</v>
      </c>
      <c r="B83">
        <v>2023</v>
      </c>
      <c r="C83" s="3">
        <v>734175000000</v>
      </c>
      <c r="D83" s="3">
        <v>280000000</v>
      </c>
      <c r="E83" s="3">
        <v>3901820000000</v>
      </c>
      <c r="F83" s="3">
        <v>2945199000000</v>
      </c>
      <c r="G83" s="3">
        <v>455124000000</v>
      </c>
      <c r="H83" s="3">
        <v>401461000000</v>
      </c>
      <c r="I83" s="3">
        <v>3445748000000</v>
      </c>
      <c r="J83" s="3">
        <v>2981166000000</v>
      </c>
      <c r="K83" s="3">
        <v>2543738000000</v>
      </c>
      <c r="M83" s="3">
        <v>2298131000000</v>
      </c>
      <c r="N83" s="3">
        <v>595629000000</v>
      </c>
      <c r="O83" s="3">
        <v>373000000</v>
      </c>
      <c r="P83">
        <f t="shared" si="14"/>
        <v>15.981498221939882</v>
      </c>
      <c r="Q83">
        <f t="shared" si="15"/>
        <v>0</v>
      </c>
      <c r="R83" t="str">
        <f t="shared" si="20"/>
        <v>Safe</v>
      </c>
      <c r="S83">
        <f t="shared" si="16"/>
        <v>0.65193627589176328</v>
      </c>
      <c r="T83">
        <f t="shared" si="17"/>
        <v>0.76404498413560851</v>
      </c>
      <c r="U83">
        <f t="shared" si="18"/>
        <v>0.1881621909775438</v>
      </c>
      <c r="V83">
        <f t="shared" si="19"/>
        <v>7.5710092194654646</v>
      </c>
      <c r="X83" s="13">
        <f t="shared" si="21"/>
        <v>7.7242942367506933</v>
      </c>
      <c r="Y83" s="10"/>
      <c r="Z83" s="10"/>
      <c r="AB83" s="10" t="str">
        <f t="shared" si="22"/>
        <v>Non-Distress</v>
      </c>
      <c r="AC83" s="10">
        <f t="shared" si="23"/>
        <v>0</v>
      </c>
      <c r="AE83" s="10">
        <f t="shared" si="24"/>
        <v>0</v>
      </c>
      <c r="AG83" s="13">
        <f t="shared" si="25"/>
        <v>0.5</v>
      </c>
      <c r="AH83" s="13">
        <f t="shared" si="26"/>
        <v>0.5</v>
      </c>
      <c r="AI83" s="10">
        <f t="shared" si="27"/>
        <v>0.25</v>
      </c>
    </row>
    <row r="84" spans="1:35" x14ac:dyDescent="0.3">
      <c r="A84" t="s">
        <v>35</v>
      </c>
      <c r="B84">
        <v>2022</v>
      </c>
      <c r="C84" s="3">
        <v>644958000000</v>
      </c>
      <c r="D84" s="3">
        <v>64000000</v>
      </c>
      <c r="E84" s="3">
        <v>3410481000000</v>
      </c>
      <c r="F84" s="3">
        <v>2699403000000</v>
      </c>
      <c r="G84" s="3">
        <v>360231000000</v>
      </c>
      <c r="H84" s="3">
        <v>306752000000</v>
      </c>
      <c r="I84" s="3">
        <v>3049414000000</v>
      </c>
      <c r="J84" s="3">
        <v>2584832000000</v>
      </c>
      <c r="K84" s="3">
        <v>2392651000000</v>
      </c>
      <c r="M84" s="3">
        <v>2415592000000</v>
      </c>
      <c r="N84" s="3">
        <v>523086000000</v>
      </c>
      <c r="O84" s="3">
        <v>546000000</v>
      </c>
      <c r="P84">
        <f t="shared" si="14"/>
        <v>17.232246939182062</v>
      </c>
      <c r="Q84">
        <f t="shared" si="15"/>
        <v>0</v>
      </c>
      <c r="R84" t="str">
        <f t="shared" si="20"/>
        <v>Safe</v>
      </c>
      <c r="S84">
        <f t="shared" si="16"/>
        <v>0.7015582259511195</v>
      </c>
      <c r="T84">
        <f t="shared" si="17"/>
        <v>0.75790834196114854</v>
      </c>
      <c r="U84">
        <f t="shared" si="18"/>
        <v>0.18911056827468031</v>
      </c>
      <c r="V84">
        <f t="shared" si="19"/>
        <v>8.4651626317557351</v>
      </c>
      <c r="X84" s="13">
        <f t="shared" si="21"/>
        <v>8.0504677066801609</v>
      </c>
      <c r="Y84" s="10"/>
      <c r="Z84" s="10"/>
      <c r="AB84" s="10" t="str">
        <f t="shared" si="22"/>
        <v>Non-Distress</v>
      </c>
      <c r="AC84" s="10">
        <f t="shared" si="23"/>
        <v>0</v>
      </c>
      <c r="AE84" s="10">
        <f t="shared" si="24"/>
        <v>0</v>
      </c>
      <c r="AG84" s="13">
        <f t="shared" si="25"/>
        <v>0.5</v>
      </c>
      <c r="AH84" s="13">
        <f t="shared" si="26"/>
        <v>0.5</v>
      </c>
      <c r="AI84" s="10">
        <f t="shared" si="27"/>
        <v>0.25</v>
      </c>
    </row>
    <row r="85" spans="1:35" x14ac:dyDescent="0.3">
      <c r="A85" t="s">
        <v>36</v>
      </c>
      <c r="B85">
        <v>2025</v>
      </c>
      <c r="C85" s="3">
        <v>149398907099</v>
      </c>
      <c r="D85" s="3">
        <v>42141208540</v>
      </c>
      <c r="E85" s="3">
        <v>2038211205893</v>
      </c>
      <c r="F85" s="3">
        <v>289387075195</v>
      </c>
      <c r="G85" s="3">
        <v>917334446677</v>
      </c>
      <c r="H85" s="3">
        <v>401805208412</v>
      </c>
      <c r="I85" s="3">
        <v>1120465677679</v>
      </c>
      <c r="J85" s="3">
        <v>310257427915</v>
      </c>
      <c r="K85" s="3">
        <v>-112418133217</v>
      </c>
      <c r="M85" s="3">
        <v>1503351559061</v>
      </c>
      <c r="N85" s="3">
        <v>83944824537</v>
      </c>
      <c r="O85" s="3">
        <v>604106194355</v>
      </c>
      <c r="P85">
        <f t="shared" si="14"/>
        <v>1.9094976595754609</v>
      </c>
      <c r="Q85">
        <f t="shared" si="15"/>
        <v>0</v>
      </c>
      <c r="R85" t="str">
        <f t="shared" si="20"/>
        <v>Grey Area</v>
      </c>
      <c r="S85">
        <f t="shared" si="16"/>
        <v>-5.5155291508539386E-2</v>
      </c>
      <c r="T85">
        <f t="shared" si="17"/>
        <v>0.15222045047047375</v>
      </c>
      <c r="U85">
        <f t="shared" si="18"/>
        <v>7.3299031359973302E-2</v>
      </c>
      <c r="V85">
        <f t="shared" si="19"/>
        <v>1.2214363929511567</v>
      </c>
      <c r="X85" s="13">
        <f t="shared" si="21"/>
        <v>0.56885650888169614</v>
      </c>
      <c r="Y85" s="10"/>
      <c r="Z85" s="10"/>
      <c r="AB85" s="10" t="str">
        <f t="shared" si="22"/>
        <v>Non-Distress</v>
      </c>
      <c r="AC85" s="10">
        <f t="shared" si="23"/>
        <v>0</v>
      </c>
      <c r="AE85" s="10">
        <f t="shared" si="24"/>
        <v>0</v>
      </c>
      <c r="AG85" s="13">
        <f t="shared" si="25"/>
        <v>0.5</v>
      </c>
      <c r="AH85" s="13">
        <f t="shared" si="26"/>
        <v>0.5</v>
      </c>
      <c r="AI85" s="10">
        <f t="shared" si="27"/>
        <v>0.25</v>
      </c>
    </row>
    <row r="86" spans="1:35" x14ac:dyDescent="0.3">
      <c r="A86" t="s">
        <v>36</v>
      </c>
      <c r="B86">
        <v>2024</v>
      </c>
      <c r="C86" s="3">
        <v>235448250090</v>
      </c>
      <c r="D86" s="3">
        <v>32163504034</v>
      </c>
      <c r="E86" s="3">
        <v>1838051990503</v>
      </c>
      <c r="F86" s="3">
        <v>274510240655</v>
      </c>
      <c r="G86" s="3">
        <v>768905727774</v>
      </c>
      <c r="H86" s="3">
        <v>433454857970</v>
      </c>
      <c r="I86" s="3">
        <v>1068872125799</v>
      </c>
      <c r="J86" s="3">
        <v>253265010778</v>
      </c>
      <c r="K86" s="3">
        <v>-158944617315</v>
      </c>
      <c r="M86" s="3">
        <v>1462916419126</v>
      </c>
      <c r="N86" s="3">
        <v>160301504071</v>
      </c>
      <c r="O86" s="3">
        <v>467167095336</v>
      </c>
      <c r="P86">
        <f t="shared" si="14"/>
        <v>2.2023589264511578</v>
      </c>
      <c r="Q86">
        <f t="shared" si="15"/>
        <v>0</v>
      </c>
      <c r="R86" t="str">
        <f t="shared" si="20"/>
        <v>Grey Area</v>
      </c>
      <c r="S86">
        <f t="shared" si="16"/>
        <v>-8.6474494810945657E-2</v>
      </c>
      <c r="T86">
        <f t="shared" si="17"/>
        <v>0.13778990588220069</v>
      </c>
      <c r="U86">
        <f t="shared" si="18"/>
        <v>0.1280966214810754</v>
      </c>
      <c r="V86">
        <f t="shared" si="19"/>
        <v>1.3901211646496765</v>
      </c>
      <c r="X86" s="13">
        <f t="shared" si="21"/>
        <v>0.60245820734806288</v>
      </c>
      <c r="Y86" s="10"/>
      <c r="Z86" s="10"/>
      <c r="AB86" s="10" t="str">
        <f t="shared" si="22"/>
        <v>Non-Distress</v>
      </c>
      <c r="AC86" s="10">
        <f t="shared" si="23"/>
        <v>0</v>
      </c>
      <c r="AE86" s="10">
        <f t="shared" si="24"/>
        <v>0</v>
      </c>
      <c r="AG86" s="13">
        <f t="shared" si="25"/>
        <v>0.5</v>
      </c>
      <c r="AH86" s="13">
        <f t="shared" si="26"/>
        <v>0.5</v>
      </c>
      <c r="AI86" s="10">
        <f t="shared" si="27"/>
        <v>0.25</v>
      </c>
    </row>
    <row r="87" spans="1:35" x14ac:dyDescent="0.3">
      <c r="A87" t="s">
        <v>36</v>
      </c>
      <c r="B87">
        <v>2023</v>
      </c>
      <c r="C87" s="3">
        <v>228636284449</v>
      </c>
      <c r="D87" s="3">
        <v>36057982429</v>
      </c>
      <c r="E87" s="3">
        <v>1528735512291</v>
      </c>
      <c r="F87" s="3">
        <v>372835223474</v>
      </c>
      <c r="G87" s="3">
        <v>776374455758</v>
      </c>
      <c r="H87" s="3">
        <v>365479869843</v>
      </c>
      <c r="I87" s="3">
        <v>745384048544</v>
      </c>
      <c r="J87" s="3">
        <v>116370957327</v>
      </c>
      <c r="K87" s="3">
        <v>7355353631</v>
      </c>
      <c r="M87" s="3">
        <v>1363133590935</v>
      </c>
      <c r="N87" s="3">
        <v>147360259891</v>
      </c>
      <c r="O87" s="3">
        <v>481806112974</v>
      </c>
      <c r="P87">
        <f t="shared" si="14"/>
        <v>2.2928460433425446</v>
      </c>
      <c r="Q87">
        <f t="shared" si="15"/>
        <v>0</v>
      </c>
      <c r="R87" t="str">
        <f t="shared" si="20"/>
        <v>Grey Area</v>
      </c>
      <c r="S87">
        <f t="shared" si="16"/>
        <v>4.811397113407204E-3</v>
      </c>
      <c r="T87">
        <f t="shared" si="17"/>
        <v>7.612236151471595E-2</v>
      </c>
      <c r="U87">
        <f t="shared" si="18"/>
        <v>0.14955908501553689</v>
      </c>
      <c r="V87">
        <f t="shared" si="19"/>
        <v>0.96008316993924914</v>
      </c>
      <c r="X87" s="13">
        <f t="shared" si="21"/>
        <v>1.0436183269776815</v>
      </c>
      <c r="Y87" s="10"/>
      <c r="Z87" s="10"/>
      <c r="AB87" s="10" t="str">
        <f t="shared" si="22"/>
        <v>Non-Distress</v>
      </c>
      <c r="AC87" s="10">
        <f t="shared" si="23"/>
        <v>0</v>
      </c>
      <c r="AE87" s="10">
        <f t="shared" si="24"/>
        <v>0</v>
      </c>
      <c r="AG87" s="13">
        <f t="shared" si="25"/>
        <v>0.5</v>
      </c>
      <c r="AH87" s="13">
        <f t="shared" si="26"/>
        <v>0.5</v>
      </c>
      <c r="AI87" s="10">
        <f t="shared" si="27"/>
        <v>0.25</v>
      </c>
    </row>
    <row r="88" spans="1:35" x14ac:dyDescent="0.3">
      <c r="A88" t="s">
        <v>36</v>
      </c>
      <c r="B88">
        <v>2022</v>
      </c>
      <c r="C88" s="3">
        <v>101571660786</v>
      </c>
      <c r="D88" s="3">
        <v>32833724510</v>
      </c>
      <c r="E88" s="3">
        <v>1024105627635</v>
      </c>
      <c r="F88" s="3">
        <v>179231528228</v>
      </c>
      <c r="G88" s="3">
        <v>650197009960</v>
      </c>
      <c r="H88" s="3">
        <v>304134437750</v>
      </c>
      <c r="I88" s="3">
        <v>370350045500</v>
      </c>
      <c r="J88" s="3">
        <v>261900172903</v>
      </c>
      <c r="K88" s="3">
        <v>-124902909522</v>
      </c>
      <c r="M88" s="3">
        <v>1115459007191</v>
      </c>
      <c r="N88" s="3">
        <v>65563666004</v>
      </c>
      <c r="O88" s="3">
        <v>452162673092</v>
      </c>
      <c r="P88">
        <f t="shared" si="14"/>
        <v>1.2981927884334694</v>
      </c>
      <c r="Q88">
        <f t="shared" si="15"/>
        <v>0</v>
      </c>
      <c r="R88" t="str">
        <f t="shared" si="20"/>
        <v>Grey Area</v>
      </c>
      <c r="S88">
        <f t="shared" si="16"/>
        <v>-0.12196291686282625</v>
      </c>
      <c r="T88">
        <f t="shared" si="17"/>
        <v>0.25573550797471395</v>
      </c>
      <c r="U88">
        <f t="shared" si="18"/>
        <v>9.9180844285137557E-2</v>
      </c>
      <c r="V88">
        <f t="shared" si="19"/>
        <v>0.56959666043801693</v>
      </c>
      <c r="X88" s="13">
        <f t="shared" si="21"/>
        <v>0.59700953981660521</v>
      </c>
      <c r="Y88" s="10"/>
      <c r="Z88" s="10"/>
      <c r="AB88" s="10" t="str">
        <f t="shared" si="22"/>
        <v>Non-Distress</v>
      </c>
      <c r="AC88" s="10">
        <f t="shared" si="23"/>
        <v>0</v>
      </c>
      <c r="AE88" s="10">
        <f t="shared" si="24"/>
        <v>0</v>
      </c>
      <c r="AG88" s="13">
        <f t="shared" si="25"/>
        <v>0.5</v>
      </c>
      <c r="AH88" s="13">
        <f t="shared" si="26"/>
        <v>0.5</v>
      </c>
      <c r="AI88" s="10">
        <f t="shared" si="27"/>
        <v>0.25</v>
      </c>
    </row>
    <row r="89" spans="1:35" x14ac:dyDescent="0.3">
      <c r="A89" t="s">
        <v>37</v>
      </c>
      <c r="B89">
        <v>2025</v>
      </c>
      <c r="C89" s="3">
        <v>96029908810</v>
      </c>
      <c r="D89" s="3">
        <v>47179917524</v>
      </c>
      <c r="E89" s="3">
        <v>1814266357774</v>
      </c>
      <c r="F89" s="3">
        <v>1520738101234</v>
      </c>
      <c r="G89" s="3">
        <v>852017755175</v>
      </c>
      <c r="H89" s="3">
        <v>825131739721</v>
      </c>
      <c r="I89" s="3">
        <v>959399887403</v>
      </c>
      <c r="J89" s="3">
        <v>336391388169</v>
      </c>
      <c r="K89" s="3">
        <v>695606361513</v>
      </c>
      <c r="M89" s="3">
        <v>3621551039319</v>
      </c>
      <c r="N89" s="3">
        <v>46669494321</v>
      </c>
      <c r="O89" s="3">
        <v>367570389878</v>
      </c>
      <c r="P89">
        <f t="shared" si="14"/>
        <v>4.6576425185940487</v>
      </c>
      <c r="Q89">
        <f t="shared" si="15"/>
        <v>0</v>
      </c>
      <c r="R89" t="str">
        <f t="shared" si="20"/>
        <v>Safe</v>
      </c>
      <c r="S89">
        <f t="shared" si="16"/>
        <v>0.38340917171967454</v>
      </c>
      <c r="T89">
        <f t="shared" si="17"/>
        <v>0.18541455433353943</v>
      </c>
      <c r="U89">
        <f t="shared" si="18"/>
        <v>5.2930435709463937E-2</v>
      </c>
      <c r="V89">
        <f t="shared" si="19"/>
        <v>1.1260327400171892</v>
      </c>
      <c r="X89" s="13">
        <f t="shared" si="21"/>
        <v>3.2555115208065861</v>
      </c>
      <c r="Y89" s="10"/>
      <c r="Z89" s="10"/>
      <c r="AB89" s="10" t="str">
        <f t="shared" si="22"/>
        <v>Non-Distress</v>
      </c>
      <c r="AC89" s="10">
        <f t="shared" si="23"/>
        <v>0</v>
      </c>
      <c r="AE89" s="10">
        <f t="shared" si="24"/>
        <v>0</v>
      </c>
      <c r="AG89" s="13">
        <f t="shared" si="25"/>
        <v>0.5</v>
      </c>
      <c r="AH89" s="13">
        <f t="shared" si="26"/>
        <v>0.5</v>
      </c>
      <c r="AI89" s="10">
        <f t="shared" si="27"/>
        <v>0.25</v>
      </c>
    </row>
    <row r="90" spans="1:35" x14ac:dyDescent="0.3">
      <c r="A90" t="s">
        <v>37</v>
      </c>
      <c r="B90">
        <v>2024</v>
      </c>
      <c r="C90" s="3">
        <v>49740024205</v>
      </c>
      <c r="D90" s="3">
        <v>34049555812</v>
      </c>
      <c r="E90" s="3">
        <v>1789756273498</v>
      </c>
      <c r="F90" s="3">
        <v>1470696531082</v>
      </c>
      <c r="G90" s="3">
        <v>951321762836</v>
      </c>
      <c r="H90" s="3">
        <v>920465207161</v>
      </c>
      <c r="I90" s="3">
        <v>835814762546</v>
      </c>
      <c r="J90" s="3">
        <v>289821893848</v>
      </c>
      <c r="K90" s="3">
        <v>550231323921</v>
      </c>
      <c r="M90" s="3">
        <v>3013056320674</v>
      </c>
      <c r="N90" s="3">
        <v>9765550608</v>
      </c>
      <c r="O90" s="3">
        <v>333716708365</v>
      </c>
      <c r="P90">
        <f t="shared" si="14"/>
        <v>3.6539394238061762</v>
      </c>
      <c r="Q90">
        <f t="shared" si="15"/>
        <v>0</v>
      </c>
      <c r="R90" t="str">
        <f t="shared" si="20"/>
        <v>Safe</v>
      </c>
      <c r="S90">
        <f t="shared" si="16"/>
        <v>0.3074336612580198</v>
      </c>
      <c r="T90">
        <f t="shared" si="17"/>
        <v>0.16193372144552165</v>
      </c>
      <c r="U90">
        <f t="shared" si="18"/>
        <v>2.7791507112745195E-2</v>
      </c>
      <c r="V90">
        <f t="shared" si="19"/>
        <v>0.87858261547001693</v>
      </c>
      <c r="X90" s="13">
        <f t="shared" si="21"/>
        <v>2.5819559745728169</v>
      </c>
      <c r="Y90" s="10"/>
      <c r="Z90" s="10"/>
      <c r="AB90" s="10" t="str">
        <f t="shared" si="22"/>
        <v>Non-Distress</v>
      </c>
      <c r="AC90" s="10">
        <f t="shared" si="23"/>
        <v>0</v>
      </c>
      <c r="AE90" s="10">
        <f t="shared" si="24"/>
        <v>0</v>
      </c>
      <c r="AG90" s="13">
        <f t="shared" si="25"/>
        <v>0.5</v>
      </c>
      <c r="AH90" s="13">
        <f t="shared" si="26"/>
        <v>0.5</v>
      </c>
      <c r="AI90" s="10">
        <f t="shared" si="27"/>
        <v>0.25</v>
      </c>
    </row>
    <row r="91" spans="1:35" x14ac:dyDescent="0.3">
      <c r="A91" t="s">
        <v>37</v>
      </c>
      <c r="B91">
        <v>2023</v>
      </c>
      <c r="C91" s="3">
        <v>233818831757</v>
      </c>
      <c r="D91" s="3">
        <v>23559221924</v>
      </c>
      <c r="E91" s="3">
        <v>1551246449863</v>
      </c>
      <c r="F91" s="3">
        <v>1320976894084</v>
      </c>
      <c r="G91" s="3">
        <v>722076066644</v>
      </c>
      <c r="H91" s="3">
        <v>697098889524</v>
      </c>
      <c r="I91" s="3">
        <v>823559592474</v>
      </c>
      <c r="J91" s="3">
        <v>276021187003</v>
      </c>
      <c r="K91" s="3">
        <v>623878004560</v>
      </c>
      <c r="M91" s="3">
        <v>3859879267941</v>
      </c>
      <c r="N91" s="3">
        <v>174797980396</v>
      </c>
      <c r="O91" s="3">
        <v>283632276067</v>
      </c>
      <c r="P91">
        <f t="shared" si="14"/>
        <v>5.4288340537739934</v>
      </c>
      <c r="Q91">
        <f t="shared" si="15"/>
        <v>0</v>
      </c>
      <c r="R91" t="str">
        <f t="shared" si="20"/>
        <v>Safe</v>
      </c>
      <c r="S91">
        <f t="shared" si="16"/>
        <v>0.40217852206211235</v>
      </c>
      <c r="T91">
        <f t="shared" si="17"/>
        <v>0.17793509666202756</v>
      </c>
      <c r="U91">
        <f t="shared" si="18"/>
        <v>0.15072964826295007</v>
      </c>
      <c r="V91">
        <f t="shared" si="19"/>
        <v>1.1405440929536219</v>
      </c>
      <c r="X91" s="13">
        <f t="shared" si="21"/>
        <v>3.8194251818901614</v>
      </c>
      <c r="Y91" s="10"/>
      <c r="Z91" s="10"/>
      <c r="AB91" s="10" t="str">
        <f t="shared" si="22"/>
        <v>Non-Distress</v>
      </c>
      <c r="AC91" s="10">
        <f t="shared" si="23"/>
        <v>0</v>
      </c>
      <c r="AE91" s="10">
        <f t="shared" si="24"/>
        <v>0</v>
      </c>
      <c r="AG91" s="13">
        <f t="shared" si="25"/>
        <v>0.5</v>
      </c>
      <c r="AH91" s="13">
        <f t="shared" si="26"/>
        <v>0.5</v>
      </c>
      <c r="AI91" s="10">
        <f t="shared" si="27"/>
        <v>0.25</v>
      </c>
    </row>
    <row r="92" spans="1:35" x14ac:dyDescent="0.3">
      <c r="A92" t="s">
        <v>37</v>
      </c>
      <c r="B92">
        <v>2022</v>
      </c>
      <c r="C92" s="3">
        <v>433889881728</v>
      </c>
      <c r="D92" s="3">
        <v>26732786444</v>
      </c>
      <c r="E92" s="3">
        <v>1555132539181</v>
      </c>
      <c r="F92" s="3">
        <v>1429719554727</v>
      </c>
      <c r="G92" s="3">
        <v>873881732905</v>
      </c>
      <c r="H92" s="3">
        <v>821297807289</v>
      </c>
      <c r="I92" s="3">
        <v>676298440107</v>
      </c>
      <c r="J92" s="3">
        <v>102223206607</v>
      </c>
      <c r="K92" s="3">
        <v>608421747438</v>
      </c>
      <c r="M92" s="3">
        <v>4830287518791</v>
      </c>
      <c r="N92" s="3">
        <v>375486730238</v>
      </c>
      <c r="O92" s="3">
        <v>180570320800</v>
      </c>
      <c r="P92">
        <f t="shared" si="14"/>
        <v>5.4682990598502528</v>
      </c>
      <c r="Q92">
        <f t="shared" si="15"/>
        <v>0</v>
      </c>
      <c r="R92" t="str">
        <f t="shared" si="20"/>
        <v>Safe</v>
      </c>
      <c r="S92">
        <f t="shared" si="16"/>
        <v>0.39123465821017495</v>
      </c>
      <c r="T92">
        <f t="shared" si="17"/>
        <v>6.5732793849735252E-2</v>
      </c>
      <c r="U92">
        <f t="shared" si="18"/>
        <v>0.27900508207262203</v>
      </c>
      <c r="V92">
        <f t="shared" si="19"/>
        <v>0.77390156429842738</v>
      </c>
      <c r="X92" s="13">
        <f t="shared" si="21"/>
        <v>3.9895421490194796</v>
      </c>
      <c r="Y92" s="10"/>
      <c r="Z92" s="10"/>
      <c r="AB92" s="10" t="str">
        <f t="shared" si="22"/>
        <v>Non-Distress</v>
      </c>
      <c r="AC92" s="10">
        <f t="shared" si="23"/>
        <v>0</v>
      </c>
      <c r="AE92" s="10">
        <f t="shared" si="24"/>
        <v>0</v>
      </c>
      <c r="AG92" s="13">
        <f t="shared" si="25"/>
        <v>0.5</v>
      </c>
      <c r="AH92" s="13">
        <f t="shared" si="26"/>
        <v>0.5</v>
      </c>
      <c r="AI92" s="10">
        <f t="shared" si="27"/>
        <v>0.25</v>
      </c>
    </row>
    <row r="93" spans="1:35" x14ac:dyDescent="0.3">
      <c r="A93" t="s">
        <v>38</v>
      </c>
      <c r="B93">
        <v>2025</v>
      </c>
      <c r="C93" s="3">
        <v>214049631808</v>
      </c>
      <c r="D93" s="3">
        <v>18965143422</v>
      </c>
      <c r="E93" s="3">
        <v>1618061936923</v>
      </c>
      <c r="F93" s="3">
        <v>762174873749</v>
      </c>
      <c r="G93" s="3">
        <v>565544980692</v>
      </c>
      <c r="H93" s="3">
        <v>447965743270</v>
      </c>
      <c r="I93" s="3">
        <v>893349045424</v>
      </c>
      <c r="J93" s="3">
        <v>417083858868</v>
      </c>
      <c r="K93" s="3">
        <v>314209130479</v>
      </c>
      <c r="M93" s="3">
        <v>1666625980482</v>
      </c>
      <c r="N93" s="3">
        <v>132213735007</v>
      </c>
      <c r="O93" s="3">
        <v>335169943272</v>
      </c>
      <c r="P93">
        <f t="shared" si="14"/>
        <v>4.6617786606714198</v>
      </c>
      <c r="Q93">
        <f t="shared" si="15"/>
        <v>0</v>
      </c>
      <c r="R93" t="str">
        <f t="shared" si="20"/>
        <v>Safe</v>
      </c>
      <c r="S93">
        <f t="shared" si="16"/>
        <v>0.19418856800779716</v>
      </c>
      <c r="T93">
        <f t="shared" si="17"/>
        <v>0.25776754854091105</v>
      </c>
      <c r="U93">
        <f t="shared" si="18"/>
        <v>0.13228766274240969</v>
      </c>
      <c r="V93">
        <f t="shared" si="19"/>
        <v>1.579625097778959</v>
      </c>
      <c r="X93" s="13">
        <f t="shared" si="21"/>
        <v>2.739512165888494</v>
      </c>
      <c r="Y93" s="10"/>
      <c r="Z93" s="10"/>
      <c r="AB93" s="10" t="str">
        <f t="shared" si="22"/>
        <v>Non-Distress</v>
      </c>
      <c r="AC93" s="10">
        <f t="shared" si="23"/>
        <v>0</v>
      </c>
      <c r="AE93" s="10">
        <f t="shared" si="24"/>
        <v>0</v>
      </c>
      <c r="AG93" s="13">
        <f t="shared" si="25"/>
        <v>0.5</v>
      </c>
      <c r="AH93" s="13">
        <f t="shared" si="26"/>
        <v>0.5</v>
      </c>
      <c r="AI93" s="10">
        <f t="shared" si="27"/>
        <v>0.25</v>
      </c>
    </row>
    <row r="94" spans="1:35" x14ac:dyDescent="0.3">
      <c r="A94" t="s">
        <v>38</v>
      </c>
      <c r="B94">
        <v>2024</v>
      </c>
      <c r="C94" s="3">
        <v>184551865707</v>
      </c>
      <c r="D94" s="3">
        <v>21375709598</v>
      </c>
      <c r="E94" s="3">
        <v>1670258299132</v>
      </c>
      <c r="F94" s="3">
        <v>846217763932</v>
      </c>
      <c r="G94" s="3">
        <v>553311070016</v>
      </c>
      <c r="H94" s="3">
        <v>427378159220</v>
      </c>
      <c r="I94" s="3">
        <v>952464394864</v>
      </c>
      <c r="J94" s="3">
        <v>336476781875</v>
      </c>
      <c r="K94" s="3">
        <v>418839604712</v>
      </c>
      <c r="M94" s="3">
        <v>1698709259431</v>
      </c>
      <c r="N94" s="3">
        <v>94532420362</v>
      </c>
      <c r="O94" s="3">
        <v>309645224814</v>
      </c>
      <c r="P94">
        <f t="shared" si="14"/>
        <v>4.8517140652430308</v>
      </c>
      <c r="Q94">
        <f t="shared" si="15"/>
        <v>0</v>
      </c>
      <c r="R94" t="str">
        <f t="shared" si="20"/>
        <v>Safe</v>
      </c>
      <c r="S94">
        <f t="shared" si="16"/>
        <v>0.25076337290445594</v>
      </c>
      <c r="T94">
        <f t="shared" si="17"/>
        <v>0.20145194431894772</v>
      </c>
      <c r="U94">
        <f t="shared" si="18"/>
        <v>0.11049300925665685</v>
      </c>
      <c r="V94">
        <f t="shared" si="19"/>
        <v>1.7213904555288542</v>
      </c>
      <c r="X94" s="13">
        <f t="shared" si="21"/>
        <v>2.8013764051249757</v>
      </c>
      <c r="Y94" s="10"/>
      <c r="Z94" s="10"/>
      <c r="AB94" s="10" t="str">
        <f t="shared" si="22"/>
        <v>Non-Distress</v>
      </c>
      <c r="AC94" s="10">
        <f t="shared" si="23"/>
        <v>0</v>
      </c>
      <c r="AE94" s="10">
        <f t="shared" si="24"/>
        <v>0</v>
      </c>
      <c r="AG94" s="13">
        <f t="shared" si="25"/>
        <v>0.5</v>
      </c>
      <c r="AH94" s="13">
        <f t="shared" si="26"/>
        <v>0.5</v>
      </c>
      <c r="AI94" s="10">
        <f t="shared" si="27"/>
        <v>0.25</v>
      </c>
    </row>
    <row r="95" spans="1:35" x14ac:dyDescent="0.3">
      <c r="A95" t="s">
        <v>38</v>
      </c>
      <c r="B95">
        <v>2023</v>
      </c>
      <c r="C95" s="3">
        <v>176865300877</v>
      </c>
      <c r="D95" s="3">
        <v>23588464908</v>
      </c>
      <c r="E95" s="3">
        <v>1623175343958</v>
      </c>
      <c r="F95" s="3">
        <v>790910037577</v>
      </c>
      <c r="G95" s="3">
        <v>507200293546</v>
      </c>
      <c r="H95" s="3">
        <v>384885378906</v>
      </c>
      <c r="I95" s="3">
        <v>948991600451</v>
      </c>
      <c r="J95" s="3">
        <v>329540930395</v>
      </c>
      <c r="K95" s="3">
        <v>406024658671</v>
      </c>
      <c r="M95" s="3">
        <v>1465497596463</v>
      </c>
      <c r="N95" s="3">
        <v>111306377610</v>
      </c>
      <c r="O95" s="3">
        <v>267871398886</v>
      </c>
      <c r="P95">
        <f t="shared" si="14"/>
        <v>4.9996051712388816</v>
      </c>
      <c r="Q95">
        <f t="shared" si="15"/>
        <v>0</v>
      </c>
      <c r="R95" t="str">
        <f t="shared" si="20"/>
        <v>Safe</v>
      </c>
      <c r="S95">
        <f t="shared" si="16"/>
        <v>0.25014220440346091</v>
      </c>
      <c r="T95">
        <f t="shared" si="17"/>
        <v>0.20302238548759458</v>
      </c>
      <c r="U95">
        <f t="shared" si="18"/>
        <v>0.1089625354003507</v>
      </c>
      <c r="V95">
        <f t="shared" si="19"/>
        <v>1.8710391388307275</v>
      </c>
      <c r="X95" s="13">
        <f t="shared" si="21"/>
        <v>2.8017525407603658</v>
      </c>
      <c r="Y95" s="10"/>
      <c r="Z95" s="10"/>
      <c r="AB95" s="10" t="str">
        <f t="shared" si="22"/>
        <v>Non-Distress</v>
      </c>
      <c r="AC95" s="10">
        <f t="shared" si="23"/>
        <v>0</v>
      </c>
      <c r="AE95" s="10">
        <f t="shared" si="24"/>
        <v>0</v>
      </c>
      <c r="AG95" s="13">
        <f t="shared" si="25"/>
        <v>0.5</v>
      </c>
      <c r="AH95" s="13">
        <f t="shared" si="26"/>
        <v>0.5</v>
      </c>
      <c r="AI95" s="10">
        <f t="shared" si="27"/>
        <v>0.25</v>
      </c>
    </row>
    <row r="96" spans="1:35" x14ac:dyDescent="0.3">
      <c r="A96" t="s">
        <v>38</v>
      </c>
      <c r="B96">
        <v>2022</v>
      </c>
      <c r="C96" s="3">
        <v>106729626672</v>
      </c>
      <c r="D96" s="3">
        <v>27476701926</v>
      </c>
      <c r="E96" s="3">
        <v>1436511645894</v>
      </c>
      <c r="F96" s="3">
        <v>724398522593</v>
      </c>
      <c r="G96" s="3">
        <v>576646375306</v>
      </c>
      <c r="H96" s="3">
        <v>444401360976</v>
      </c>
      <c r="I96" s="3">
        <v>797188013554</v>
      </c>
      <c r="J96" s="3">
        <v>277849732961</v>
      </c>
      <c r="K96" s="3">
        <v>279997161617</v>
      </c>
      <c r="M96" s="3">
        <v>1422635343390</v>
      </c>
      <c r="N96" s="3">
        <v>79480451922</v>
      </c>
      <c r="O96" s="3">
        <v>376498156850</v>
      </c>
      <c r="P96">
        <f t="shared" si="14"/>
        <v>3.8600479653944539</v>
      </c>
      <c r="Q96">
        <f t="shared" si="15"/>
        <v>0</v>
      </c>
      <c r="R96" t="str">
        <f t="shared" si="20"/>
        <v>Safe</v>
      </c>
      <c r="S96">
        <f t="shared" si="16"/>
        <v>0.19491464786750567</v>
      </c>
      <c r="T96">
        <f t="shared" si="17"/>
        <v>0.19341975664115327</v>
      </c>
      <c r="U96">
        <f t="shared" si="18"/>
        <v>7.4297780304856342E-2</v>
      </c>
      <c r="V96">
        <f t="shared" si="19"/>
        <v>1.3824556048426881</v>
      </c>
      <c r="X96" s="13">
        <f t="shared" si="21"/>
        <v>2.2440562993371915</v>
      </c>
      <c r="Y96" s="10"/>
      <c r="Z96" s="10"/>
      <c r="AB96" s="10" t="str">
        <f t="shared" si="22"/>
        <v>Non-Distress</v>
      </c>
      <c r="AC96" s="10">
        <f t="shared" si="23"/>
        <v>0</v>
      </c>
      <c r="AE96" s="10">
        <f t="shared" si="24"/>
        <v>0</v>
      </c>
      <c r="AG96" s="13">
        <f t="shared" si="25"/>
        <v>0.5</v>
      </c>
      <c r="AH96" s="13">
        <f t="shared" si="26"/>
        <v>0.5</v>
      </c>
      <c r="AI96" s="10">
        <f t="shared" si="27"/>
        <v>0.25</v>
      </c>
    </row>
    <row r="97" spans="1:35" x14ac:dyDescent="0.3">
      <c r="A97" t="s">
        <v>39</v>
      </c>
      <c r="B97">
        <v>2025</v>
      </c>
      <c r="C97" s="3">
        <v>910746</v>
      </c>
      <c r="D97" s="3">
        <v>173276</v>
      </c>
      <c r="E97" s="3">
        <v>270144921</v>
      </c>
      <c r="F97" s="3">
        <v>101921154</v>
      </c>
      <c r="G97" s="3">
        <v>46945189</v>
      </c>
      <c r="H97" s="3">
        <v>34979505</v>
      </c>
      <c r="I97" s="3">
        <v>212444709</v>
      </c>
      <c r="J97" s="3">
        <v>69487486</v>
      </c>
      <c r="K97" s="3">
        <v>66941649</v>
      </c>
      <c r="M97" s="3">
        <v>124279595</v>
      </c>
      <c r="N97" s="3">
        <v>-2320728</v>
      </c>
      <c r="O97" s="3">
        <v>2595839</v>
      </c>
      <c r="P97">
        <f t="shared" si="14"/>
        <v>7.2384104219571475</v>
      </c>
      <c r="Q97">
        <f t="shared" si="15"/>
        <v>0</v>
      </c>
      <c r="R97" t="str">
        <f t="shared" si="20"/>
        <v>Safe</v>
      </c>
      <c r="S97">
        <f t="shared" si="16"/>
        <v>0.24779902858140354</v>
      </c>
      <c r="T97">
        <f t="shared" si="17"/>
        <v>0.25722299624504136</v>
      </c>
      <c r="U97">
        <f t="shared" si="18"/>
        <v>3.3713237940164718E-3</v>
      </c>
      <c r="V97">
        <f t="shared" si="19"/>
        <v>4.5253776483890604</v>
      </c>
      <c r="X97" s="13">
        <f t="shared" si="21"/>
        <v>2.5683281443984174</v>
      </c>
      <c r="Y97" s="10"/>
      <c r="Z97" s="10"/>
      <c r="AB97" s="10" t="str">
        <f t="shared" si="22"/>
        <v>Non-Distress</v>
      </c>
      <c r="AC97" s="10">
        <f t="shared" si="23"/>
        <v>0</v>
      </c>
      <c r="AE97" s="10">
        <f t="shared" si="24"/>
        <v>0</v>
      </c>
      <c r="AG97" s="13">
        <f t="shared" si="25"/>
        <v>0.5</v>
      </c>
      <c r="AH97" s="13">
        <f t="shared" si="26"/>
        <v>0.5</v>
      </c>
      <c r="AI97" s="10">
        <f t="shared" si="27"/>
        <v>0.25</v>
      </c>
    </row>
    <row r="98" spans="1:35" x14ac:dyDescent="0.3">
      <c r="A98" t="s">
        <v>39</v>
      </c>
      <c r="B98">
        <v>2024</v>
      </c>
      <c r="C98" s="3">
        <v>20566834</v>
      </c>
      <c r="D98" s="3">
        <v>427541</v>
      </c>
      <c r="E98" s="3">
        <v>292744260</v>
      </c>
      <c r="F98" s="3">
        <v>113755596</v>
      </c>
      <c r="G98" s="3">
        <v>66727705</v>
      </c>
      <c r="H98" s="3">
        <v>52544552</v>
      </c>
      <c r="I98" s="3">
        <v>213928448</v>
      </c>
      <c r="J98" s="3">
        <v>72133427</v>
      </c>
      <c r="K98" s="3">
        <v>61211044</v>
      </c>
      <c r="M98" s="3">
        <v>230915213</v>
      </c>
      <c r="N98" s="3">
        <v>11967185</v>
      </c>
      <c r="O98" s="3">
        <v>7844452</v>
      </c>
      <c r="P98">
        <f t="shared" si="14"/>
        <v>6.0133404575888996</v>
      </c>
      <c r="Q98">
        <f t="shared" si="15"/>
        <v>0</v>
      </c>
      <c r="R98" t="str">
        <f t="shared" si="20"/>
        <v>Safe</v>
      </c>
      <c r="S98">
        <f t="shared" si="16"/>
        <v>0.20909391699089164</v>
      </c>
      <c r="T98">
        <f t="shared" si="17"/>
        <v>0.2464042403427483</v>
      </c>
      <c r="U98">
        <f t="shared" si="18"/>
        <v>7.0255293818570513E-2</v>
      </c>
      <c r="V98">
        <f t="shared" si="19"/>
        <v>3.2059913944290455</v>
      </c>
      <c r="X98" s="13">
        <f t="shared" si="21"/>
        <v>2.5631648124848772</v>
      </c>
      <c r="Y98" s="10"/>
      <c r="Z98" s="10"/>
      <c r="AB98" s="10" t="str">
        <f t="shared" si="22"/>
        <v>Non-Distress</v>
      </c>
      <c r="AC98" s="10">
        <f t="shared" si="23"/>
        <v>0</v>
      </c>
      <c r="AE98" s="10">
        <f t="shared" si="24"/>
        <v>0</v>
      </c>
      <c r="AG98" s="13">
        <f t="shared" si="25"/>
        <v>0.5</v>
      </c>
      <c r="AH98" s="13">
        <f t="shared" si="26"/>
        <v>0.5</v>
      </c>
      <c r="AI98" s="10">
        <f t="shared" si="27"/>
        <v>0.25</v>
      </c>
    </row>
    <row r="99" spans="1:35" x14ac:dyDescent="0.3">
      <c r="A99" t="s">
        <v>39</v>
      </c>
      <c r="B99">
        <v>2023</v>
      </c>
      <c r="C99" s="3">
        <v>25229866</v>
      </c>
      <c r="D99" s="3">
        <v>324338</v>
      </c>
      <c r="E99" s="3">
        <v>298865582</v>
      </c>
      <c r="F99" s="3">
        <v>119147229</v>
      </c>
      <c r="G99" s="3">
        <v>72841131</v>
      </c>
      <c r="H99" s="3">
        <v>58366726</v>
      </c>
      <c r="I99" s="3">
        <v>212875799</v>
      </c>
      <c r="J99" s="3">
        <v>71447493</v>
      </c>
      <c r="K99" s="3">
        <v>60780503</v>
      </c>
      <c r="M99" s="3">
        <v>251962129</v>
      </c>
      <c r="N99" s="3">
        <v>15315409</v>
      </c>
      <c r="O99" s="3">
        <v>8591342</v>
      </c>
      <c r="P99">
        <f t="shared" si="14"/>
        <v>5.7493393671992692</v>
      </c>
      <c r="Q99">
        <f t="shared" si="15"/>
        <v>0</v>
      </c>
      <c r="R99" t="str">
        <f t="shared" si="20"/>
        <v>Safe</v>
      </c>
      <c r="S99">
        <f t="shared" si="16"/>
        <v>0.20337070128068477</v>
      </c>
      <c r="T99">
        <f t="shared" si="17"/>
        <v>0.23906229858210973</v>
      </c>
      <c r="U99">
        <f t="shared" si="18"/>
        <v>8.4418773922251111E-2</v>
      </c>
      <c r="V99">
        <f t="shared" si="19"/>
        <v>2.9224669644407362</v>
      </c>
      <c r="X99" s="13">
        <f t="shared" si="21"/>
        <v>2.5604542418803327</v>
      </c>
      <c r="Y99" s="10"/>
      <c r="Z99" s="10"/>
      <c r="AB99" s="10" t="str">
        <f t="shared" si="22"/>
        <v>Non-Distress</v>
      </c>
      <c r="AC99" s="10">
        <f t="shared" si="23"/>
        <v>0</v>
      </c>
      <c r="AE99" s="10">
        <f t="shared" si="24"/>
        <v>0</v>
      </c>
      <c r="AG99" s="13">
        <f t="shared" si="25"/>
        <v>0.5</v>
      </c>
      <c r="AH99" s="13">
        <f t="shared" si="26"/>
        <v>0.5</v>
      </c>
      <c r="AI99" s="10">
        <f t="shared" si="27"/>
        <v>0.25</v>
      </c>
    </row>
    <row r="100" spans="1:35" x14ac:dyDescent="0.3">
      <c r="A100" t="s">
        <v>39</v>
      </c>
      <c r="B100">
        <v>2022</v>
      </c>
      <c r="C100" s="3">
        <v>46376334</v>
      </c>
      <c r="D100" s="3">
        <v>1026045</v>
      </c>
      <c r="E100" s="3">
        <v>290896966</v>
      </c>
      <c r="F100" s="3">
        <v>128612798</v>
      </c>
      <c r="G100" s="3">
        <v>68418098</v>
      </c>
      <c r="H100" s="3">
        <v>53168710</v>
      </c>
      <c r="I100" s="3">
        <v>209250911</v>
      </c>
      <c r="J100" s="3">
        <v>67154471</v>
      </c>
      <c r="K100" s="3">
        <v>75444088</v>
      </c>
      <c r="M100" s="3">
        <v>335234244</v>
      </c>
      <c r="N100" s="3">
        <v>31985804</v>
      </c>
      <c r="O100" s="3">
        <v>9892671</v>
      </c>
      <c r="P100">
        <f t="shared" si="14"/>
        <v>6.7365895688315955</v>
      </c>
      <c r="Q100">
        <f t="shared" si="15"/>
        <v>0</v>
      </c>
      <c r="R100" t="str">
        <f t="shared" si="20"/>
        <v>Safe</v>
      </c>
      <c r="S100">
        <f t="shared" si="16"/>
        <v>0.25934986204015614</v>
      </c>
      <c r="T100">
        <f t="shared" si="17"/>
        <v>0.23085311587608651</v>
      </c>
      <c r="U100">
        <f t="shared" si="18"/>
        <v>0.15942529287156607</v>
      </c>
      <c r="V100">
        <f t="shared" si="19"/>
        <v>3.0584146171382898</v>
      </c>
      <c r="X100" s="13">
        <f t="shared" si="21"/>
        <v>3.2443617365058324</v>
      </c>
      <c r="Y100" s="10"/>
      <c r="Z100" s="10"/>
      <c r="AB100" s="10" t="str">
        <f t="shared" si="22"/>
        <v>Non-Distress</v>
      </c>
      <c r="AC100" s="10">
        <f t="shared" si="23"/>
        <v>0</v>
      </c>
      <c r="AE100" s="10">
        <f t="shared" si="24"/>
        <v>0</v>
      </c>
      <c r="AG100" s="13">
        <f t="shared" si="25"/>
        <v>0.5</v>
      </c>
      <c r="AH100" s="13">
        <f t="shared" si="26"/>
        <v>0.5</v>
      </c>
      <c r="AI100" s="10">
        <f t="shared" si="27"/>
        <v>0.25</v>
      </c>
    </row>
    <row r="101" spans="1:35" x14ac:dyDescent="0.3">
      <c r="A101" t="s">
        <v>40</v>
      </c>
      <c r="B101">
        <v>2025</v>
      </c>
      <c r="C101" s="3">
        <v>78466351000</v>
      </c>
      <c r="D101" s="3">
        <v>76574260000</v>
      </c>
      <c r="E101" s="3">
        <v>2248802550000</v>
      </c>
      <c r="F101" s="3">
        <v>390185150000</v>
      </c>
      <c r="G101" s="3">
        <v>1237898337000</v>
      </c>
      <c r="H101" s="3">
        <v>412885889000</v>
      </c>
      <c r="I101" s="3">
        <v>905628889000</v>
      </c>
      <c r="J101" s="3">
        <v>-302791313000</v>
      </c>
      <c r="K101" s="3">
        <v>-22700739000</v>
      </c>
      <c r="M101" s="3">
        <v>1036093809000</v>
      </c>
      <c r="N101" s="3">
        <v>12566859000</v>
      </c>
      <c r="O101" s="3">
        <v>913787162000</v>
      </c>
      <c r="P101">
        <f t="shared" si="14"/>
        <v>0.49747766751397227</v>
      </c>
      <c r="Q101">
        <f t="shared" si="15"/>
        <v>1</v>
      </c>
      <c r="R101" t="str">
        <f t="shared" si="20"/>
        <v>Distress</v>
      </c>
      <c r="S101">
        <f t="shared" si="16"/>
        <v>-1.0094589673957814E-2</v>
      </c>
      <c r="T101">
        <f t="shared" si="17"/>
        <v>-0.13464557526404441</v>
      </c>
      <c r="U101">
        <f t="shared" si="18"/>
        <v>3.4892503568176761E-2</v>
      </c>
      <c r="V101">
        <f t="shared" si="19"/>
        <v>0.73158583538835464</v>
      </c>
      <c r="X101" s="13">
        <f t="shared" si="21"/>
        <v>-0.30279790553805469</v>
      </c>
      <c r="Y101" s="10"/>
      <c r="Z101" s="10"/>
      <c r="AB101" s="10" t="str">
        <f t="shared" si="22"/>
        <v>Distress</v>
      </c>
      <c r="AC101" s="10">
        <f t="shared" si="23"/>
        <v>1</v>
      </c>
      <c r="AE101" s="10">
        <f t="shared" si="24"/>
        <v>1</v>
      </c>
      <c r="AG101" s="13">
        <f t="shared" si="25"/>
        <v>0.7310585786300049</v>
      </c>
      <c r="AH101" s="13">
        <f t="shared" si="26"/>
        <v>-0.2689414213699951</v>
      </c>
      <c r="AI101" s="10">
        <f t="shared" si="27"/>
        <v>0.19661193324148185</v>
      </c>
    </row>
    <row r="102" spans="1:35" x14ac:dyDescent="0.3">
      <c r="A102" t="s">
        <v>40</v>
      </c>
      <c r="B102">
        <v>2024</v>
      </c>
      <c r="C102" s="3">
        <v>9329476000</v>
      </c>
      <c r="D102" s="3">
        <v>68572071000</v>
      </c>
      <c r="E102" s="3">
        <v>2186369531000</v>
      </c>
      <c r="F102" s="3">
        <v>409337544000</v>
      </c>
      <c r="G102" s="3">
        <v>1199691446000</v>
      </c>
      <c r="H102" s="3">
        <v>347862455000</v>
      </c>
      <c r="I102" s="3">
        <v>883644782000</v>
      </c>
      <c r="J102" s="3">
        <v>-433683925000</v>
      </c>
      <c r="K102" s="3">
        <v>61475089000</v>
      </c>
      <c r="M102" s="3">
        <v>1029528087000</v>
      </c>
      <c r="N102" s="3">
        <v>-20616390000</v>
      </c>
      <c r="O102" s="3">
        <v>865615041000</v>
      </c>
      <c r="P102">
        <f t="shared" si="14"/>
        <v>0.33986620837225701</v>
      </c>
      <c r="Q102">
        <f t="shared" si="15"/>
        <v>1</v>
      </c>
      <c r="R102" t="str">
        <f t="shared" si="20"/>
        <v>Distress</v>
      </c>
      <c r="S102">
        <f t="shared" si="16"/>
        <v>2.811742851716497E-2</v>
      </c>
      <c r="T102">
        <f t="shared" si="17"/>
        <v>-0.19835801718369264</v>
      </c>
      <c r="U102">
        <f t="shared" si="18"/>
        <v>4.2671084954851576E-3</v>
      </c>
      <c r="V102">
        <f t="shared" si="19"/>
        <v>0.73656004212269766</v>
      </c>
      <c r="X102" s="13">
        <f t="shared" si="21"/>
        <v>-0.42600383514244733</v>
      </c>
      <c r="Y102" s="10"/>
      <c r="Z102" s="10"/>
      <c r="AB102" s="10" t="str">
        <f t="shared" si="22"/>
        <v>Distress</v>
      </c>
      <c r="AC102" s="10">
        <f t="shared" si="23"/>
        <v>1</v>
      </c>
      <c r="AE102" s="10">
        <f t="shared" si="24"/>
        <v>1</v>
      </c>
      <c r="AG102" s="13">
        <f t="shared" si="25"/>
        <v>0.7310585786300049</v>
      </c>
      <c r="AH102" s="13">
        <f t="shared" si="26"/>
        <v>-0.2689414213699951</v>
      </c>
      <c r="AI102" s="10">
        <f t="shared" si="27"/>
        <v>0.19661193324148185</v>
      </c>
    </row>
    <row r="103" spans="1:35" x14ac:dyDescent="0.3">
      <c r="A103" t="s">
        <v>40</v>
      </c>
      <c r="B103">
        <v>2023</v>
      </c>
      <c r="C103" s="3">
        <v>-32935699000</v>
      </c>
      <c r="D103" s="3">
        <v>67100179000</v>
      </c>
      <c r="E103" s="3">
        <v>1721496628000</v>
      </c>
      <c r="F103" s="3">
        <v>387211481000</v>
      </c>
      <c r="G103" s="3">
        <v>1078808156000</v>
      </c>
      <c r="H103" s="3">
        <v>367207775000</v>
      </c>
      <c r="I103" s="3">
        <v>587072642000</v>
      </c>
      <c r="J103" s="3">
        <v>-380620275000</v>
      </c>
      <c r="K103" s="3">
        <v>20003706000</v>
      </c>
      <c r="M103" s="3">
        <v>1000204936000</v>
      </c>
      <c r="N103" s="3">
        <v>-83490475000</v>
      </c>
      <c r="O103" s="3">
        <v>790755929000</v>
      </c>
      <c r="P103">
        <f t="shared" si="14"/>
        <v>-0.20172564584925556</v>
      </c>
      <c r="Q103">
        <f t="shared" si="15"/>
        <v>1</v>
      </c>
      <c r="R103" t="str">
        <f t="shared" si="20"/>
        <v>Distress</v>
      </c>
      <c r="S103">
        <f t="shared" si="16"/>
        <v>1.1619950730452433E-2</v>
      </c>
      <c r="T103">
        <f t="shared" si="17"/>
        <v>-0.22109847257859397</v>
      </c>
      <c r="U103">
        <f t="shared" si="18"/>
        <v>-1.9132014820304372E-2</v>
      </c>
      <c r="V103">
        <f t="shared" si="19"/>
        <v>0.54418632148346491</v>
      </c>
      <c r="X103" s="13">
        <f t="shared" si="21"/>
        <v>-0.72282362783261256</v>
      </c>
      <c r="Y103" s="10"/>
      <c r="Z103" s="10"/>
      <c r="AB103" s="10" t="str">
        <f t="shared" si="22"/>
        <v>Distress</v>
      </c>
      <c r="AC103" s="10">
        <f t="shared" si="23"/>
        <v>1</v>
      </c>
      <c r="AE103" s="10">
        <f t="shared" si="24"/>
        <v>1</v>
      </c>
      <c r="AG103" s="13">
        <f t="shared" si="25"/>
        <v>0.7310585786300049</v>
      </c>
      <c r="AH103" s="13">
        <f t="shared" si="26"/>
        <v>-0.2689414213699951</v>
      </c>
      <c r="AI103" s="10">
        <f t="shared" si="27"/>
        <v>0.19661193324148185</v>
      </c>
    </row>
    <row r="104" spans="1:35" x14ac:dyDescent="0.3">
      <c r="A104" t="s">
        <v>40</v>
      </c>
      <c r="B104">
        <v>2022</v>
      </c>
      <c r="C104" s="3">
        <v>-87817437000</v>
      </c>
      <c r="D104" s="3">
        <v>72937420000</v>
      </c>
      <c r="E104" s="3">
        <v>1869959662000</v>
      </c>
      <c r="F104" s="3">
        <v>395074953000</v>
      </c>
      <c r="G104" s="3">
        <v>1151060192000</v>
      </c>
      <c r="H104" s="3">
        <v>516955676000</v>
      </c>
      <c r="I104" s="3">
        <v>665911513000</v>
      </c>
      <c r="J104" s="3">
        <v>-351070391000</v>
      </c>
      <c r="K104" s="3">
        <v>-121880723000</v>
      </c>
      <c r="M104" s="3">
        <v>1053041832000</v>
      </c>
      <c r="N104" s="3">
        <v>-134513060000</v>
      </c>
      <c r="O104" s="3">
        <v>798787564000</v>
      </c>
      <c r="P104">
        <f t="shared" si="14"/>
        <v>-0.74774895658608365</v>
      </c>
      <c r="Q104">
        <f t="shared" si="15"/>
        <v>1</v>
      </c>
      <c r="R104" t="str">
        <f t="shared" si="20"/>
        <v>Distress</v>
      </c>
      <c r="S104">
        <f t="shared" si="16"/>
        <v>-6.517826318758313E-2</v>
      </c>
      <c r="T104">
        <f t="shared" si="17"/>
        <v>-0.18774222681601352</v>
      </c>
      <c r="U104">
        <f t="shared" si="18"/>
        <v>-4.6962209284277065E-2</v>
      </c>
      <c r="V104">
        <f t="shared" si="19"/>
        <v>0.57852014831905507</v>
      </c>
      <c r="X104" s="13">
        <f t="shared" si="21"/>
        <v>-1.2160311184671344</v>
      </c>
      <c r="Y104" s="10"/>
      <c r="Z104" s="10"/>
      <c r="AB104" s="10" t="str">
        <f t="shared" si="22"/>
        <v>Distress</v>
      </c>
      <c r="AC104" s="10">
        <f t="shared" si="23"/>
        <v>1</v>
      </c>
      <c r="AE104" s="10">
        <f t="shared" si="24"/>
        <v>1</v>
      </c>
      <c r="AG104" s="13">
        <f t="shared" si="25"/>
        <v>0.7310585786300049</v>
      </c>
      <c r="AH104" s="13">
        <f t="shared" si="26"/>
        <v>-0.2689414213699951</v>
      </c>
      <c r="AI104" s="10">
        <f t="shared" si="27"/>
        <v>0.19661193324148185</v>
      </c>
    </row>
    <row r="105" spans="1:35" x14ac:dyDescent="0.3">
      <c r="A105" t="s">
        <v>41</v>
      </c>
      <c r="B105">
        <v>2025</v>
      </c>
      <c r="C105" s="3">
        <v>1993520000</v>
      </c>
      <c r="D105" s="3">
        <v>390532000</v>
      </c>
      <c r="E105" s="3">
        <v>17353211000</v>
      </c>
      <c r="F105" s="3">
        <v>6236536000</v>
      </c>
      <c r="G105" s="3">
        <v>11307579000</v>
      </c>
      <c r="H105" s="3">
        <v>2667147000</v>
      </c>
      <c r="I105" s="3">
        <v>2243416000</v>
      </c>
      <c r="J105" s="3">
        <v>850226000</v>
      </c>
      <c r="K105" s="3">
        <v>3569389000</v>
      </c>
      <c r="M105" s="3">
        <v>7630662000</v>
      </c>
      <c r="N105" s="3">
        <v>489807000</v>
      </c>
      <c r="O105" s="3">
        <v>8108389000</v>
      </c>
      <c r="P105">
        <f t="shared" si="14"/>
        <v>2.4893601276668846</v>
      </c>
      <c r="Q105">
        <f t="shared" si="15"/>
        <v>0</v>
      </c>
      <c r="R105" t="str">
        <f t="shared" si="20"/>
        <v>Grey Area</v>
      </c>
      <c r="S105">
        <f t="shared" si="16"/>
        <v>0.20569040507834543</v>
      </c>
      <c r="T105">
        <f t="shared" si="17"/>
        <v>4.8995312740679517E-2</v>
      </c>
      <c r="U105">
        <f t="shared" si="18"/>
        <v>0.11487902728780282</v>
      </c>
      <c r="V105">
        <f t="shared" si="19"/>
        <v>0.19839932137551283</v>
      </c>
      <c r="X105" s="13">
        <f t="shared" si="21"/>
        <v>1.9819892766533407</v>
      </c>
      <c r="Y105" s="10"/>
      <c r="Z105" s="10"/>
      <c r="AB105" s="10" t="str">
        <f t="shared" si="22"/>
        <v>Non-Distress</v>
      </c>
      <c r="AC105" s="10">
        <f t="shared" si="23"/>
        <v>0</v>
      </c>
      <c r="AE105" s="10">
        <f t="shared" si="24"/>
        <v>0</v>
      </c>
      <c r="AG105" s="13">
        <f t="shared" si="25"/>
        <v>0.5</v>
      </c>
      <c r="AH105" s="13">
        <f t="shared" si="26"/>
        <v>0.5</v>
      </c>
      <c r="AI105" s="10">
        <f t="shared" si="27"/>
        <v>0.25</v>
      </c>
    </row>
    <row r="106" spans="1:35" x14ac:dyDescent="0.3">
      <c r="A106" t="s">
        <v>41</v>
      </c>
      <c r="B106">
        <v>2024</v>
      </c>
      <c r="C106" s="3">
        <v>552924000</v>
      </c>
      <c r="D106" s="3">
        <v>320228000</v>
      </c>
      <c r="E106" s="3">
        <v>10532564000</v>
      </c>
      <c r="F106" s="3">
        <v>3493519000</v>
      </c>
      <c r="G106" s="3">
        <v>6344579000</v>
      </c>
      <c r="H106" s="3">
        <v>1433953000</v>
      </c>
      <c r="I106" s="3">
        <v>1727829000</v>
      </c>
      <c r="J106" s="3">
        <v>360979000</v>
      </c>
      <c r="K106" s="3">
        <v>2059566000</v>
      </c>
      <c r="M106" s="3">
        <v>2386995000</v>
      </c>
      <c r="N106" s="3">
        <v>56484000</v>
      </c>
      <c r="O106" s="3">
        <v>4642935000</v>
      </c>
      <c r="P106">
        <f t="shared" ref="P106:P156" si="28">6.56*(F106-H106)/E106+3.26*J106/E106+6.72*C106/E106+1.05*I106/G106</f>
        <v>2.0332143888002916</v>
      </c>
      <c r="Q106">
        <f t="shared" ref="Q106:Q156" si="29">IF(VALUE(TRIM(P106))&lt;=1.1, 1, 0)</f>
        <v>0</v>
      </c>
      <c r="R106" t="str">
        <f t="shared" si="20"/>
        <v>Grey Area</v>
      </c>
      <c r="S106">
        <f t="shared" ref="S106:S156" si="30">MAX(-2,MIN(K106/E106,2))</f>
        <v>0.19554269976427391</v>
      </c>
      <c r="T106">
        <f t="shared" ref="T106:T156" si="31" xml:space="preserve"> J106/E106</f>
        <v>3.4272661433626228E-2</v>
      </c>
      <c r="U106">
        <f t="shared" ref="U106:U156" si="32">C106/E106</f>
        <v>5.2496619056860226E-2</v>
      </c>
      <c r="V106">
        <f t="shared" ref="V106:V156" si="33">I106/G106</f>
        <v>0.27233154477231664</v>
      </c>
      <c r="X106" s="13">
        <f t="shared" si="21"/>
        <v>1.5731233395321675</v>
      </c>
      <c r="Y106" s="10"/>
      <c r="Z106" s="10"/>
      <c r="AB106" s="10" t="str">
        <f t="shared" si="22"/>
        <v>Non-Distress</v>
      </c>
      <c r="AC106" s="10">
        <f t="shared" si="23"/>
        <v>0</v>
      </c>
      <c r="AE106" s="10">
        <f t="shared" si="24"/>
        <v>0</v>
      </c>
      <c r="AG106" s="13">
        <f t="shared" si="25"/>
        <v>0.5</v>
      </c>
      <c r="AH106" s="13">
        <f t="shared" si="26"/>
        <v>0.5</v>
      </c>
      <c r="AI106" s="10">
        <f t="shared" si="27"/>
        <v>0.25</v>
      </c>
    </row>
    <row r="107" spans="1:35" x14ac:dyDescent="0.3">
      <c r="A107" t="s">
        <v>41</v>
      </c>
      <c r="B107">
        <v>2023</v>
      </c>
      <c r="C107" s="3">
        <v>524061000</v>
      </c>
      <c r="D107" s="3">
        <v>300843000</v>
      </c>
      <c r="E107" s="3">
        <v>10149666000</v>
      </c>
      <c r="F107" s="3">
        <v>3624849000</v>
      </c>
      <c r="G107" s="3">
        <v>6037737000</v>
      </c>
      <c r="H107" s="3">
        <v>1137497000</v>
      </c>
      <c r="I107" s="3">
        <v>1688393000</v>
      </c>
      <c r="J107" s="3">
        <v>309755000</v>
      </c>
      <c r="K107" s="3">
        <v>2487352000</v>
      </c>
      <c r="M107" s="3">
        <v>2760359000</v>
      </c>
      <c r="N107" s="3">
        <v>26116000</v>
      </c>
      <c r="O107" s="3">
        <v>4272270000</v>
      </c>
      <c r="P107">
        <f t="shared" si="28"/>
        <v>2.3477310453331253</v>
      </c>
      <c r="Q107">
        <f t="shared" si="29"/>
        <v>0</v>
      </c>
      <c r="R107" t="str">
        <f t="shared" si="20"/>
        <v>Grey Area</v>
      </c>
      <c r="S107">
        <f t="shared" si="30"/>
        <v>0.24506737463084993</v>
      </c>
      <c r="T107">
        <f t="shared" si="31"/>
        <v>3.0518738252076471E-2</v>
      </c>
      <c r="U107">
        <f t="shared" si="32"/>
        <v>5.1633324682802371E-2</v>
      </c>
      <c r="V107">
        <f t="shared" si="33"/>
        <v>0.27964003731861786</v>
      </c>
      <c r="X107" s="13">
        <f t="shared" si="21"/>
        <v>1.8596499230335914</v>
      </c>
      <c r="Y107" s="10"/>
      <c r="Z107" s="10"/>
      <c r="AB107" s="10" t="str">
        <f t="shared" si="22"/>
        <v>Non-Distress</v>
      </c>
      <c r="AC107" s="10">
        <f t="shared" si="23"/>
        <v>0</v>
      </c>
      <c r="AE107" s="10">
        <f t="shared" si="24"/>
        <v>0</v>
      </c>
      <c r="AG107" s="13">
        <f t="shared" si="25"/>
        <v>0.5</v>
      </c>
      <c r="AH107" s="13">
        <f t="shared" si="26"/>
        <v>0.5</v>
      </c>
      <c r="AI107" s="10">
        <f t="shared" si="27"/>
        <v>0.25</v>
      </c>
    </row>
    <row r="108" spans="1:35" x14ac:dyDescent="0.3">
      <c r="A108" t="s">
        <v>41</v>
      </c>
      <c r="B108">
        <v>2022</v>
      </c>
      <c r="C108" s="3">
        <v>347281000</v>
      </c>
      <c r="D108" s="3">
        <v>191858000</v>
      </c>
      <c r="E108" s="3">
        <v>9248254000</v>
      </c>
      <c r="F108" s="3">
        <v>2878122000</v>
      </c>
      <c r="G108" s="3">
        <v>5526357000</v>
      </c>
      <c r="H108" s="3">
        <v>778629000</v>
      </c>
      <c r="I108" s="3">
        <v>1579950000</v>
      </c>
      <c r="J108" s="3">
        <v>293659000</v>
      </c>
      <c r="K108" s="3">
        <v>2099493000</v>
      </c>
      <c r="M108" s="3">
        <v>2961532000</v>
      </c>
      <c r="N108" s="3">
        <v>1759000</v>
      </c>
      <c r="O108" s="3">
        <v>3970480000</v>
      </c>
      <c r="P108">
        <f t="shared" si="28"/>
        <v>2.145264179567091</v>
      </c>
      <c r="Q108">
        <f t="shared" si="29"/>
        <v>0</v>
      </c>
      <c r="R108" t="str">
        <f t="shared" si="20"/>
        <v>Grey Area</v>
      </c>
      <c r="S108">
        <f t="shared" si="30"/>
        <v>0.2270150668439686</v>
      </c>
      <c r="T108">
        <f t="shared" si="31"/>
        <v>3.1752912495699191E-2</v>
      </c>
      <c r="U108">
        <f t="shared" si="32"/>
        <v>3.7550979893069547E-2</v>
      </c>
      <c r="V108">
        <f t="shared" si="33"/>
        <v>0.28589358233642886</v>
      </c>
      <c r="X108" s="13">
        <f t="shared" si="21"/>
        <v>1.6855078074803358</v>
      </c>
      <c r="Y108" s="10"/>
      <c r="Z108" s="10"/>
      <c r="AB108" s="10" t="str">
        <f t="shared" si="22"/>
        <v>Non-Distress</v>
      </c>
      <c r="AC108" s="10">
        <f t="shared" si="23"/>
        <v>0</v>
      </c>
      <c r="AE108" s="10">
        <f t="shared" si="24"/>
        <v>0</v>
      </c>
      <c r="AG108" s="13">
        <f t="shared" si="25"/>
        <v>0.5</v>
      </c>
      <c r="AH108" s="13">
        <f t="shared" si="26"/>
        <v>0.5</v>
      </c>
      <c r="AI108" s="10">
        <f t="shared" si="27"/>
        <v>0.25</v>
      </c>
    </row>
    <row r="109" spans="1:35" x14ac:dyDescent="0.3">
      <c r="A109" t="s">
        <v>42</v>
      </c>
      <c r="B109">
        <v>2025</v>
      </c>
      <c r="C109" s="3">
        <v>-504362055149</v>
      </c>
      <c r="D109" s="3">
        <v>4115687674</v>
      </c>
      <c r="E109" s="3">
        <v>3509836103119</v>
      </c>
      <c r="F109" s="3">
        <v>48117560456</v>
      </c>
      <c r="G109" s="3">
        <v>3226158254931</v>
      </c>
      <c r="H109" s="3">
        <v>7750236355</v>
      </c>
      <c r="I109" s="3">
        <v>283677848188</v>
      </c>
      <c r="J109" s="3">
        <v>-1968359605561</v>
      </c>
      <c r="K109" s="3">
        <v>40367324101</v>
      </c>
      <c r="M109" s="3">
        <v>72018586764</v>
      </c>
      <c r="N109" s="3">
        <v>-420421249800</v>
      </c>
      <c r="O109" s="3">
        <v>2862309860496</v>
      </c>
      <c r="P109">
        <f t="shared" si="28"/>
        <v>-2.6261348172795587</v>
      </c>
      <c r="Q109">
        <f t="shared" si="29"/>
        <v>1</v>
      </c>
      <c r="R109" t="str">
        <f t="shared" si="20"/>
        <v>Distress</v>
      </c>
      <c r="S109">
        <f t="shared" si="30"/>
        <v>1.1501199177114783E-2</v>
      </c>
      <c r="T109">
        <f t="shared" si="31"/>
        <v>-0.56081239913505543</v>
      </c>
      <c r="U109">
        <f t="shared" si="32"/>
        <v>-0.1436996031526375</v>
      </c>
      <c r="V109">
        <f t="shared" si="33"/>
        <v>8.7930543318640517E-2</v>
      </c>
      <c r="X109" s="13">
        <f t="shared" si="21"/>
        <v>-2.4591742383022637</v>
      </c>
      <c r="Y109" s="10"/>
      <c r="Z109" s="10"/>
      <c r="AB109" s="10" t="str">
        <f t="shared" si="22"/>
        <v>Distress</v>
      </c>
      <c r="AC109" s="10">
        <f t="shared" si="23"/>
        <v>1</v>
      </c>
      <c r="AE109" s="10">
        <f t="shared" si="24"/>
        <v>1</v>
      </c>
      <c r="AG109" s="13">
        <f t="shared" si="25"/>
        <v>0.7310585786300049</v>
      </c>
      <c r="AH109" s="13">
        <f t="shared" si="26"/>
        <v>-0.2689414213699951</v>
      </c>
      <c r="AI109" s="10">
        <f t="shared" si="27"/>
        <v>0.19661193324148185</v>
      </c>
    </row>
    <row r="110" spans="1:35" x14ac:dyDescent="0.3">
      <c r="A110" t="s">
        <v>42</v>
      </c>
      <c r="B110">
        <v>2024</v>
      </c>
      <c r="C110" s="3">
        <v>-473061853428</v>
      </c>
      <c r="D110" s="3">
        <v>35467723388</v>
      </c>
      <c r="E110" s="3">
        <v>3894062592724</v>
      </c>
      <c r="F110" s="3">
        <v>163880424870</v>
      </c>
      <c r="G110" s="3">
        <v>3431562216702</v>
      </c>
      <c r="H110" s="3">
        <v>69967087494</v>
      </c>
      <c r="I110" s="3">
        <v>462500376022</v>
      </c>
      <c r="J110" s="3">
        <v>-1580886296291</v>
      </c>
      <c r="K110" s="3">
        <v>93913337376</v>
      </c>
      <c r="M110" s="3">
        <v>635627019063</v>
      </c>
      <c r="N110" s="3">
        <v>-719271050228</v>
      </c>
      <c r="O110" s="3">
        <v>2757087281288</v>
      </c>
      <c r="P110">
        <f t="shared" si="28"/>
        <v>-1.8401132804623332</v>
      </c>
      <c r="Q110">
        <f t="shared" si="29"/>
        <v>1</v>
      </c>
      <c r="R110" t="str">
        <f t="shared" si="20"/>
        <v>Distress</v>
      </c>
      <c r="S110">
        <f t="shared" si="30"/>
        <v>2.4117059019923233E-2</v>
      </c>
      <c r="T110">
        <f t="shared" si="31"/>
        <v>-0.40597351959489897</v>
      </c>
      <c r="U110">
        <f t="shared" si="32"/>
        <v>-0.12148285811119454</v>
      </c>
      <c r="V110">
        <f t="shared" si="33"/>
        <v>0.13477837405101722</v>
      </c>
      <c r="X110" s="13">
        <f t="shared" si="21"/>
        <v>-1.7650830993557685</v>
      </c>
      <c r="Y110" s="10"/>
      <c r="Z110" s="10"/>
      <c r="AB110" s="10" t="str">
        <f t="shared" si="22"/>
        <v>Distress</v>
      </c>
      <c r="AC110" s="10">
        <f t="shared" si="23"/>
        <v>1</v>
      </c>
      <c r="AE110" s="10">
        <f t="shared" si="24"/>
        <v>1</v>
      </c>
      <c r="AG110" s="13">
        <f t="shared" si="25"/>
        <v>0.7310585786300049</v>
      </c>
      <c r="AH110" s="13">
        <f t="shared" si="26"/>
        <v>-0.2689414213699951</v>
      </c>
      <c r="AI110" s="10">
        <f t="shared" si="27"/>
        <v>0.19661193324148185</v>
      </c>
    </row>
    <row r="111" spans="1:35" x14ac:dyDescent="0.3">
      <c r="A111" t="s">
        <v>42</v>
      </c>
      <c r="B111">
        <v>2023</v>
      </c>
      <c r="C111" s="3">
        <v>-22136429584</v>
      </c>
      <c r="D111" s="3">
        <v>91609229629</v>
      </c>
      <c r="E111" s="3">
        <v>4055750906771</v>
      </c>
      <c r="F111" s="3">
        <v>66421261314</v>
      </c>
      <c r="G111" s="3">
        <v>2948906288696</v>
      </c>
      <c r="H111" s="3">
        <v>23236357248</v>
      </c>
      <c r="I111" s="3">
        <v>1106844618075</v>
      </c>
      <c r="J111" s="3">
        <v>-882588075902</v>
      </c>
      <c r="K111" s="3">
        <v>43184904066</v>
      </c>
      <c r="M111" s="3">
        <v>196668165620</v>
      </c>
      <c r="N111" s="3">
        <v>-114047785478</v>
      </c>
      <c r="O111" s="3">
        <v>2599789958872</v>
      </c>
      <c r="P111">
        <f t="shared" si="28"/>
        <v>-0.28214209622125269</v>
      </c>
      <c r="Q111">
        <f t="shared" si="29"/>
        <v>1</v>
      </c>
      <c r="R111" t="str">
        <f t="shared" si="20"/>
        <v>Distress</v>
      </c>
      <c r="S111">
        <f t="shared" si="30"/>
        <v>1.0647819616807238E-2</v>
      </c>
      <c r="T111">
        <f t="shared" si="31"/>
        <v>-0.21761397486924944</v>
      </c>
      <c r="U111">
        <f t="shared" si="32"/>
        <v>-5.4580347986962529E-3</v>
      </c>
      <c r="V111">
        <f t="shared" si="33"/>
        <v>0.37534072286998454</v>
      </c>
      <c r="X111" s="13">
        <f t="shared" si="21"/>
        <v>-0.65845230516495612</v>
      </c>
      <c r="Y111" s="10"/>
      <c r="Z111" s="10"/>
      <c r="AB111" s="10" t="str">
        <f t="shared" si="22"/>
        <v>Distress</v>
      </c>
      <c r="AC111" s="10">
        <f t="shared" si="23"/>
        <v>1</v>
      </c>
      <c r="AE111" s="10">
        <f t="shared" si="24"/>
        <v>1</v>
      </c>
      <c r="AG111" s="13">
        <f t="shared" si="25"/>
        <v>0.7310585786300049</v>
      </c>
      <c r="AH111" s="13">
        <f t="shared" si="26"/>
        <v>-0.2689414213699951</v>
      </c>
      <c r="AI111" s="10">
        <f t="shared" si="27"/>
        <v>0.19661193324148185</v>
      </c>
    </row>
    <row r="112" spans="1:35" x14ac:dyDescent="0.3">
      <c r="A112" t="s">
        <v>42</v>
      </c>
      <c r="B112">
        <v>2022</v>
      </c>
      <c r="C112" s="3">
        <v>-44029639643</v>
      </c>
      <c r="D112" s="3">
        <v>89339048080</v>
      </c>
      <c r="E112" s="3">
        <v>4142039803860</v>
      </c>
      <c r="F112" s="3">
        <v>66226572957</v>
      </c>
      <c r="G112" s="3">
        <v>2939127518441</v>
      </c>
      <c r="H112" s="3">
        <v>218111044961</v>
      </c>
      <c r="I112" s="3">
        <v>1202912285419</v>
      </c>
      <c r="J112" s="3">
        <v>-770838349389</v>
      </c>
      <c r="K112" s="3">
        <v>-151884472004</v>
      </c>
      <c r="M112" s="3">
        <v>153501795074</v>
      </c>
      <c r="N112" s="3">
        <v>-133469253051</v>
      </c>
      <c r="O112" s="3">
        <v>2478574652960</v>
      </c>
      <c r="P112">
        <f t="shared" si="28"/>
        <v>-0.48893253905399642</v>
      </c>
      <c r="Q112">
        <f t="shared" si="29"/>
        <v>1</v>
      </c>
      <c r="R112" t="str">
        <f t="shared" si="20"/>
        <v>Distress</v>
      </c>
      <c r="S112">
        <f t="shared" si="30"/>
        <v>-3.6669003485301527E-2</v>
      </c>
      <c r="T112">
        <f t="shared" si="31"/>
        <v>-0.18610114482015591</v>
      </c>
      <c r="U112">
        <f t="shared" si="32"/>
        <v>-1.0629941219292106E-2</v>
      </c>
      <c r="V112">
        <f t="shared" si="33"/>
        <v>0.40927529611136443</v>
      </c>
      <c r="X112" s="13">
        <f t="shared" si="21"/>
        <v>-0.8679242923413355</v>
      </c>
      <c r="Y112" s="10"/>
      <c r="Z112" s="10"/>
      <c r="AB112" s="10" t="str">
        <f t="shared" si="22"/>
        <v>Distress</v>
      </c>
      <c r="AC112" s="10">
        <f t="shared" si="23"/>
        <v>1</v>
      </c>
      <c r="AE112" s="10">
        <f t="shared" si="24"/>
        <v>1</v>
      </c>
      <c r="AG112" s="13">
        <f t="shared" si="25"/>
        <v>0.7310585786300049</v>
      </c>
      <c r="AH112" s="13">
        <f t="shared" si="26"/>
        <v>-0.2689414213699951</v>
      </c>
      <c r="AI112" s="10">
        <f t="shared" si="27"/>
        <v>0.19661193324148185</v>
      </c>
    </row>
    <row r="113" spans="1:35" x14ac:dyDescent="0.3">
      <c r="A113" t="s">
        <v>43</v>
      </c>
      <c r="B113">
        <v>2025</v>
      </c>
      <c r="C113" s="3">
        <v>288756000000</v>
      </c>
      <c r="D113" s="3">
        <v>163256000000</v>
      </c>
      <c r="E113" s="3">
        <v>4098252000000</v>
      </c>
      <c r="F113" s="3">
        <v>2563668000000</v>
      </c>
      <c r="G113" s="3">
        <v>2409174000000</v>
      </c>
      <c r="H113" s="3">
        <v>1479391000000</v>
      </c>
      <c r="I113" s="3">
        <v>1551443000000</v>
      </c>
      <c r="J113" s="3">
        <v>642825000000</v>
      </c>
      <c r="K113" s="3">
        <v>1084277000000</v>
      </c>
      <c r="M113" s="3">
        <v>3177730000000</v>
      </c>
      <c r="N113" s="3">
        <v>106550000000</v>
      </c>
      <c r="O113" s="3">
        <v>2005818000000</v>
      </c>
      <c r="P113">
        <f t="shared" si="28"/>
        <v>3.3965770631301146</v>
      </c>
      <c r="Q113">
        <f t="shared" si="29"/>
        <v>0</v>
      </c>
      <c r="R113" t="str">
        <f t="shared" si="20"/>
        <v>Safe</v>
      </c>
      <c r="S113">
        <f t="shared" si="30"/>
        <v>0.26457060229580809</v>
      </c>
      <c r="T113">
        <f t="shared" si="31"/>
        <v>0.15685345849889173</v>
      </c>
      <c r="U113">
        <f t="shared" si="32"/>
        <v>7.0458331991297751E-2</v>
      </c>
      <c r="V113">
        <f t="shared" si="33"/>
        <v>0.64397299655400564</v>
      </c>
      <c r="X113" s="13">
        <f t="shared" si="21"/>
        <v>2.4996428620524331</v>
      </c>
      <c r="Y113" s="10"/>
      <c r="Z113" s="10"/>
      <c r="AB113" s="10" t="str">
        <f t="shared" si="22"/>
        <v>Non-Distress</v>
      </c>
      <c r="AC113" s="10">
        <f t="shared" si="23"/>
        <v>0</v>
      </c>
      <c r="AE113" s="10">
        <f t="shared" si="24"/>
        <v>0</v>
      </c>
      <c r="AG113" s="13">
        <f t="shared" si="25"/>
        <v>0.5</v>
      </c>
      <c r="AH113" s="13">
        <f t="shared" si="26"/>
        <v>0.5</v>
      </c>
      <c r="AI113" s="10">
        <f t="shared" si="27"/>
        <v>0.25</v>
      </c>
    </row>
    <row r="114" spans="1:35" x14ac:dyDescent="0.3">
      <c r="A114" t="s">
        <v>43</v>
      </c>
      <c r="B114">
        <v>2024</v>
      </c>
      <c r="C114" s="3">
        <v>222558000000</v>
      </c>
      <c r="D114" s="3">
        <v>137566000000</v>
      </c>
      <c r="E114" s="3">
        <v>3817011000000</v>
      </c>
      <c r="F114" s="3">
        <v>2265184000000</v>
      </c>
      <c r="G114" s="3">
        <v>2197787000000</v>
      </c>
      <c r="H114" s="3">
        <v>1569209000000</v>
      </c>
      <c r="I114" s="3">
        <v>1487906000000</v>
      </c>
      <c r="J114" s="3">
        <v>578032000000</v>
      </c>
      <c r="K114" s="3">
        <v>695975000000</v>
      </c>
      <c r="M114" s="3">
        <v>4009264000000</v>
      </c>
      <c r="N114" s="3">
        <v>61624000000</v>
      </c>
      <c r="O114" s="3">
        <v>1696566000000</v>
      </c>
      <c r="P114">
        <f t="shared" si="28"/>
        <v>2.792472961238512</v>
      </c>
      <c r="Q114">
        <f t="shared" si="29"/>
        <v>0</v>
      </c>
      <c r="R114" t="str">
        <f t="shared" si="20"/>
        <v>Safe</v>
      </c>
      <c r="S114">
        <f t="shared" si="30"/>
        <v>0.18233507841606952</v>
      </c>
      <c r="T114">
        <f t="shared" si="31"/>
        <v>0.15143577003052913</v>
      </c>
      <c r="U114">
        <f t="shared" si="32"/>
        <v>5.8306879388086645E-2</v>
      </c>
      <c r="V114">
        <f t="shared" si="33"/>
        <v>0.67700191146821775</v>
      </c>
      <c r="X114" s="13">
        <f t="shared" si="21"/>
        <v>1.9219042897602965</v>
      </c>
      <c r="Y114" s="10"/>
      <c r="Z114" s="10"/>
      <c r="AB114" s="10" t="str">
        <f t="shared" si="22"/>
        <v>Non-Distress</v>
      </c>
      <c r="AC114" s="10">
        <f t="shared" si="23"/>
        <v>0</v>
      </c>
      <c r="AE114" s="10">
        <f t="shared" si="24"/>
        <v>0</v>
      </c>
      <c r="AG114" s="13">
        <f t="shared" si="25"/>
        <v>0.5</v>
      </c>
      <c r="AH114" s="13">
        <f t="shared" si="26"/>
        <v>0.5</v>
      </c>
      <c r="AI114" s="10">
        <f t="shared" si="27"/>
        <v>0.25</v>
      </c>
    </row>
    <row r="115" spans="1:35" x14ac:dyDescent="0.3">
      <c r="A115" t="s">
        <v>43</v>
      </c>
      <c r="B115">
        <v>2023</v>
      </c>
      <c r="C115" s="3">
        <v>247866000000</v>
      </c>
      <c r="D115" s="3">
        <v>120555000000</v>
      </c>
      <c r="E115" s="3">
        <v>3327846000000</v>
      </c>
      <c r="F115" s="3">
        <v>1708152000000</v>
      </c>
      <c r="G115" s="3">
        <v>1736519000000</v>
      </c>
      <c r="H115" s="3">
        <v>1251674000000</v>
      </c>
      <c r="I115" s="3">
        <v>1466981000000</v>
      </c>
      <c r="J115" s="3">
        <v>557607000000</v>
      </c>
      <c r="K115" s="3">
        <v>456478000000</v>
      </c>
      <c r="M115" s="3">
        <v>3944953000000</v>
      </c>
      <c r="N115" s="3">
        <v>100802000000</v>
      </c>
      <c r="O115" s="3">
        <v>1305110000000</v>
      </c>
      <c r="P115">
        <f t="shared" si="28"/>
        <v>2.8336123919550631</v>
      </c>
      <c r="Q115">
        <f t="shared" si="29"/>
        <v>0</v>
      </c>
      <c r="R115" t="str">
        <f t="shared" si="20"/>
        <v>Safe</v>
      </c>
      <c r="S115">
        <f t="shared" si="30"/>
        <v>0.13716920795012749</v>
      </c>
      <c r="T115">
        <f t="shared" si="31"/>
        <v>0.167557933870738</v>
      </c>
      <c r="U115">
        <f t="shared" si="32"/>
        <v>7.4482412948195326E-2</v>
      </c>
      <c r="V115">
        <f t="shared" si="33"/>
        <v>0.84478257940166501</v>
      </c>
      <c r="X115" s="13">
        <f t="shared" si="21"/>
        <v>1.7841489220590665</v>
      </c>
      <c r="Y115" s="10"/>
      <c r="Z115" s="10"/>
      <c r="AB115" s="10" t="str">
        <f t="shared" si="22"/>
        <v>Non-Distress</v>
      </c>
      <c r="AC115" s="10">
        <f t="shared" si="23"/>
        <v>0</v>
      </c>
      <c r="AE115" s="10">
        <f t="shared" si="24"/>
        <v>0</v>
      </c>
      <c r="AG115" s="13">
        <f t="shared" si="25"/>
        <v>0.5</v>
      </c>
      <c r="AH115" s="13">
        <f t="shared" si="26"/>
        <v>0.5</v>
      </c>
      <c r="AI115" s="10">
        <f t="shared" si="27"/>
        <v>0.25</v>
      </c>
    </row>
    <row r="116" spans="1:35" x14ac:dyDescent="0.3">
      <c r="A116" t="s">
        <v>43</v>
      </c>
      <c r="B116">
        <v>2022</v>
      </c>
      <c r="C116" s="3">
        <v>223688000000</v>
      </c>
      <c r="D116" s="3">
        <v>107657000000</v>
      </c>
      <c r="E116" s="3">
        <v>3173651000000</v>
      </c>
      <c r="F116" s="3">
        <v>1582322000000</v>
      </c>
      <c r="G116" s="3">
        <v>1728614000000</v>
      </c>
      <c r="H116" s="3">
        <v>1189965000000</v>
      </c>
      <c r="I116" s="3">
        <v>1331990000000</v>
      </c>
      <c r="J116" s="3">
        <v>523272000000</v>
      </c>
      <c r="K116" s="3">
        <v>392357000000</v>
      </c>
      <c r="M116" s="3">
        <v>3382326000000</v>
      </c>
      <c r="N116" s="3">
        <v>88961000000</v>
      </c>
      <c r="O116" s="3">
        <v>1251614000000</v>
      </c>
      <c r="P116">
        <f t="shared" si="28"/>
        <v>2.6312452482010444</v>
      </c>
      <c r="Q116">
        <f t="shared" si="29"/>
        <v>0</v>
      </c>
      <c r="R116" t="str">
        <f t="shared" si="20"/>
        <v>Safe</v>
      </c>
      <c r="S116">
        <f t="shared" si="30"/>
        <v>0.12362953582482762</v>
      </c>
      <c r="T116">
        <f t="shared" si="31"/>
        <v>0.16488013332278817</v>
      </c>
      <c r="U116">
        <f t="shared" si="32"/>
        <v>7.048286027669709E-2</v>
      </c>
      <c r="V116">
        <f t="shared" si="33"/>
        <v>0.77055374999855375</v>
      </c>
      <c r="X116" s="13">
        <f t="shared" si="21"/>
        <v>1.6700822826678283</v>
      </c>
      <c r="Y116" s="10"/>
      <c r="Z116" s="10"/>
      <c r="AB116" s="10" t="str">
        <f t="shared" si="22"/>
        <v>Non-Distress</v>
      </c>
      <c r="AC116" s="10">
        <f t="shared" si="23"/>
        <v>0</v>
      </c>
      <c r="AE116" s="10">
        <f t="shared" si="24"/>
        <v>0</v>
      </c>
      <c r="AG116" s="13">
        <f t="shared" si="25"/>
        <v>0.5</v>
      </c>
      <c r="AH116" s="13">
        <f t="shared" si="26"/>
        <v>0.5</v>
      </c>
      <c r="AI116" s="10">
        <f t="shared" si="27"/>
        <v>0.25</v>
      </c>
    </row>
    <row r="117" spans="1:35" x14ac:dyDescent="0.3">
      <c r="A117" t="s">
        <v>44</v>
      </c>
      <c r="B117">
        <v>2025</v>
      </c>
      <c r="C117" s="3">
        <v>1201124000000</v>
      </c>
      <c r="D117" s="3">
        <v>425283000000</v>
      </c>
      <c r="E117" s="3">
        <v>10176150000000</v>
      </c>
      <c r="F117" s="3">
        <v>1737162000000</v>
      </c>
      <c r="G117" s="3">
        <v>7349037000000</v>
      </c>
      <c r="H117" s="3">
        <v>2595297000000</v>
      </c>
      <c r="I117" s="3">
        <v>2788569000000</v>
      </c>
      <c r="J117" s="3">
        <v>-3707953000000</v>
      </c>
      <c r="K117" s="3">
        <v>-858135000000</v>
      </c>
      <c r="M117" s="3">
        <v>5761296000000</v>
      </c>
      <c r="N117" s="3">
        <v>361720000000</v>
      </c>
      <c r="O117" s="3">
        <v>4529253000000</v>
      </c>
      <c r="P117">
        <f t="shared" si="28"/>
        <v>-0.54945785461812924</v>
      </c>
      <c r="Q117">
        <f t="shared" si="29"/>
        <v>1</v>
      </c>
      <c r="R117" t="str">
        <f t="shared" si="20"/>
        <v>Distress</v>
      </c>
      <c r="S117">
        <f t="shared" si="30"/>
        <v>-8.432806120192804E-2</v>
      </c>
      <c r="T117">
        <f t="shared" si="31"/>
        <v>-0.36437680262181671</v>
      </c>
      <c r="U117">
        <f t="shared" si="32"/>
        <v>0.11803324439989583</v>
      </c>
      <c r="V117">
        <f t="shared" si="33"/>
        <v>0.37944685813937257</v>
      </c>
      <c r="X117" s="13">
        <f t="shared" si="21"/>
        <v>-1.1224264748828023</v>
      </c>
      <c r="Y117" s="10"/>
      <c r="Z117" s="10"/>
      <c r="AB117" s="10" t="str">
        <f t="shared" si="22"/>
        <v>Distress</v>
      </c>
      <c r="AC117" s="10">
        <f t="shared" si="23"/>
        <v>1</v>
      </c>
      <c r="AE117" s="10">
        <f t="shared" si="24"/>
        <v>1</v>
      </c>
      <c r="AG117" s="13">
        <f t="shared" si="25"/>
        <v>0.7310585786300049</v>
      </c>
      <c r="AH117" s="13">
        <f t="shared" si="26"/>
        <v>-0.2689414213699951</v>
      </c>
      <c r="AI117" s="10">
        <f t="shared" si="27"/>
        <v>0.19661193324148185</v>
      </c>
    </row>
    <row r="118" spans="1:35" x14ac:dyDescent="0.3">
      <c r="A118" t="s">
        <v>44</v>
      </c>
      <c r="B118">
        <v>2024</v>
      </c>
      <c r="C118" s="3">
        <v>945301000000</v>
      </c>
      <c r="D118" s="3">
        <v>479195000000</v>
      </c>
      <c r="E118" s="3">
        <v>9794380000000</v>
      </c>
      <c r="F118" s="3">
        <v>1420678000000</v>
      </c>
      <c r="G118" s="3">
        <v>7342291000000</v>
      </c>
      <c r="H118" s="3">
        <v>2328677000000</v>
      </c>
      <c r="I118" s="3">
        <v>2430932000000</v>
      </c>
      <c r="J118" s="3">
        <v>-4069673000000</v>
      </c>
      <c r="K118" s="3">
        <v>-907999000000</v>
      </c>
      <c r="M118" s="3">
        <v>4302676000000</v>
      </c>
      <c r="N118" s="3">
        <v>260210000000</v>
      </c>
      <c r="O118" s="3">
        <v>4432018000000</v>
      </c>
      <c r="P118">
        <f t="shared" si="28"/>
        <v>-0.9664991922131615</v>
      </c>
      <c r="Q118">
        <f t="shared" si="29"/>
        <v>1</v>
      </c>
      <c r="R118" t="str">
        <f t="shared" si="20"/>
        <v>Distress</v>
      </c>
      <c r="S118">
        <f t="shared" si="30"/>
        <v>-9.2706123307447735E-2</v>
      </c>
      <c r="T118">
        <f t="shared" si="31"/>
        <v>-0.4155110379625867</v>
      </c>
      <c r="U118">
        <f t="shared" si="32"/>
        <v>9.6514633902299071E-2</v>
      </c>
      <c r="V118">
        <f t="shared" si="33"/>
        <v>0.33108630535074135</v>
      </c>
      <c r="X118" s="13">
        <f t="shared" si="21"/>
        <v>-1.44740106986461</v>
      </c>
      <c r="Y118" s="10"/>
      <c r="Z118" s="10"/>
      <c r="AB118" s="10" t="str">
        <f t="shared" si="22"/>
        <v>Distress</v>
      </c>
      <c r="AC118" s="10">
        <f t="shared" si="23"/>
        <v>1</v>
      </c>
      <c r="AE118" s="10">
        <f t="shared" si="24"/>
        <v>1</v>
      </c>
      <c r="AG118" s="13">
        <f t="shared" si="25"/>
        <v>0.7310585786300049</v>
      </c>
      <c r="AH118" s="13">
        <f t="shared" si="26"/>
        <v>-0.2689414213699951</v>
      </c>
      <c r="AI118" s="10">
        <f t="shared" si="27"/>
        <v>0.19661193324148185</v>
      </c>
    </row>
    <row r="119" spans="1:35" x14ac:dyDescent="0.3">
      <c r="A119" t="s">
        <v>44</v>
      </c>
      <c r="B119">
        <v>2023</v>
      </c>
      <c r="C119" s="3">
        <v>439985000000</v>
      </c>
      <c r="D119" s="3">
        <v>564138000000</v>
      </c>
      <c r="E119" s="3">
        <v>10183510000000</v>
      </c>
      <c r="F119" s="3">
        <v>1300009000000</v>
      </c>
      <c r="G119" s="3">
        <v>7991960000000</v>
      </c>
      <c r="H119" s="3">
        <v>3513085000000</v>
      </c>
      <c r="I119" s="3">
        <v>2182315000000</v>
      </c>
      <c r="J119" s="3">
        <v>-4329883000000</v>
      </c>
      <c r="K119" s="3">
        <v>-2213076000000</v>
      </c>
      <c r="M119" s="3">
        <v>4204612000000</v>
      </c>
      <c r="N119" s="3">
        <v>177025000000</v>
      </c>
      <c r="O119" s="3">
        <v>5107998000000</v>
      </c>
      <c r="P119">
        <f t="shared" si="28"/>
        <v>-2.2346629561985623</v>
      </c>
      <c r="Q119">
        <f t="shared" si="29"/>
        <v>1</v>
      </c>
      <c r="R119" t="str">
        <f t="shared" si="20"/>
        <v>Distress</v>
      </c>
      <c r="S119">
        <f t="shared" si="30"/>
        <v>-0.21731956859668228</v>
      </c>
      <c r="T119">
        <f t="shared" si="31"/>
        <v>-0.42518571690900286</v>
      </c>
      <c r="U119">
        <f t="shared" si="32"/>
        <v>4.3205633421089587E-2</v>
      </c>
      <c r="V119">
        <f t="shared" si="33"/>
        <v>0.27306380412314374</v>
      </c>
      <c r="X119" s="13">
        <f t="shared" si="21"/>
        <v>-2.501108678409008</v>
      </c>
      <c r="Y119" s="10"/>
      <c r="Z119" s="10"/>
      <c r="AB119" s="10" t="str">
        <f t="shared" si="22"/>
        <v>Distress</v>
      </c>
      <c r="AC119" s="10">
        <f t="shared" si="23"/>
        <v>1</v>
      </c>
      <c r="AE119" s="10">
        <f t="shared" si="24"/>
        <v>1</v>
      </c>
      <c r="AG119" s="13">
        <f t="shared" si="25"/>
        <v>0.7310585786300049</v>
      </c>
      <c r="AH119" s="13">
        <f t="shared" si="26"/>
        <v>-0.2689414213699951</v>
      </c>
      <c r="AI119" s="10">
        <f t="shared" si="27"/>
        <v>0.19661193324148185</v>
      </c>
    </row>
    <row r="120" spans="1:35" x14ac:dyDescent="0.3">
      <c r="A120" t="s">
        <v>44</v>
      </c>
      <c r="B120">
        <v>2022</v>
      </c>
      <c r="C120" s="3">
        <v>466681000000</v>
      </c>
      <c r="D120" s="3">
        <v>581611000000</v>
      </c>
      <c r="E120" s="3">
        <v>12223568000000</v>
      </c>
      <c r="F120" s="3">
        <v>1883769000000</v>
      </c>
      <c r="G120" s="3">
        <v>10173925000000</v>
      </c>
      <c r="H120" s="3">
        <v>3394292000000</v>
      </c>
      <c r="I120" s="3">
        <v>2023353000000</v>
      </c>
      <c r="J120" s="3">
        <v>-4506908000000</v>
      </c>
      <c r="K120" s="3">
        <v>-1510523000000</v>
      </c>
      <c r="M120" s="3">
        <v>4574124000000</v>
      </c>
      <c r="N120" s="3">
        <v>17478000000</v>
      </c>
      <c r="O120" s="3">
        <v>7059131000000</v>
      </c>
      <c r="P120">
        <f t="shared" si="28"/>
        <v>-1.5472509507909114</v>
      </c>
      <c r="Q120">
        <f t="shared" si="29"/>
        <v>1</v>
      </c>
      <c r="R120" t="str">
        <f t="shared" si="20"/>
        <v>Distress</v>
      </c>
      <c r="S120">
        <f t="shared" si="30"/>
        <v>-0.12357463876341179</v>
      </c>
      <c r="T120">
        <f t="shared" si="31"/>
        <v>-0.36870642025307176</v>
      </c>
      <c r="U120">
        <f t="shared" si="32"/>
        <v>3.8178787077553789E-2</v>
      </c>
      <c r="V120">
        <f t="shared" si="33"/>
        <v>0.19887634320087871</v>
      </c>
      <c r="X120" s="13">
        <f t="shared" si="21"/>
        <v>-1.7705305342557776</v>
      </c>
      <c r="Y120" s="10"/>
      <c r="Z120" s="10"/>
      <c r="AB120" s="10" t="str">
        <f t="shared" si="22"/>
        <v>Distress</v>
      </c>
      <c r="AC120" s="10">
        <f t="shared" si="23"/>
        <v>1</v>
      </c>
      <c r="AE120" s="10">
        <f t="shared" si="24"/>
        <v>1</v>
      </c>
      <c r="AG120" s="13">
        <f t="shared" si="25"/>
        <v>0.7310585786300049</v>
      </c>
      <c r="AH120" s="13">
        <f t="shared" si="26"/>
        <v>-0.2689414213699951</v>
      </c>
      <c r="AI120" s="10">
        <f t="shared" si="27"/>
        <v>0.19661193324148185</v>
      </c>
    </row>
    <row r="121" spans="1:35" x14ac:dyDescent="0.3">
      <c r="A121" t="s">
        <v>45</v>
      </c>
      <c r="B121">
        <v>2025</v>
      </c>
      <c r="C121" s="3">
        <v>92816469958</v>
      </c>
      <c r="E121" s="3">
        <v>1174542531856</v>
      </c>
      <c r="F121" s="3">
        <v>530058622675</v>
      </c>
      <c r="G121" s="3">
        <v>167882013531</v>
      </c>
      <c r="H121" s="3">
        <v>105346450531</v>
      </c>
      <c r="I121" s="3">
        <v>1006660518325</v>
      </c>
      <c r="J121" s="3">
        <v>168965806596</v>
      </c>
      <c r="K121" s="3">
        <v>424712172144</v>
      </c>
      <c r="M121" s="3">
        <v>1173936757679</v>
      </c>
      <c r="N121" s="3">
        <v>74768974166</v>
      </c>
      <c r="P121">
        <f t="shared" si="28"/>
        <v>9.6681433045302843</v>
      </c>
      <c r="Q121">
        <f t="shared" si="29"/>
        <v>0</v>
      </c>
      <c r="R121" t="str">
        <f t="shared" si="20"/>
        <v>Safe</v>
      </c>
      <c r="S121">
        <f t="shared" si="30"/>
        <v>0.36159795037211145</v>
      </c>
      <c r="T121">
        <f t="shared" si="31"/>
        <v>0.14385669485208166</v>
      </c>
      <c r="U121">
        <f t="shared" si="32"/>
        <v>7.9023506974525967E-2</v>
      </c>
      <c r="V121">
        <f t="shared" si="33"/>
        <v>5.9962380552406032</v>
      </c>
      <c r="X121" s="13">
        <f t="shared" si="21"/>
        <v>3.3214338486797241</v>
      </c>
      <c r="Y121" s="10"/>
      <c r="Z121" s="10"/>
      <c r="AB121" s="10" t="str">
        <f t="shared" si="22"/>
        <v>Non-Distress</v>
      </c>
      <c r="AC121" s="10">
        <f t="shared" si="23"/>
        <v>0</v>
      </c>
      <c r="AE121" s="10">
        <f t="shared" si="24"/>
        <v>0</v>
      </c>
      <c r="AG121" s="13">
        <f t="shared" si="25"/>
        <v>0.5</v>
      </c>
      <c r="AH121" s="13">
        <f t="shared" si="26"/>
        <v>0.5</v>
      </c>
      <c r="AI121" s="10">
        <f t="shared" si="27"/>
        <v>0.25</v>
      </c>
    </row>
    <row r="122" spans="1:35" x14ac:dyDescent="0.3">
      <c r="A122" t="s">
        <v>45</v>
      </c>
      <c r="B122">
        <v>2024</v>
      </c>
      <c r="C122" s="3">
        <v>119104833912</v>
      </c>
      <c r="E122" s="3">
        <v>1083173624832</v>
      </c>
      <c r="F122" s="3">
        <v>472552752038</v>
      </c>
      <c r="G122" s="3">
        <v>148194431953</v>
      </c>
      <c r="H122" s="3">
        <v>93604844953</v>
      </c>
      <c r="I122" s="3">
        <v>934979192879</v>
      </c>
      <c r="J122" s="3">
        <v>97110136525</v>
      </c>
      <c r="K122" s="3">
        <v>378947907085</v>
      </c>
      <c r="M122" s="3">
        <v>1158489850210</v>
      </c>
      <c r="N122" s="3">
        <v>97110136525</v>
      </c>
      <c r="P122">
        <f t="shared" si="28"/>
        <v>9.9508043466037357</v>
      </c>
      <c r="Q122">
        <f t="shared" si="29"/>
        <v>0</v>
      </c>
      <c r="R122" t="str">
        <f t="shared" si="20"/>
        <v>Safe</v>
      </c>
      <c r="S122">
        <f t="shared" si="30"/>
        <v>0.3498496440437005</v>
      </c>
      <c r="T122">
        <f t="shared" si="31"/>
        <v>8.9653343008662859E-2</v>
      </c>
      <c r="U122">
        <f t="shared" si="32"/>
        <v>0.10995913414202006</v>
      </c>
      <c r="V122">
        <f t="shared" si="33"/>
        <v>6.3091384781280411</v>
      </c>
      <c r="X122" s="13">
        <f t="shared" si="21"/>
        <v>3.2350593936685965</v>
      </c>
      <c r="Y122" s="10"/>
      <c r="Z122" s="10"/>
      <c r="AB122" s="10" t="str">
        <f t="shared" si="22"/>
        <v>Non-Distress</v>
      </c>
      <c r="AC122" s="10">
        <f t="shared" si="23"/>
        <v>0</v>
      </c>
      <c r="AE122" s="10">
        <f t="shared" si="24"/>
        <v>0</v>
      </c>
      <c r="AG122" s="13">
        <f t="shared" si="25"/>
        <v>0.5</v>
      </c>
      <c r="AH122" s="13">
        <f t="shared" si="26"/>
        <v>0.5</v>
      </c>
      <c r="AI122" s="10">
        <f t="shared" si="27"/>
        <v>0.25</v>
      </c>
    </row>
    <row r="123" spans="1:35" x14ac:dyDescent="0.3">
      <c r="A123" t="s">
        <v>45</v>
      </c>
      <c r="B123">
        <v>2023</v>
      </c>
      <c r="C123" s="3">
        <v>150104973066</v>
      </c>
      <c r="E123" s="3">
        <v>1088726193209</v>
      </c>
      <c r="F123" s="3">
        <v>501886780991</v>
      </c>
      <c r="G123" s="3">
        <v>136086922155</v>
      </c>
      <c r="H123" s="3">
        <v>78024161155</v>
      </c>
      <c r="I123" s="3">
        <v>952639271054</v>
      </c>
      <c r="J123" s="3">
        <v>127426464539</v>
      </c>
      <c r="K123" s="3">
        <v>423862619836</v>
      </c>
      <c r="M123" s="3">
        <v>1135790489555</v>
      </c>
      <c r="N123" s="3">
        <v>127426464539</v>
      </c>
      <c r="P123">
        <f t="shared" si="28"/>
        <v>11.212232182177495</v>
      </c>
      <c r="Q123">
        <f t="shared" si="29"/>
        <v>0</v>
      </c>
      <c r="R123" t="str">
        <f t="shared" si="20"/>
        <v>Safe</v>
      </c>
      <c r="S123">
        <f t="shared" si="30"/>
        <v>0.38931975962355869</v>
      </c>
      <c r="T123">
        <f t="shared" si="31"/>
        <v>0.11704179189756875</v>
      </c>
      <c r="U123">
        <f t="shared" si="32"/>
        <v>0.1378721059549127</v>
      </c>
      <c r="V123">
        <f t="shared" si="33"/>
        <v>7.0002264432798684</v>
      </c>
      <c r="X123" s="13">
        <f t="shared" si="21"/>
        <v>3.7307806495399163</v>
      </c>
      <c r="Y123" s="10"/>
      <c r="Z123" s="10"/>
      <c r="AB123" s="10" t="str">
        <f t="shared" si="22"/>
        <v>Non-Distress</v>
      </c>
      <c r="AC123" s="10">
        <f t="shared" si="23"/>
        <v>0</v>
      </c>
      <c r="AE123" s="10">
        <f t="shared" si="24"/>
        <v>0</v>
      </c>
      <c r="AG123" s="13">
        <f t="shared" si="25"/>
        <v>0.5</v>
      </c>
      <c r="AH123" s="13">
        <f t="shared" si="26"/>
        <v>0.5</v>
      </c>
      <c r="AI123" s="10">
        <f t="shared" si="27"/>
        <v>0.25</v>
      </c>
    </row>
    <row r="124" spans="1:35" x14ac:dyDescent="0.3">
      <c r="A124" t="s">
        <v>45</v>
      </c>
      <c r="B124">
        <v>2022</v>
      </c>
      <c r="C124" s="3">
        <v>158256367163</v>
      </c>
      <c r="E124" s="3">
        <v>1074777460412</v>
      </c>
      <c r="F124" s="3">
        <v>772685806645</v>
      </c>
      <c r="G124" s="3">
        <v>133323429397</v>
      </c>
      <c r="H124" s="3">
        <v>72411790397</v>
      </c>
      <c r="I124" s="3">
        <v>941454031015</v>
      </c>
      <c r="J124" s="3">
        <v>124910952844</v>
      </c>
      <c r="K124" s="3">
        <v>700274016248</v>
      </c>
      <c r="M124" s="3">
        <v>1129360552136</v>
      </c>
      <c r="N124" s="3">
        <v>121257336904</v>
      </c>
      <c r="P124">
        <f t="shared" si="28"/>
        <v>13.057055409039688</v>
      </c>
      <c r="Q124">
        <f t="shared" si="29"/>
        <v>0</v>
      </c>
      <c r="R124" t="str">
        <f t="shared" si="20"/>
        <v>Safe</v>
      </c>
      <c r="S124">
        <f t="shared" si="30"/>
        <v>0.65155256975668274</v>
      </c>
      <c r="T124">
        <f t="shared" si="31"/>
        <v>0.11622029438179439</v>
      </c>
      <c r="U124">
        <f t="shared" si="32"/>
        <v>0.14724570712744084</v>
      </c>
      <c r="V124">
        <f t="shared" si="33"/>
        <v>7.0614297522426641</v>
      </c>
      <c r="X124" s="13">
        <f t="shared" si="21"/>
        <v>5.3788155589745941</v>
      </c>
      <c r="Y124" s="10"/>
      <c r="Z124" s="10"/>
      <c r="AB124" s="10" t="str">
        <f t="shared" si="22"/>
        <v>Non-Distress</v>
      </c>
      <c r="AC124" s="10">
        <f t="shared" si="23"/>
        <v>0</v>
      </c>
      <c r="AE124" s="10">
        <f t="shared" si="24"/>
        <v>0</v>
      </c>
      <c r="AG124" s="13">
        <f t="shared" si="25"/>
        <v>0.5</v>
      </c>
      <c r="AH124" s="13">
        <f t="shared" si="26"/>
        <v>0.5</v>
      </c>
      <c r="AI124" s="10">
        <f t="shared" si="27"/>
        <v>0.25</v>
      </c>
    </row>
    <row r="125" spans="1:35" x14ac:dyDescent="0.3">
      <c r="A125" t="s">
        <v>46</v>
      </c>
      <c r="B125">
        <v>2025</v>
      </c>
      <c r="C125" s="3">
        <v>305243000000</v>
      </c>
      <c r="D125" s="3">
        <v>156802000000</v>
      </c>
      <c r="E125" s="3">
        <v>4117814000000</v>
      </c>
      <c r="F125" s="3">
        <v>2811840000000</v>
      </c>
      <c r="G125" s="3">
        <v>3007199000000</v>
      </c>
      <c r="H125" s="3">
        <v>2286662000000</v>
      </c>
      <c r="I125" s="3">
        <v>1110615000000</v>
      </c>
      <c r="J125" s="3">
        <v>299772000000</v>
      </c>
      <c r="K125" s="3">
        <v>525178000000</v>
      </c>
      <c r="M125" s="3">
        <v>13970811000000</v>
      </c>
      <c r="N125" s="3">
        <v>106175000000</v>
      </c>
      <c r="O125" s="3">
        <v>2094904000000</v>
      </c>
      <c r="P125">
        <f t="shared" si="28"/>
        <v>1.9598948884379555</v>
      </c>
      <c r="Q125">
        <f t="shared" si="29"/>
        <v>0</v>
      </c>
      <c r="R125" t="str">
        <f t="shared" si="20"/>
        <v>Grey Area</v>
      </c>
      <c r="S125">
        <f t="shared" si="30"/>
        <v>0.12753805781417032</v>
      </c>
      <c r="T125">
        <f t="shared" si="31"/>
        <v>7.2798819956413768E-2</v>
      </c>
      <c r="U125">
        <f t="shared" si="32"/>
        <v>7.4127437519033154E-2</v>
      </c>
      <c r="V125">
        <f t="shared" si="33"/>
        <v>0.36931875808684428</v>
      </c>
      <c r="X125" s="13">
        <f t="shared" si="21"/>
        <v>1.3925577611086049</v>
      </c>
      <c r="Y125" s="10"/>
      <c r="Z125" s="10"/>
      <c r="AB125" s="10" t="str">
        <f t="shared" si="22"/>
        <v>Non-Distress</v>
      </c>
      <c r="AC125" s="10">
        <f t="shared" si="23"/>
        <v>0</v>
      </c>
      <c r="AE125" s="10">
        <f t="shared" si="24"/>
        <v>0</v>
      </c>
      <c r="AG125" s="13">
        <f t="shared" si="25"/>
        <v>0.5</v>
      </c>
      <c r="AH125" s="13">
        <f t="shared" si="26"/>
        <v>0.5</v>
      </c>
      <c r="AI125" s="10">
        <f t="shared" si="27"/>
        <v>0.25</v>
      </c>
    </row>
    <row r="126" spans="1:35" x14ac:dyDescent="0.3">
      <c r="A126" t="s">
        <v>46</v>
      </c>
      <c r="B126">
        <v>2024</v>
      </c>
      <c r="C126" s="3">
        <v>224697000000</v>
      </c>
      <c r="D126" s="3">
        <v>146288000000</v>
      </c>
      <c r="E126" s="3">
        <v>4200319000000</v>
      </c>
      <c r="F126" s="3">
        <v>3591721000000</v>
      </c>
      <c r="G126" s="3">
        <v>3231021000000</v>
      </c>
      <c r="H126" s="3">
        <v>2547153000000</v>
      </c>
      <c r="I126" s="3">
        <v>969298000000</v>
      </c>
      <c r="J126" s="3">
        <v>193116000000</v>
      </c>
      <c r="K126" s="3">
        <v>1044568000000</v>
      </c>
      <c r="M126" s="3">
        <v>9766108000000</v>
      </c>
      <c r="N126" s="3">
        <v>68186000000</v>
      </c>
      <c r="O126" s="3">
        <v>2714137000000</v>
      </c>
      <c r="P126">
        <f t="shared" si="28"/>
        <v>2.4557604399861983</v>
      </c>
      <c r="Q126">
        <f t="shared" si="29"/>
        <v>0</v>
      </c>
      <c r="R126" t="str">
        <f t="shared" si="20"/>
        <v>Grey Area</v>
      </c>
      <c r="S126">
        <f t="shared" si="30"/>
        <v>0.24868777823779575</v>
      </c>
      <c r="T126">
        <f t="shared" si="31"/>
        <v>4.5976507974751439E-2</v>
      </c>
      <c r="U126">
        <f t="shared" si="32"/>
        <v>5.3495222624757789E-2</v>
      </c>
      <c r="V126">
        <f t="shared" si="33"/>
        <v>0.29999743115256755</v>
      </c>
      <c r="X126" s="13">
        <f t="shared" si="21"/>
        <v>1.9423233427410798</v>
      </c>
      <c r="Y126" s="10"/>
      <c r="Z126" s="10"/>
      <c r="AB126" s="10" t="str">
        <f t="shared" si="22"/>
        <v>Non-Distress</v>
      </c>
      <c r="AC126" s="10">
        <f t="shared" si="23"/>
        <v>0</v>
      </c>
      <c r="AE126" s="10">
        <f t="shared" si="24"/>
        <v>0</v>
      </c>
      <c r="AG126" s="13">
        <f t="shared" si="25"/>
        <v>0.5</v>
      </c>
      <c r="AH126" s="13">
        <f t="shared" si="26"/>
        <v>0.5</v>
      </c>
      <c r="AI126" s="10">
        <f t="shared" si="27"/>
        <v>0.25</v>
      </c>
    </row>
    <row r="127" spans="1:35" x14ac:dyDescent="0.3">
      <c r="A127" t="s">
        <v>46</v>
      </c>
      <c r="B127">
        <v>2023</v>
      </c>
      <c r="C127" s="3">
        <v>291837000000</v>
      </c>
      <c r="D127" s="3">
        <v>115168000000</v>
      </c>
      <c r="E127" s="3">
        <v>4336194000000</v>
      </c>
      <c r="F127" s="3">
        <v>3925960000000</v>
      </c>
      <c r="G127" s="3">
        <v>3433778000000</v>
      </c>
      <c r="H127" s="3">
        <v>2659659000000</v>
      </c>
      <c r="I127" s="3">
        <v>902416000000</v>
      </c>
      <c r="J127" s="3">
        <v>215359000000</v>
      </c>
      <c r="K127" s="3">
        <v>1266301000000</v>
      </c>
      <c r="M127" s="3">
        <v>10319437000000</v>
      </c>
      <c r="N127" s="3">
        <v>144242000000</v>
      </c>
      <c r="O127" s="3">
        <v>2987469000000</v>
      </c>
      <c r="P127">
        <f t="shared" si="28"/>
        <v>2.80584869890165</v>
      </c>
      <c r="Q127">
        <f t="shared" si="29"/>
        <v>0</v>
      </c>
      <c r="R127" t="str">
        <f t="shared" si="20"/>
        <v>Safe</v>
      </c>
      <c r="S127">
        <f t="shared" si="30"/>
        <v>0.29203052261960605</v>
      </c>
      <c r="T127">
        <f t="shared" si="31"/>
        <v>4.9665443935395882E-2</v>
      </c>
      <c r="U127">
        <f t="shared" si="32"/>
        <v>6.7302569949591745E-2</v>
      </c>
      <c r="V127">
        <f t="shared" si="33"/>
        <v>0.26280557450132186</v>
      </c>
      <c r="X127" s="13">
        <f t="shared" si="21"/>
        <v>2.2845161317485059</v>
      </c>
      <c r="Y127" s="10"/>
      <c r="Z127" s="10"/>
      <c r="AB127" s="10" t="str">
        <f t="shared" si="22"/>
        <v>Non-Distress</v>
      </c>
      <c r="AC127" s="10">
        <f t="shared" si="23"/>
        <v>0</v>
      </c>
      <c r="AE127" s="10">
        <f t="shared" si="24"/>
        <v>0</v>
      </c>
      <c r="AG127" s="13">
        <f t="shared" si="25"/>
        <v>0.5</v>
      </c>
      <c r="AH127" s="13">
        <f t="shared" si="26"/>
        <v>0.5</v>
      </c>
      <c r="AI127" s="10">
        <f t="shared" si="27"/>
        <v>0.25</v>
      </c>
    </row>
    <row r="128" spans="1:35" x14ac:dyDescent="0.3">
      <c r="A128" t="s">
        <v>46</v>
      </c>
      <c r="B128">
        <v>2022</v>
      </c>
      <c r="C128" s="3">
        <v>361922000000</v>
      </c>
      <c r="D128" s="3">
        <v>76458000000</v>
      </c>
      <c r="E128" s="3">
        <v>3019974000000</v>
      </c>
      <c r="F128" s="3">
        <v>2600405000000</v>
      </c>
      <c r="G128" s="3">
        <v>2250454000000</v>
      </c>
      <c r="H128" s="3">
        <v>2066899000000</v>
      </c>
      <c r="I128" s="3">
        <v>769520000000</v>
      </c>
      <c r="J128" s="3">
        <v>71445000000</v>
      </c>
      <c r="K128" s="3">
        <v>533506000000</v>
      </c>
      <c r="M128" s="3">
        <v>9619267000000</v>
      </c>
      <c r="N128" s="3">
        <v>223147000000</v>
      </c>
      <c r="O128" s="3">
        <v>1241395000000</v>
      </c>
      <c r="P128">
        <f t="shared" si="28"/>
        <v>2.400387541680252</v>
      </c>
      <c r="Q128">
        <f t="shared" si="29"/>
        <v>0</v>
      </c>
      <c r="R128" t="str">
        <f t="shared" si="20"/>
        <v>Grey Area</v>
      </c>
      <c r="S128">
        <f t="shared" si="30"/>
        <v>0.17665913680051551</v>
      </c>
      <c r="T128">
        <f t="shared" si="31"/>
        <v>2.3657488441953475E-2</v>
      </c>
      <c r="U128">
        <f t="shared" si="32"/>
        <v>0.11984275361311057</v>
      </c>
      <c r="V128">
        <f t="shared" si="33"/>
        <v>0.34193989301714234</v>
      </c>
      <c r="X128" s="13">
        <f t="shared" si="21"/>
        <v>1.7516816525504137</v>
      </c>
      <c r="Y128" s="10"/>
      <c r="Z128" s="10"/>
      <c r="AB128" s="10" t="str">
        <f t="shared" si="22"/>
        <v>Non-Distress</v>
      </c>
      <c r="AC128" s="10">
        <f t="shared" si="23"/>
        <v>0</v>
      </c>
      <c r="AE128" s="10">
        <f t="shared" si="24"/>
        <v>0</v>
      </c>
      <c r="AG128" s="13">
        <f t="shared" si="25"/>
        <v>0.5</v>
      </c>
      <c r="AH128" s="13">
        <f t="shared" si="26"/>
        <v>0.5</v>
      </c>
      <c r="AI128" s="10">
        <f t="shared" si="27"/>
        <v>0.25</v>
      </c>
    </row>
    <row r="129" spans="1:35" x14ac:dyDescent="0.3">
      <c r="A129" t="s">
        <v>47</v>
      </c>
      <c r="B129">
        <v>2025</v>
      </c>
      <c r="C129" s="3">
        <v>274951132282</v>
      </c>
      <c r="D129" s="3">
        <v>8305889589</v>
      </c>
      <c r="E129" s="3">
        <v>2486504040595</v>
      </c>
      <c r="F129" s="3">
        <v>2207498269180</v>
      </c>
      <c r="G129" s="3">
        <v>473850200451</v>
      </c>
      <c r="H129" s="3">
        <v>430415311837</v>
      </c>
      <c r="I129" s="3">
        <v>2012653840144</v>
      </c>
      <c r="J129" s="3">
        <v>1741689297168</v>
      </c>
      <c r="K129" s="3">
        <v>1777082957343</v>
      </c>
      <c r="M129" s="3">
        <v>9733304188977</v>
      </c>
      <c r="N129" s="3">
        <v>194596328640</v>
      </c>
      <c r="P129">
        <f t="shared" si="28"/>
        <v>12.174765257893545</v>
      </c>
      <c r="Q129">
        <f t="shared" si="29"/>
        <v>0</v>
      </c>
      <c r="R129" t="str">
        <f t="shared" si="20"/>
        <v>Safe</v>
      </c>
      <c r="S129">
        <f t="shared" si="30"/>
        <v>0.71469136117621535</v>
      </c>
      <c r="T129">
        <f t="shared" si="31"/>
        <v>0.70045705485812448</v>
      </c>
      <c r="U129">
        <f t="shared" si="32"/>
        <v>0.11057739211081533</v>
      </c>
      <c r="V129">
        <f t="shared" si="33"/>
        <v>4.2474474807194369</v>
      </c>
      <c r="X129" s="13">
        <f t="shared" si="21"/>
        <v>7.3813523193004569</v>
      </c>
      <c r="Y129" s="10"/>
      <c r="Z129" s="10"/>
      <c r="AB129" s="10" t="str">
        <f t="shared" si="22"/>
        <v>Non-Distress</v>
      </c>
      <c r="AC129" s="10">
        <f t="shared" si="23"/>
        <v>0</v>
      </c>
      <c r="AE129" s="10">
        <f t="shared" si="24"/>
        <v>0</v>
      </c>
      <c r="AG129" s="13">
        <f t="shared" si="25"/>
        <v>0.5</v>
      </c>
      <c r="AH129" s="13">
        <f t="shared" si="26"/>
        <v>0.5</v>
      </c>
      <c r="AI129" s="10">
        <f t="shared" si="27"/>
        <v>0.25</v>
      </c>
    </row>
    <row r="130" spans="1:35" x14ac:dyDescent="0.3">
      <c r="A130" t="s">
        <v>47</v>
      </c>
      <c r="B130">
        <v>2024</v>
      </c>
      <c r="C130" s="3">
        <v>413215493617</v>
      </c>
      <c r="D130" s="3">
        <v>466811907</v>
      </c>
      <c r="E130" s="3">
        <v>2385281736023</v>
      </c>
      <c r="F130" s="3">
        <v>2076912812377</v>
      </c>
      <c r="G130" s="3">
        <v>476490666860</v>
      </c>
      <c r="H130" s="3">
        <v>437745255246</v>
      </c>
      <c r="I130" s="3">
        <v>1908791069163</v>
      </c>
      <c r="J130" s="3">
        <v>1636842968528</v>
      </c>
      <c r="K130" s="3">
        <v>1639167557131</v>
      </c>
      <c r="M130" s="3">
        <v>8002904770455</v>
      </c>
      <c r="N130" s="3">
        <v>324942516449</v>
      </c>
      <c r="P130">
        <f t="shared" si="28"/>
        <v>12.115510281977304</v>
      </c>
      <c r="Q130">
        <f t="shared" si="29"/>
        <v>0</v>
      </c>
      <c r="R130" t="str">
        <f t="shared" ref="R130:R193" si="34">IF(P130&lt;1.1, "Distress", IF(P130&lt;=2.6, "Grey Area", "Safe"))</f>
        <v>Safe</v>
      </c>
      <c r="S130">
        <f t="shared" si="30"/>
        <v>0.68720081673203004</v>
      </c>
      <c r="T130">
        <f t="shared" si="31"/>
        <v>0.68622626158078992</v>
      </c>
      <c r="U130">
        <f t="shared" si="32"/>
        <v>0.17323550814838234</v>
      </c>
      <c r="V130">
        <f t="shared" si="33"/>
        <v>4.0059359016235065</v>
      </c>
      <c r="X130" s="13">
        <f t="shared" ref="X130:X193" si="35">(S130 * $T$729) + (T130 * $T$730) + (U130 * $T$731) + (V130 * $T$732)</f>
        <v>7.4594115340451941</v>
      </c>
      <c r="Y130" s="10"/>
      <c r="Z130" s="10"/>
      <c r="AB130" s="10" t="str">
        <f t="shared" si="22"/>
        <v>Non-Distress</v>
      </c>
      <c r="AC130" s="10">
        <f t="shared" si="23"/>
        <v>0</v>
      </c>
      <c r="AE130" s="10">
        <f t="shared" si="24"/>
        <v>0</v>
      </c>
      <c r="AG130" s="13">
        <f t="shared" si="25"/>
        <v>0.5</v>
      </c>
      <c r="AH130" s="13">
        <f t="shared" si="26"/>
        <v>0.5</v>
      </c>
      <c r="AI130" s="10">
        <f t="shared" si="27"/>
        <v>0.25</v>
      </c>
    </row>
    <row r="131" spans="1:35" x14ac:dyDescent="0.3">
      <c r="A131" t="s">
        <v>47</v>
      </c>
      <c r="B131">
        <v>2023</v>
      </c>
      <c r="C131" s="3">
        <v>195870358541</v>
      </c>
      <c r="D131" s="3">
        <v>62737431</v>
      </c>
      <c r="E131" s="3">
        <v>1893560797758</v>
      </c>
      <c r="F131" s="3">
        <v>1581591507205</v>
      </c>
      <c r="G131" s="3">
        <v>251275135465</v>
      </c>
      <c r="H131" s="3">
        <v>217016302851</v>
      </c>
      <c r="I131" s="3">
        <v>1642285662293</v>
      </c>
      <c r="J131" s="3">
        <v>1371900452079</v>
      </c>
      <c r="K131" s="3">
        <v>1364575204354</v>
      </c>
      <c r="M131" s="3">
        <v>6337428625946</v>
      </c>
      <c r="N131" s="3">
        <v>153574779624</v>
      </c>
      <c r="P131">
        <f t="shared" si="28"/>
        <v>14.647008939132938</v>
      </c>
      <c r="Q131">
        <f t="shared" si="29"/>
        <v>0</v>
      </c>
      <c r="R131" t="str">
        <f t="shared" si="34"/>
        <v>Safe</v>
      </c>
      <c r="S131">
        <f t="shared" si="30"/>
        <v>0.72063976291105858</v>
      </c>
      <c r="T131">
        <f t="shared" si="31"/>
        <v>0.72450826701912474</v>
      </c>
      <c r="U131">
        <f t="shared" si="32"/>
        <v>0.10344022688519586</v>
      </c>
      <c r="V131">
        <f t="shared" si="33"/>
        <v>6.5358064945576491</v>
      </c>
      <c r="X131" s="13">
        <f t="shared" si="35"/>
        <v>7.5603207341774645</v>
      </c>
      <c r="Y131" s="10"/>
      <c r="Z131" s="10"/>
      <c r="AB131" s="10" t="str">
        <f t="shared" ref="AB131:AB194" si="36">IF(X131 &lt; AA131, "Distress", "Non-Distress")</f>
        <v>Non-Distress</v>
      </c>
      <c r="AC131" s="10">
        <f t="shared" ref="AC131:AC194" si="37">IF(X131 &lt; AA131, 1, 0)</f>
        <v>0</v>
      </c>
      <c r="AE131" s="10">
        <f t="shared" ref="AE131:AE194" si="38">IF(VALUE(TRIM(P131))&lt;=1.1, 1, 0)</f>
        <v>0</v>
      </c>
      <c r="AG131" s="13">
        <f t="shared" ref="AG131:AG194" si="39">1/(1+EXP(-Q131))</f>
        <v>0.5</v>
      </c>
      <c r="AH131" s="13">
        <f t="shared" ref="AH131:AH194" si="40">AG131-Q131</f>
        <v>0.5</v>
      </c>
      <c r="AI131" s="10">
        <f t="shared" ref="AI131:AI194" si="41">AG131*(1-AG131)</f>
        <v>0.25</v>
      </c>
    </row>
    <row r="132" spans="1:35" x14ac:dyDescent="0.3">
      <c r="A132" t="s">
        <v>47</v>
      </c>
      <c r="B132">
        <v>2022</v>
      </c>
      <c r="C132" s="3">
        <v>283578695781</v>
      </c>
      <c r="D132" s="3">
        <v>429589798</v>
      </c>
      <c r="E132" s="3">
        <v>1718287453575</v>
      </c>
      <c r="F132" s="3">
        <v>1383998340429</v>
      </c>
      <c r="G132" s="3">
        <v>168244583827</v>
      </c>
      <c r="H132" s="3">
        <v>139037021213</v>
      </c>
      <c r="I132" s="3">
        <v>1550042869748</v>
      </c>
      <c r="J132" s="3">
        <v>1278325672455</v>
      </c>
      <c r="K132" s="3">
        <v>1244961319216</v>
      </c>
      <c r="M132" s="3">
        <v>6143759424928</v>
      </c>
      <c r="N132" s="3">
        <v>220704543072</v>
      </c>
      <c r="P132">
        <f t="shared" si="28"/>
        <v>17.960968827683956</v>
      </c>
      <c r="Q132">
        <f t="shared" si="29"/>
        <v>0</v>
      </c>
      <c r="R132" t="str">
        <f t="shared" si="34"/>
        <v>Safe</v>
      </c>
      <c r="S132">
        <f t="shared" si="30"/>
        <v>0.72453611683294517</v>
      </c>
      <c r="T132">
        <f t="shared" si="31"/>
        <v>0.7439533296919365</v>
      </c>
      <c r="U132">
        <f t="shared" si="32"/>
        <v>0.16503565523393512</v>
      </c>
      <c r="V132">
        <f t="shared" si="33"/>
        <v>9.213032803135313</v>
      </c>
      <c r="X132" s="13">
        <f t="shared" si="35"/>
        <v>8.060838069062406</v>
      </c>
      <c r="Y132" s="10"/>
      <c r="Z132" s="10"/>
      <c r="AB132" s="10" t="str">
        <f t="shared" si="36"/>
        <v>Non-Distress</v>
      </c>
      <c r="AC132" s="10">
        <f t="shared" si="37"/>
        <v>0</v>
      </c>
      <c r="AE132" s="10">
        <f t="shared" si="38"/>
        <v>0</v>
      </c>
      <c r="AG132" s="13">
        <f t="shared" si="39"/>
        <v>0.5</v>
      </c>
      <c r="AH132" s="13">
        <f t="shared" si="40"/>
        <v>0.5</v>
      </c>
      <c r="AI132" s="10">
        <f t="shared" si="41"/>
        <v>0.25</v>
      </c>
    </row>
    <row r="133" spans="1:35" x14ac:dyDescent="0.3">
      <c r="A133" t="s">
        <v>48</v>
      </c>
      <c r="B133">
        <v>2025</v>
      </c>
      <c r="C133" s="3">
        <v>24630351799</v>
      </c>
      <c r="D133" s="3">
        <v>2553994405</v>
      </c>
      <c r="E133" s="3">
        <v>399449291197</v>
      </c>
      <c r="F133" s="3">
        <v>246212226591</v>
      </c>
      <c r="G133" s="3">
        <v>119934781490</v>
      </c>
      <c r="H133" s="3">
        <v>90077002478</v>
      </c>
      <c r="I133" s="3">
        <v>264496418269</v>
      </c>
      <c r="J133" s="3">
        <v>21351694085</v>
      </c>
      <c r="K133" s="3">
        <v>156135224113</v>
      </c>
      <c r="M133" s="3">
        <v>611897173968</v>
      </c>
      <c r="N133" s="3">
        <v>14214805092</v>
      </c>
      <c r="O133" s="3">
        <v>38889329711</v>
      </c>
      <c r="P133">
        <f t="shared" si="28"/>
        <v>5.4683666912969979</v>
      </c>
      <c r="Q133">
        <f t="shared" si="29"/>
        <v>0</v>
      </c>
      <c r="R133" t="str">
        <f t="shared" si="34"/>
        <v>Safe</v>
      </c>
      <c r="S133">
        <f t="shared" si="30"/>
        <v>0.39087620770366416</v>
      </c>
      <c r="T133">
        <f t="shared" si="31"/>
        <v>5.3452827569219027E-2</v>
      </c>
      <c r="U133">
        <f t="shared" si="32"/>
        <v>6.1660772322794856E-2</v>
      </c>
      <c r="V133">
        <f t="shared" si="33"/>
        <v>2.2053353913105962</v>
      </c>
      <c r="X133" s="13">
        <f t="shared" si="35"/>
        <v>2.9572285948171007</v>
      </c>
      <c r="Y133" s="10"/>
      <c r="Z133" s="10"/>
      <c r="AB133" s="10" t="str">
        <f t="shared" si="36"/>
        <v>Non-Distress</v>
      </c>
      <c r="AC133" s="10">
        <f t="shared" si="37"/>
        <v>0</v>
      </c>
      <c r="AE133" s="10">
        <f t="shared" si="38"/>
        <v>0</v>
      </c>
      <c r="AG133" s="13">
        <f t="shared" si="39"/>
        <v>0.5</v>
      </c>
      <c r="AH133" s="13">
        <f t="shared" si="40"/>
        <v>0.5</v>
      </c>
      <c r="AI133" s="10">
        <f t="shared" si="41"/>
        <v>0.25</v>
      </c>
    </row>
    <row r="134" spans="1:35" x14ac:dyDescent="0.3">
      <c r="A134" t="s">
        <v>48</v>
      </c>
      <c r="B134">
        <v>2024</v>
      </c>
      <c r="C134" s="3">
        <v>19804707955</v>
      </c>
      <c r="D134" s="3">
        <v>5576878170</v>
      </c>
      <c r="E134" s="3">
        <v>361347930430</v>
      </c>
      <c r="F134" s="3">
        <v>239157586204</v>
      </c>
      <c r="G134" s="3">
        <v>97245089290</v>
      </c>
      <c r="H134" s="3">
        <v>64318425815</v>
      </c>
      <c r="I134" s="3">
        <v>253002290261</v>
      </c>
      <c r="J134" s="3">
        <v>12842940097</v>
      </c>
      <c r="K134" s="3">
        <v>174839160389</v>
      </c>
      <c r="M134" s="3">
        <v>508498255069</v>
      </c>
      <c r="N134" s="3">
        <v>9412102208</v>
      </c>
      <c r="O134" s="3">
        <v>21371270715</v>
      </c>
      <c r="P134">
        <f t="shared" si="28"/>
        <v>6.390030680289124</v>
      </c>
      <c r="Q134">
        <f t="shared" si="29"/>
        <v>0</v>
      </c>
      <c r="R134" t="str">
        <f t="shared" si="34"/>
        <v>Safe</v>
      </c>
      <c r="S134">
        <f t="shared" si="30"/>
        <v>0.48385266848199004</v>
      </c>
      <c r="T134">
        <f t="shared" si="31"/>
        <v>3.5541756339152256E-2</v>
      </c>
      <c r="U134">
        <f t="shared" si="32"/>
        <v>5.4807863245356407E-2</v>
      </c>
      <c r="V134">
        <f t="shared" si="33"/>
        <v>2.6016973413074647</v>
      </c>
      <c r="X134" s="13">
        <f t="shared" si="35"/>
        <v>3.4506686406624052</v>
      </c>
      <c r="Y134" s="10"/>
      <c r="Z134" s="10"/>
      <c r="AB134" s="10" t="str">
        <f t="shared" si="36"/>
        <v>Non-Distress</v>
      </c>
      <c r="AC134" s="10">
        <f t="shared" si="37"/>
        <v>0</v>
      </c>
      <c r="AE134" s="10">
        <f t="shared" si="38"/>
        <v>0</v>
      </c>
      <c r="AG134" s="13">
        <f t="shared" si="39"/>
        <v>0.5</v>
      </c>
      <c r="AH134" s="13">
        <f t="shared" si="40"/>
        <v>0.5</v>
      </c>
      <c r="AI134" s="10">
        <f t="shared" si="41"/>
        <v>0.25</v>
      </c>
    </row>
    <row r="135" spans="1:35" x14ac:dyDescent="0.3">
      <c r="A135" t="s">
        <v>48</v>
      </c>
      <c r="B135">
        <v>2023</v>
      </c>
      <c r="C135" s="3">
        <v>13583890910</v>
      </c>
      <c r="D135" s="3">
        <v>2398373420</v>
      </c>
      <c r="E135" s="3">
        <v>190740337219</v>
      </c>
      <c r="F135" s="3">
        <v>79288196039</v>
      </c>
      <c r="G135" s="3">
        <v>108549642846</v>
      </c>
      <c r="H135" s="3">
        <v>65711215198</v>
      </c>
      <c r="I135" s="3">
        <v>71436900335</v>
      </c>
      <c r="J135" s="3">
        <v>6645124139</v>
      </c>
      <c r="K135" s="3">
        <v>13576980841</v>
      </c>
      <c r="M135" s="3">
        <v>377588881905</v>
      </c>
      <c r="N135" s="3">
        <v>8143343415</v>
      </c>
      <c r="O135" s="3">
        <v>35578485099</v>
      </c>
      <c r="P135">
        <f t="shared" si="28"/>
        <v>1.750102151025215</v>
      </c>
      <c r="Q135">
        <f t="shared" si="29"/>
        <v>0</v>
      </c>
      <c r="R135" t="str">
        <f t="shared" si="34"/>
        <v>Grey Area</v>
      </c>
      <c r="S135">
        <f t="shared" si="30"/>
        <v>7.1180438490110687E-2</v>
      </c>
      <c r="T135">
        <f t="shared" si="31"/>
        <v>3.4838588606301714E-2</v>
      </c>
      <c r="U135">
        <f t="shared" si="32"/>
        <v>7.1216666112965663E-2</v>
      </c>
      <c r="V135">
        <f t="shared" si="33"/>
        <v>0.65810350418515828</v>
      </c>
      <c r="X135" s="13">
        <f t="shared" si="35"/>
        <v>0.9220094362987572</v>
      </c>
      <c r="Y135" s="10"/>
      <c r="Z135" s="10"/>
      <c r="AB135" s="10" t="str">
        <f t="shared" si="36"/>
        <v>Non-Distress</v>
      </c>
      <c r="AC135" s="10">
        <f t="shared" si="37"/>
        <v>0</v>
      </c>
      <c r="AE135" s="10">
        <f t="shared" si="38"/>
        <v>0</v>
      </c>
      <c r="AG135" s="13">
        <f t="shared" si="39"/>
        <v>0.5</v>
      </c>
      <c r="AH135" s="13">
        <f t="shared" si="40"/>
        <v>0.5</v>
      </c>
      <c r="AI135" s="10">
        <f t="shared" si="41"/>
        <v>0.25</v>
      </c>
    </row>
    <row r="136" spans="1:35" x14ac:dyDescent="0.3">
      <c r="A136" t="s">
        <v>48</v>
      </c>
      <c r="B136">
        <v>2022</v>
      </c>
      <c r="C136" s="3">
        <v>17828021557</v>
      </c>
      <c r="D136" s="3">
        <v>2575851297</v>
      </c>
      <c r="E136" s="3">
        <v>179775354436</v>
      </c>
      <c r="F136" s="3">
        <v>71158094351</v>
      </c>
      <c r="G136" s="3">
        <v>102275450942</v>
      </c>
      <c r="H136" s="3">
        <v>48945600088</v>
      </c>
      <c r="I136" s="3">
        <v>66863650201</v>
      </c>
      <c r="J136" s="3">
        <v>64501780724</v>
      </c>
      <c r="K136" s="3">
        <v>22212494263</v>
      </c>
      <c r="M136" s="3">
        <v>423553944251</v>
      </c>
      <c r="N136" s="3">
        <v>11331090112</v>
      </c>
      <c r="O136" s="3">
        <v>42434595318</v>
      </c>
      <c r="P136">
        <f t="shared" si="28"/>
        <v>3.3330519726899355</v>
      </c>
      <c r="Q136">
        <f t="shared" si="29"/>
        <v>0</v>
      </c>
      <c r="R136" t="str">
        <f t="shared" si="34"/>
        <v>Safe</v>
      </c>
      <c r="S136">
        <f t="shared" si="30"/>
        <v>0.12355694879693671</v>
      </c>
      <c r="T136">
        <f t="shared" si="31"/>
        <v>0.35879100851369827</v>
      </c>
      <c r="U136">
        <f t="shared" si="32"/>
        <v>9.9168329345982589E-2</v>
      </c>
      <c r="V136">
        <f t="shared" si="33"/>
        <v>0.65376050249749673</v>
      </c>
      <c r="X136" s="13">
        <f t="shared" si="35"/>
        <v>2.4389463769212467</v>
      </c>
      <c r="Y136" s="10"/>
      <c r="Z136" s="10"/>
      <c r="AB136" s="10" t="str">
        <f t="shared" si="36"/>
        <v>Non-Distress</v>
      </c>
      <c r="AC136" s="10">
        <f t="shared" si="37"/>
        <v>0</v>
      </c>
      <c r="AE136" s="10">
        <f t="shared" si="38"/>
        <v>0</v>
      </c>
      <c r="AG136" s="13">
        <f t="shared" si="39"/>
        <v>0.5</v>
      </c>
      <c r="AH136" s="13">
        <f t="shared" si="40"/>
        <v>0.5</v>
      </c>
      <c r="AI136" s="10">
        <f t="shared" si="41"/>
        <v>0.25</v>
      </c>
    </row>
    <row r="137" spans="1:35" x14ac:dyDescent="0.3">
      <c r="A137" t="s">
        <v>49</v>
      </c>
      <c r="B137">
        <v>2025</v>
      </c>
      <c r="C137" s="3">
        <v>522773857643</v>
      </c>
      <c r="D137" s="3">
        <v>26689248524</v>
      </c>
      <c r="E137" s="3">
        <v>3018785594684</v>
      </c>
      <c r="F137" s="3">
        <v>508899817495</v>
      </c>
      <c r="G137" s="3">
        <v>706660921371</v>
      </c>
      <c r="H137" s="3">
        <v>326305467460</v>
      </c>
      <c r="I137" s="3">
        <v>2248986533367</v>
      </c>
      <c r="J137" s="3">
        <v>1698043467969</v>
      </c>
      <c r="K137" s="3">
        <v>182594350035</v>
      </c>
      <c r="M137" s="3">
        <v>2825631197247</v>
      </c>
      <c r="N137" s="3">
        <v>381820570794</v>
      </c>
      <c r="O137" s="3">
        <v>426841963321</v>
      </c>
      <c r="P137">
        <f t="shared" si="28"/>
        <v>6.7359210738399238</v>
      </c>
      <c r="Q137">
        <f t="shared" si="29"/>
        <v>0</v>
      </c>
      <c r="R137" t="str">
        <f t="shared" si="34"/>
        <v>Safe</v>
      </c>
      <c r="S137">
        <f t="shared" si="30"/>
        <v>6.0486028009588931E-2</v>
      </c>
      <c r="T137">
        <f t="shared" si="31"/>
        <v>0.56249223891859323</v>
      </c>
      <c r="U137">
        <f t="shared" si="32"/>
        <v>0.17317356309225493</v>
      </c>
      <c r="V137">
        <f t="shared" si="33"/>
        <v>3.1825539878499556</v>
      </c>
      <c r="X137" s="13">
        <f t="shared" si="35"/>
        <v>3.1877361256520254</v>
      </c>
      <c r="Y137" s="10"/>
      <c r="Z137" s="10"/>
      <c r="AB137" s="10" t="str">
        <f t="shared" si="36"/>
        <v>Non-Distress</v>
      </c>
      <c r="AC137" s="10">
        <f t="shared" si="37"/>
        <v>0</v>
      </c>
      <c r="AE137" s="10">
        <f t="shared" si="38"/>
        <v>0</v>
      </c>
      <c r="AG137" s="13">
        <f t="shared" si="39"/>
        <v>0.5</v>
      </c>
      <c r="AH137" s="13">
        <f t="shared" si="40"/>
        <v>0.5</v>
      </c>
      <c r="AI137" s="10">
        <f t="shared" si="41"/>
        <v>0.25</v>
      </c>
    </row>
    <row r="138" spans="1:35" x14ac:dyDescent="0.3">
      <c r="A138" t="s">
        <v>49</v>
      </c>
      <c r="B138">
        <v>2024</v>
      </c>
      <c r="C138" s="3">
        <v>635171947615</v>
      </c>
      <c r="D138" s="3">
        <v>30332554777</v>
      </c>
      <c r="E138" s="3">
        <v>2663387006912</v>
      </c>
      <c r="F138" s="3">
        <v>457203260191</v>
      </c>
      <c r="G138" s="3">
        <v>733610559278</v>
      </c>
      <c r="H138" s="3">
        <v>379826463148</v>
      </c>
      <c r="I138" s="3">
        <v>1874412809808</v>
      </c>
      <c r="J138" s="3">
        <v>1377222897175</v>
      </c>
      <c r="K138" s="3">
        <v>77376797043</v>
      </c>
      <c r="M138" s="3">
        <v>2696813747786</v>
      </c>
      <c r="N138" s="3">
        <v>465157220395</v>
      </c>
      <c r="O138" s="3">
        <v>452891282279</v>
      </c>
      <c r="P138">
        <f t="shared" si="28"/>
        <v>6.1617179870879237</v>
      </c>
      <c r="Q138">
        <f t="shared" si="29"/>
        <v>0</v>
      </c>
      <c r="R138" t="str">
        <f t="shared" si="34"/>
        <v>Safe</v>
      </c>
      <c r="S138">
        <f t="shared" si="30"/>
        <v>2.9052029180210152E-2</v>
      </c>
      <c r="T138">
        <f t="shared" si="31"/>
        <v>0.51709454675600752</v>
      </c>
      <c r="U138">
        <f t="shared" si="32"/>
        <v>0.23848278375114357</v>
      </c>
      <c r="V138">
        <f t="shared" si="33"/>
        <v>2.5550515680318822</v>
      </c>
      <c r="X138" s="13">
        <f t="shared" si="35"/>
        <v>3.1357826017819606</v>
      </c>
      <c r="Y138" s="10"/>
      <c r="Z138" s="10"/>
      <c r="AB138" s="10" t="str">
        <f t="shared" si="36"/>
        <v>Non-Distress</v>
      </c>
      <c r="AC138" s="10">
        <f t="shared" si="37"/>
        <v>0</v>
      </c>
      <c r="AE138" s="10">
        <f t="shared" si="38"/>
        <v>0</v>
      </c>
      <c r="AG138" s="13">
        <f t="shared" si="39"/>
        <v>0.5</v>
      </c>
      <c r="AH138" s="13">
        <f t="shared" si="40"/>
        <v>0.5</v>
      </c>
      <c r="AI138" s="10">
        <f t="shared" si="41"/>
        <v>0.25</v>
      </c>
    </row>
    <row r="139" spans="1:35" x14ac:dyDescent="0.3">
      <c r="A139" t="s">
        <v>49</v>
      </c>
      <c r="B139">
        <v>2023</v>
      </c>
      <c r="C139" s="3">
        <v>433002389825</v>
      </c>
      <c r="D139" s="3">
        <v>20794275500</v>
      </c>
      <c r="E139" s="3">
        <v>2296227711688</v>
      </c>
      <c r="F139" s="3">
        <v>533003540931</v>
      </c>
      <c r="G139" s="3">
        <v>781642680910</v>
      </c>
      <c r="H139" s="3">
        <v>441890974677</v>
      </c>
      <c r="I139" s="3">
        <v>1468177503332</v>
      </c>
      <c r="J139" s="3">
        <v>972765098175</v>
      </c>
      <c r="K139" s="3">
        <v>91112566254</v>
      </c>
      <c r="M139" s="3">
        <v>2090115884030</v>
      </c>
      <c r="N139" s="3">
        <v>305779257892</v>
      </c>
      <c r="O139" s="3">
        <v>524227502714</v>
      </c>
      <c r="P139">
        <f t="shared" si="28"/>
        <v>4.8807873401005946</v>
      </c>
      <c r="Q139">
        <f t="shared" si="29"/>
        <v>0</v>
      </c>
      <c r="R139" t="str">
        <f t="shared" si="34"/>
        <v>Safe</v>
      </c>
      <c r="S139">
        <f t="shared" si="30"/>
        <v>3.9679238165374046E-2</v>
      </c>
      <c r="T139">
        <f t="shared" si="31"/>
        <v>0.42363616344474048</v>
      </c>
      <c r="U139">
        <f t="shared" si="32"/>
        <v>0.18857118900750999</v>
      </c>
      <c r="V139">
        <f t="shared" si="33"/>
        <v>1.8783230997861144</v>
      </c>
      <c r="X139" s="13">
        <f t="shared" si="35"/>
        <v>2.6239047043776136</v>
      </c>
      <c r="Y139" s="10"/>
      <c r="Z139" s="10"/>
      <c r="AB139" s="10" t="str">
        <f t="shared" si="36"/>
        <v>Non-Distress</v>
      </c>
      <c r="AC139" s="10">
        <f t="shared" si="37"/>
        <v>0</v>
      </c>
      <c r="AE139" s="10">
        <f t="shared" si="38"/>
        <v>0</v>
      </c>
      <c r="AG139" s="13">
        <f t="shared" si="39"/>
        <v>0.5</v>
      </c>
      <c r="AH139" s="13">
        <f t="shared" si="40"/>
        <v>0.5</v>
      </c>
      <c r="AI139" s="10">
        <f t="shared" si="41"/>
        <v>0.25</v>
      </c>
    </row>
    <row r="140" spans="1:35" x14ac:dyDescent="0.3">
      <c r="A140" t="s">
        <v>49</v>
      </c>
      <c r="B140">
        <v>2022</v>
      </c>
      <c r="C140" s="3">
        <v>265815716753</v>
      </c>
      <c r="D140" s="3">
        <v>15324325106</v>
      </c>
      <c r="E140" s="3">
        <v>1790304606780</v>
      </c>
      <c r="F140" s="3">
        <v>293595993980</v>
      </c>
      <c r="G140" s="3">
        <v>581132890435</v>
      </c>
      <c r="H140" s="3">
        <v>246628098395</v>
      </c>
      <c r="I140" s="3">
        <v>1209171716345</v>
      </c>
      <c r="J140" s="3">
        <v>686666568960</v>
      </c>
      <c r="K140" s="3">
        <v>46967895585</v>
      </c>
      <c r="M140" s="3">
        <v>1674053536287</v>
      </c>
      <c r="N140" s="3">
        <v>192467066577</v>
      </c>
      <c r="O140" s="3">
        <v>389129915857</v>
      </c>
      <c r="P140">
        <f t="shared" si="28"/>
        <v>4.6049664743984131</v>
      </c>
      <c r="Q140">
        <f t="shared" si="29"/>
        <v>0</v>
      </c>
      <c r="R140" t="str">
        <f t="shared" si="34"/>
        <v>Safe</v>
      </c>
      <c r="S140">
        <f t="shared" si="30"/>
        <v>2.6234583437438258E-2</v>
      </c>
      <c r="T140">
        <f t="shared" si="31"/>
        <v>0.38354733957537118</v>
      </c>
      <c r="U140">
        <f t="shared" si="32"/>
        <v>0.14847513420137479</v>
      </c>
      <c r="V140">
        <f t="shared" si="33"/>
        <v>2.0807146459046382</v>
      </c>
      <c r="X140" s="13">
        <f t="shared" si="35"/>
        <v>2.2250726837647954</v>
      </c>
      <c r="Y140" s="10"/>
      <c r="Z140" s="10"/>
      <c r="AB140" s="10" t="str">
        <f t="shared" si="36"/>
        <v>Non-Distress</v>
      </c>
      <c r="AC140" s="10">
        <f t="shared" si="37"/>
        <v>0</v>
      </c>
      <c r="AE140" s="10">
        <f t="shared" si="38"/>
        <v>0</v>
      </c>
      <c r="AG140" s="13">
        <f t="shared" si="39"/>
        <v>0.5</v>
      </c>
      <c r="AH140" s="13">
        <f t="shared" si="40"/>
        <v>0.5</v>
      </c>
      <c r="AI140" s="10">
        <f t="shared" si="41"/>
        <v>0.25</v>
      </c>
    </row>
    <row r="141" spans="1:35" x14ac:dyDescent="0.3">
      <c r="A141" t="s">
        <v>50</v>
      </c>
      <c r="B141">
        <v>2025</v>
      </c>
      <c r="C141" s="3">
        <v>88332203345</v>
      </c>
      <c r="D141" s="3">
        <v>3389946938</v>
      </c>
      <c r="E141" s="3">
        <v>851024116343</v>
      </c>
      <c r="F141" s="3">
        <v>746563784185</v>
      </c>
      <c r="G141" s="3">
        <v>251098297508</v>
      </c>
      <c r="H141" s="3">
        <v>235594066444</v>
      </c>
      <c r="I141" s="3">
        <v>599820615529</v>
      </c>
      <c r="J141" s="3">
        <v>524152866384</v>
      </c>
      <c r="K141" s="3">
        <v>510969717741</v>
      </c>
      <c r="M141" s="3">
        <v>979334277768</v>
      </c>
      <c r="N141" s="3">
        <v>68188518325</v>
      </c>
      <c r="O141" s="3">
        <v>51923674884</v>
      </c>
      <c r="P141">
        <f t="shared" si="28"/>
        <v>9.1523307177300133</v>
      </c>
      <c r="Q141">
        <f t="shared" si="29"/>
        <v>0</v>
      </c>
      <c r="R141" t="str">
        <f t="shared" si="34"/>
        <v>Safe</v>
      </c>
      <c r="S141">
        <f t="shared" si="30"/>
        <v>0.60041743580279083</v>
      </c>
      <c r="T141">
        <f t="shared" si="31"/>
        <v>0.61590835831583346</v>
      </c>
      <c r="U141">
        <f t="shared" si="32"/>
        <v>0.10379518235579384</v>
      </c>
      <c r="V141">
        <f t="shared" si="33"/>
        <v>2.3887880622125275</v>
      </c>
      <c r="X141" s="13">
        <f t="shared" si="35"/>
        <v>6.2931431452548923</v>
      </c>
      <c r="Y141" s="10"/>
      <c r="Z141" s="10"/>
      <c r="AB141" s="10" t="str">
        <f t="shared" si="36"/>
        <v>Non-Distress</v>
      </c>
      <c r="AC141" s="10">
        <f t="shared" si="37"/>
        <v>0</v>
      </c>
      <c r="AE141" s="10">
        <f t="shared" si="38"/>
        <v>0</v>
      </c>
      <c r="AG141" s="13">
        <f t="shared" si="39"/>
        <v>0.5</v>
      </c>
      <c r="AH141" s="13">
        <f t="shared" si="40"/>
        <v>0.5</v>
      </c>
      <c r="AI141" s="10">
        <f t="shared" si="41"/>
        <v>0.25</v>
      </c>
    </row>
    <row r="142" spans="1:35" x14ac:dyDescent="0.3">
      <c r="A142" t="s">
        <v>50</v>
      </c>
      <c r="B142">
        <v>2024</v>
      </c>
      <c r="C142" s="3">
        <v>74334574166</v>
      </c>
      <c r="D142" s="3">
        <v>4998102583</v>
      </c>
      <c r="E142" s="3">
        <v>801657692915</v>
      </c>
      <c r="F142" s="3">
        <v>692511533906</v>
      </c>
      <c r="G142" s="3">
        <v>228355237745</v>
      </c>
      <c r="H142" s="3">
        <v>214751775520</v>
      </c>
      <c r="I142" s="3">
        <v>573216264460</v>
      </c>
      <c r="J142" s="3">
        <v>500084264932</v>
      </c>
      <c r="K142" s="3">
        <v>477759758386</v>
      </c>
      <c r="M142" s="3">
        <v>913901474488</v>
      </c>
      <c r="N142" s="3">
        <v>56118632101</v>
      </c>
      <c r="O142" s="3">
        <v>62230602536</v>
      </c>
      <c r="P142">
        <f t="shared" si="28"/>
        <v>9.201982887962032</v>
      </c>
      <c r="Q142">
        <f t="shared" si="29"/>
        <v>0</v>
      </c>
      <c r="R142" t="str">
        <f t="shared" si="34"/>
        <v>Safe</v>
      </c>
      <c r="S142">
        <f t="shared" si="30"/>
        <v>0.5959647897206134</v>
      </c>
      <c r="T142">
        <f t="shared" si="31"/>
        <v>0.62381271875978128</v>
      </c>
      <c r="U142">
        <f t="shared" si="32"/>
        <v>9.2726078503286707E-2</v>
      </c>
      <c r="V142">
        <f t="shared" si="33"/>
        <v>2.5101953873293672</v>
      </c>
      <c r="X142" s="13">
        <f t="shared" si="35"/>
        <v>6.2435067882460364</v>
      </c>
      <c r="Y142" s="10"/>
      <c r="Z142" s="10"/>
      <c r="AB142" s="10" t="str">
        <f t="shared" si="36"/>
        <v>Non-Distress</v>
      </c>
      <c r="AC142" s="10">
        <f t="shared" si="37"/>
        <v>0</v>
      </c>
      <c r="AE142" s="10">
        <f t="shared" si="38"/>
        <v>0</v>
      </c>
      <c r="AG142" s="13">
        <f t="shared" si="39"/>
        <v>0.5</v>
      </c>
      <c r="AH142" s="13">
        <f t="shared" si="40"/>
        <v>0.5</v>
      </c>
      <c r="AI142" s="10">
        <f t="shared" si="41"/>
        <v>0.25</v>
      </c>
    </row>
    <row r="143" spans="1:35" x14ac:dyDescent="0.3">
      <c r="A143" t="s">
        <v>50</v>
      </c>
      <c r="B143">
        <v>2023</v>
      </c>
      <c r="C143" s="3">
        <v>69292770374</v>
      </c>
      <c r="D143" s="3">
        <v>4010851843</v>
      </c>
      <c r="E143" s="3">
        <v>776502261248</v>
      </c>
      <c r="F143" s="3">
        <v>657741165545</v>
      </c>
      <c r="G143" s="3">
        <v>220775281426</v>
      </c>
      <c r="H143" s="3">
        <v>207256474579</v>
      </c>
      <c r="I143" s="3">
        <v>555663540770</v>
      </c>
      <c r="J143" s="3">
        <v>485150799684</v>
      </c>
      <c r="K143" s="3">
        <v>450484690966</v>
      </c>
      <c r="M143" s="3">
        <v>806306849977</v>
      </c>
      <c r="N143" s="3">
        <v>52688967755</v>
      </c>
      <c r="O143" s="3">
        <v>67565984623</v>
      </c>
      <c r="P143">
        <f t="shared" si="28"/>
        <v>9.0849635946184382</v>
      </c>
      <c r="Q143">
        <f t="shared" si="29"/>
        <v>0</v>
      </c>
      <c r="R143" t="str">
        <f t="shared" si="34"/>
        <v>Safe</v>
      </c>
      <c r="S143">
        <f t="shared" si="30"/>
        <v>0.580146013022522</v>
      </c>
      <c r="T143">
        <f t="shared" si="31"/>
        <v>0.62478993802833516</v>
      </c>
      <c r="U143">
        <f t="shared" si="32"/>
        <v>8.9237049049454356E-2</v>
      </c>
      <c r="V143">
        <f t="shared" si="33"/>
        <v>2.5168738872437975</v>
      </c>
      <c r="X143" s="13">
        <f t="shared" si="35"/>
        <v>6.1334353888658866</v>
      </c>
      <c r="Y143" s="10"/>
      <c r="Z143" s="10"/>
      <c r="AB143" s="10" t="str">
        <f t="shared" si="36"/>
        <v>Non-Distress</v>
      </c>
      <c r="AC143" s="10">
        <f t="shared" si="37"/>
        <v>0</v>
      </c>
      <c r="AE143" s="10">
        <f t="shared" si="38"/>
        <v>0</v>
      </c>
      <c r="AG143" s="13">
        <f t="shared" si="39"/>
        <v>0.5</v>
      </c>
      <c r="AH143" s="13">
        <f t="shared" si="40"/>
        <v>0.5</v>
      </c>
      <c r="AI143" s="10">
        <f t="shared" si="41"/>
        <v>0.25</v>
      </c>
    </row>
    <row r="144" spans="1:35" x14ac:dyDescent="0.3">
      <c r="A144" t="s">
        <v>50</v>
      </c>
      <c r="B144">
        <v>2022</v>
      </c>
      <c r="C144" s="3">
        <v>43055360663</v>
      </c>
      <c r="D144" s="3">
        <v>4479475676</v>
      </c>
      <c r="E144" s="3">
        <v>759845633795</v>
      </c>
      <c r="F144" s="3">
        <v>622171694238</v>
      </c>
      <c r="G144" s="3">
        <v>237697849075</v>
      </c>
      <c r="H144" s="3">
        <v>227592989065</v>
      </c>
      <c r="I144" s="3">
        <v>522103670705</v>
      </c>
      <c r="J144" s="3">
        <v>453471526993</v>
      </c>
      <c r="K144" s="3">
        <v>394578705173</v>
      </c>
      <c r="M144" s="3">
        <v>830942437933</v>
      </c>
      <c r="N144" s="3">
        <v>35432155349</v>
      </c>
      <c r="O144" s="3">
        <v>94513063997</v>
      </c>
      <c r="P144">
        <f t="shared" si="28"/>
        <v>8.039182402288267</v>
      </c>
      <c r="Q144">
        <f t="shared" si="29"/>
        <v>0</v>
      </c>
      <c r="R144" t="str">
        <f t="shared" si="34"/>
        <v>Safe</v>
      </c>
      <c r="S144">
        <f t="shared" si="30"/>
        <v>0.51928798116836195</v>
      </c>
      <c r="T144">
        <f t="shared" si="31"/>
        <v>0.59679427876444546</v>
      </c>
      <c r="U144">
        <f t="shared" si="32"/>
        <v>5.6663299423019356E-2</v>
      </c>
      <c r="V144">
        <f t="shared" si="33"/>
        <v>2.1965014523133628</v>
      </c>
      <c r="X144" s="13">
        <f t="shared" si="35"/>
        <v>5.498381930030213</v>
      </c>
      <c r="Y144" s="10"/>
      <c r="Z144" s="10"/>
      <c r="AB144" s="10" t="str">
        <f t="shared" si="36"/>
        <v>Non-Distress</v>
      </c>
      <c r="AC144" s="10">
        <f t="shared" si="37"/>
        <v>0</v>
      </c>
      <c r="AE144" s="10">
        <f t="shared" si="38"/>
        <v>0</v>
      </c>
      <c r="AG144" s="13">
        <f t="shared" si="39"/>
        <v>0.5</v>
      </c>
      <c r="AH144" s="13">
        <f t="shared" si="40"/>
        <v>0.5</v>
      </c>
      <c r="AI144" s="10">
        <f t="shared" si="41"/>
        <v>0.25</v>
      </c>
    </row>
    <row r="145" spans="1:35" x14ac:dyDescent="0.3">
      <c r="A145" t="s">
        <v>51</v>
      </c>
      <c r="B145">
        <v>2025</v>
      </c>
      <c r="C145" s="3">
        <v>484211000000</v>
      </c>
      <c r="D145" s="3">
        <v>607913000000</v>
      </c>
      <c r="E145" s="3">
        <v>16520365000000</v>
      </c>
      <c r="F145" s="3">
        <v>3239582000000</v>
      </c>
      <c r="G145" s="3">
        <v>13599346000000</v>
      </c>
      <c r="H145" s="3">
        <v>6686404000000</v>
      </c>
      <c r="I145" s="3">
        <v>2597786000000</v>
      </c>
      <c r="J145" s="3">
        <v>-3778679000000</v>
      </c>
      <c r="K145" s="3">
        <v>-3446822000000</v>
      </c>
      <c r="M145" s="3">
        <v>8976099000000</v>
      </c>
      <c r="N145" s="3">
        <v>-150260000000</v>
      </c>
      <c r="O145" s="3">
        <v>8901784000000</v>
      </c>
      <c r="P145">
        <f t="shared" si="28"/>
        <v>-1.7168017873031021</v>
      </c>
      <c r="Q145">
        <f t="shared" si="29"/>
        <v>1</v>
      </c>
      <c r="R145" t="str">
        <f t="shared" si="34"/>
        <v>Distress</v>
      </c>
      <c r="S145">
        <f t="shared" si="30"/>
        <v>-0.20864078971620784</v>
      </c>
      <c r="T145">
        <f t="shared" si="31"/>
        <v>-0.22872854201465886</v>
      </c>
      <c r="U145">
        <f t="shared" si="32"/>
        <v>2.9309945633767778E-2</v>
      </c>
      <c r="V145">
        <f t="shared" si="33"/>
        <v>0.19102286242294297</v>
      </c>
      <c r="X145" s="13">
        <f t="shared" si="35"/>
        <v>-1.8748972587845356</v>
      </c>
      <c r="Y145" s="10"/>
      <c r="Z145" s="10"/>
      <c r="AB145" s="10" t="str">
        <f t="shared" si="36"/>
        <v>Distress</v>
      </c>
      <c r="AC145" s="10">
        <f t="shared" si="37"/>
        <v>1</v>
      </c>
      <c r="AE145" s="10">
        <f t="shared" si="38"/>
        <v>1</v>
      </c>
      <c r="AG145" s="13">
        <f t="shared" si="39"/>
        <v>0.7310585786300049</v>
      </c>
      <c r="AH145" s="13">
        <f t="shared" si="40"/>
        <v>-0.2689414213699951</v>
      </c>
      <c r="AI145" s="10">
        <f t="shared" si="41"/>
        <v>0.19661193324148185</v>
      </c>
    </row>
    <row r="146" spans="1:35" x14ac:dyDescent="0.3">
      <c r="A146" t="s">
        <v>51</v>
      </c>
      <c r="B146">
        <v>2024</v>
      </c>
      <c r="C146" s="3">
        <v>119091000000</v>
      </c>
      <c r="D146" s="3">
        <v>666660000000</v>
      </c>
      <c r="E146" s="3">
        <v>17104348000000</v>
      </c>
      <c r="F146" s="3">
        <v>3449335000000</v>
      </c>
      <c r="G146" s="3">
        <v>13953221000000</v>
      </c>
      <c r="H146" s="3">
        <v>8792001000000</v>
      </c>
      <c r="I146" s="3">
        <v>2830001000000</v>
      </c>
      <c r="J146" s="3">
        <v>-3626884000000</v>
      </c>
      <c r="K146" s="3">
        <v>-5342666000000</v>
      </c>
      <c r="M146" s="3">
        <v>8857280000000</v>
      </c>
      <c r="N146" s="3">
        <v>-716258000000</v>
      </c>
      <c r="O146" s="3">
        <v>8822646000000</v>
      </c>
      <c r="P146">
        <f t="shared" si="28"/>
        <v>-2.4805779797026117</v>
      </c>
      <c r="Q146">
        <f t="shared" si="29"/>
        <v>1</v>
      </c>
      <c r="R146" t="str">
        <f t="shared" si="34"/>
        <v>Distress</v>
      </c>
      <c r="S146">
        <f t="shared" si="30"/>
        <v>-0.31235718543612417</v>
      </c>
      <c r="T146">
        <f t="shared" si="31"/>
        <v>-0.21204456317189055</v>
      </c>
      <c r="U146">
        <f t="shared" si="32"/>
        <v>6.9626155875687282E-3</v>
      </c>
      <c r="V146">
        <f t="shared" si="33"/>
        <v>0.20282062471453724</v>
      </c>
      <c r="X146" s="13">
        <f t="shared" si="35"/>
        <v>-2.5617182866027943</v>
      </c>
      <c r="Y146" s="10"/>
      <c r="Z146" s="10"/>
      <c r="AB146" s="10" t="str">
        <f t="shared" si="36"/>
        <v>Distress</v>
      </c>
      <c r="AC146" s="10">
        <f t="shared" si="37"/>
        <v>1</v>
      </c>
      <c r="AE146" s="10">
        <f t="shared" si="38"/>
        <v>1</v>
      </c>
      <c r="AG146" s="13">
        <f t="shared" si="39"/>
        <v>0.7310585786300049</v>
      </c>
      <c r="AH146" s="13">
        <f t="shared" si="40"/>
        <v>-0.2689414213699951</v>
      </c>
      <c r="AI146" s="10">
        <f t="shared" si="41"/>
        <v>0.19661193324148185</v>
      </c>
    </row>
    <row r="147" spans="1:35" x14ac:dyDescent="0.3">
      <c r="A147" t="s">
        <v>51</v>
      </c>
      <c r="B147">
        <v>2023</v>
      </c>
      <c r="C147" s="3">
        <v>1112016000000</v>
      </c>
      <c r="D147" s="3">
        <v>763423000000</v>
      </c>
      <c r="E147" s="3">
        <v>17955984000000</v>
      </c>
      <c r="F147" s="3">
        <v>3860089000000</v>
      </c>
      <c r="G147" s="3">
        <v>13974223000000</v>
      </c>
      <c r="H147" s="3">
        <v>7958465000000</v>
      </c>
      <c r="I147" s="3">
        <v>3639447000000</v>
      </c>
      <c r="J147" s="3">
        <v>-2915730000000</v>
      </c>
      <c r="K147" s="3">
        <v>-4098376000000</v>
      </c>
      <c r="M147" s="3">
        <v>9612847000000</v>
      </c>
      <c r="N147" s="3">
        <v>154809000000</v>
      </c>
      <c r="O147" s="3">
        <v>9561616000000</v>
      </c>
      <c r="P147">
        <f t="shared" si="28"/>
        <v>-1.3370249748022542</v>
      </c>
      <c r="Q147">
        <f t="shared" si="29"/>
        <v>1</v>
      </c>
      <c r="R147" t="str">
        <f t="shared" si="34"/>
        <v>Distress</v>
      </c>
      <c r="S147">
        <f t="shared" si="30"/>
        <v>-0.22824569235526163</v>
      </c>
      <c r="T147">
        <f t="shared" si="31"/>
        <v>-0.16238207830882451</v>
      </c>
      <c r="U147">
        <f t="shared" si="32"/>
        <v>6.1930106420232944E-2</v>
      </c>
      <c r="V147">
        <f t="shared" si="33"/>
        <v>0.26044002589625198</v>
      </c>
      <c r="X147" s="13">
        <f t="shared" si="35"/>
        <v>-1.6164870408892904</v>
      </c>
      <c r="Y147" s="10"/>
      <c r="Z147" s="10"/>
      <c r="AB147" s="10" t="str">
        <f t="shared" si="36"/>
        <v>Distress</v>
      </c>
      <c r="AC147" s="10">
        <f t="shared" si="37"/>
        <v>1</v>
      </c>
      <c r="AE147" s="10">
        <f t="shared" si="38"/>
        <v>1</v>
      </c>
      <c r="AG147" s="13">
        <f t="shared" si="39"/>
        <v>0.7310585786300049</v>
      </c>
      <c r="AH147" s="13">
        <f t="shared" si="40"/>
        <v>-0.2689414213699951</v>
      </c>
      <c r="AI147" s="10">
        <f t="shared" si="41"/>
        <v>0.19661193324148185</v>
      </c>
    </row>
    <row r="148" spans="1:35" x14ac:dyDescent="0.3">
      <c r="A148" t="s">
        <v>51</v>
      </c>
      <c r="B148">
        <v>2022</v>
      </c>
      <c r="C148" s="3">
        <v>499010000000</v>
      </c>
      <c r="D148" s="3">
        <v>592419000000</v>
      </c>
      <c r="E148" s="3">
        <v>18133087000000</v>
      </c>
      <c r="F148" s="3">
        <v>3465423000000</v>
      </c>
      <c r="G148" s="3">
        <v>14292767000000</v>
      </c>
      <c r="H148" s="3">
        <v>8336437000000</v>
      </c>
      <c r="I148" s="3">
        <v>3480447000000</v>
      </c>
      <c r="J148" s="3">
        <v>-3068416000000</v>
      </c>
      <c r="K148" s="3">
        <v>-4871014000000</v>
      </c>
      <c r="M148" s="3">
        <v>9687149000000</v>
      </c>
      <c r="N148" s="3">
        <v>-89361000000</v>
      </c>
      <c r="O148" s="3">
        <v>10515029000000</v>
      </c>
      <c r="P148">
        <f t="shared" si="28"/>
        <v>-1.8732140308999856</v>
      </c>
      <c r="Q148">
        <f t="shared" si="29"/>
        <v>1</v>
      </c>
      <c r="R148" t="str">
        <f t="shared" si="34"/>
        <v>Distress</v>
      </c>
      <c r="S148">
        <f t="shared" si="30"/>
        <v>-0.26862574475046636</v>
      </c>
      <c r="T148">
        <f t="shared" si="31"/>
        <v>-0.16921641637742102</v>
      </c>
      <c r="U148">
        <f t="shared" si="32"/>
        <v>2.7519307661183118E-2</v>
      </c>
      <c r="V148">
        <f t="shared" si="33"/>
        <v>0.24351107101934846</v>
      </c>
      <c r="X148" s="13">
        <f t="shared" si="35"/>
        <v>-2.0528721866059607</v>
      </c>
      <c r="Y148" s="10"/>
      <c r="Z148" s="10"/>
      <c r="AB148" s="10" t="str">
        <f t="shared" si="36"/>
        <v>Distress</v>
      </c>
      <c r="AC148" s="10">
        <f t="shared" si="37"/>
        <v>1</v>
      </c>
      <c r="AE148" s="10">
        <f t="shared" si="38"/>
        <v>1</v>
      </c>
      <c r="AG148" s="13">
        <f t="shared" si="39"/>
        <v>0.7310585786300049</v>
      </c>
      <c r="AH148" s="13">
        <f t="shared" si="40"/>
        <v>-0.2689414213699951</v>
      </c>
      <c r="AI148" s="10">
        <f t="shared" si="41"/>
        <v>0.19661193324148185</v>
      </c>
    </row>
    <row r="149" spans="1:35" x14ac:dyDescent="0.3">
      <c r="A149" t="s">
        <v>52</v>
      </c>
      <c r="B149">
        <v>2025</v>
      </c>
      <c r="C149" s="3">
        <v>2560569000000</v>
      </c>
      <c r="D149" s="3">
        <v>77000000</v>
      </c>
      <c r="E149" s="3">
        <v>8741150000000</v>
      </c>
      <c r="F149" s="3">
        <v>4192417000000</v>
      </c>
      <c r="G149" s="3">
        <v>1956403000000</v>
      </c>
      <c r="H149" s="3">
        <v>1882266000000</v>
      </c>
      <c r="I149" s="3">
        <v>6784564000000</v>
      </c>
      <c r="J149" s="3">
        <v>2961830000000</v>
      </c>
      <c r="K149" s="3">
        <v>2310151000000</v>
      </c>
      <c r="M149" s="3">
        <v>10724003000000</v>
      </c>
      <c r="N149" s="3">
        <v>2032840000000</v>
      </c>
      <c r="O149" s="3">
        <v>427000000</v>
      </c>
      <c r="P149">
        <f t="shared" si="28"/>
        <v>8.4480955247986245</v>
      </c>
      <c r="Q149">
        <f t="shared" si="29"/>
        <v>0</v>
      </c>
      <c r="R149" t="str">
        <f t="shared" si="34"/>
        <v>Safe</v>
      </c>
      <c r="S149">
        <f t="shared" si="30"/>
        <v>0.26428456209995255</v>
      </c>
      <c r="T149">
        <f t="shared" si="31"/>
        <v>0.33883756713933522</v>
      </c>
      <c r="U149">
        <f t="shared" si="32"/>
        <v>0.29293273768325678</v>
      </c>
      <c r="V149">
        <f t="shared" si="33"/>
        <v>3.4678765060163985</v>
      </c>
      <c r="X149" s="13">
        <f t="shared" si="35"/>
        <v>4.2918636219784689</v>
      </c>
      <c r="Y149" s="10"/>
      <c r="Z149" s="10"/>
      <c r="AB149" s="10" t="str">
        <f t="shared" si="36"/>
        <v>Non-Distress</v>
      </c>
      <c r="AC149" s="10">
        <f t="shared" si="37"/>
        <v>0</v>
      </c>
      <c r="AE149" s="10">
        <f t="shared" si="38"/>
        <v>0</v>
      </c>
      <c r="AG149" s="13">
        <f t="shared" si="39"/>
        <v>0.5</v>
      </c>
      <c r="AH149" s="13">
        <f t="shared" si="40"/>
        <v>0.5</v>
      </c>
      <c r="AI149" s="10">
        <f t="shared" si="41"/>
        <v>0.25</v>
      </c>
    </row>
    <row r="150" spans="1:35" x14ac:dyDescent="0.3">
      <c r="A150" t="s">
        <v>52</v>
      </c>
      <c r="B150">
        <v>2024</v>
      </c>
      <c r="C150" s="3">
        <v>1904899000000</v>
      </c>
      <c r="D150" s="3">
        <v>107000000</v>
      </c>
      <c r="E150" s="3">
        <v>8191571000000</v>
      </c>
      <c r="F150" s="3">
        <v>4394679000000</v>
      </c>
      <c r="G150" s="3">
        <v>1439423000000</v>
      </c>
      <c r="H150" s="3">
        <v>1390297000000</v>
      </c>
      <c r="I150" s="3">
        <v>6751974000000</v>
      </c>
      <c r="J150" s="3">
        <v>2929240000000</v>
      </c>
      <c r="K150" s="3">
        <v>3004382000000</v>
      </c>
      <c r="M150" s="3">
        <v>9025658000000</v>
      </c>
      <c r="N150" s="3">
        <v>1519337000000</v>
      </c>
      <c r="O150" s="3">
        <v>1273000000</v>
      </c>
      <c r="P150">
        <f t="shared" si="28"/>
        <v>10.059710794709243</v>
      </c>
      <c r="Q150">
        <f t="shared" si="29"/>
        <v>0</v>
      </c>
      <c r="R150" t="str">
        <f t="shared" si="34"/>
        <v>Safe</v>
      </c>
      <c r="S150">
        <f t="shared" si="30"/>
        <v>0.36676505642202212</v>
      </c>
      <c r="T150">
        <f t="shared" si="31"/>
        <v>0.35759196862238024</v>
      </c>
      <c r="U150">
        <f t="shared" si="32"/>
        <v>0.23254379410249879</v>
      </c>
      <c r="V150">
        <f t="shared" si="33"/>
        <v>4.690750390955265</v>
      </c>
      <c r="X150" s="13">
        <f t="shared" si="35"/>
        <v>4.7401016249419126</v>
      </c>
      <c r="Y150" s="10"/>
      <c r="Z150" s="10"/>
      <c r="AB150" s="10" t="str">
        <f t="shared" si="36"/>
        <v>Non-Distress</v>
      </c>
      <c r="AC150" s="10">
        <f t="shared" si="37"/>
        <v>0</v>
      </c>
      <c r="AE150" s="10">
        <f t="shared" si="38"/>
        <v>0</v>
      </c>
      <c r="AG150" s="13">
        <f t="shared" si="39"/>
        <v>0.5</v>
      </c>
      <c r="AH150" s="13">
        <f t="shared" si="40"/>
        <v>0.5</v>
      </c>
      <c r="AI150" s="10">
        <f t="shared" si="41"/>
        <v>0.25</v>
      </c>
    </row>
    <row r="151" spans="1:35" x14ac:dyDescent="0.3">
      <c r="A151" t="s">
        <v>52</v>
      </c>
      <c r="B151">
        <v>2023</v>
      </c>
      <c r="C151" s="3">
        <v>1567192000000</v>
      </c>
      <c r="D151" s="3">
        <v>6034000000</v>
      </c>
      <c r="E151" s="3">
        <v>7046857000000</v>
      </c>
      <c r="F151" s="3">
        <v>4539143000000</v>
      </c>
      <c r="G151" s="3">
        <v>1105529000000</v>
      </c>
      <c r="H151" s="3">
        <v>1060722000000</v>
      </c>
      <c r="I151" s="3">
        <v>5941203000000</v>
      </c>
      <c r="J151" s="3">
        <v>2118469000000</v>
      </c>
      <c r="K151" s="3">
        <v>3478421000000</v>
      </c>
      <c r="M151" s="3">
        <v>7772910000000</v>
      </c>
      <c r="N151" s="3">
        <v>1241715000000</v>
      </c>
      <c r="O151" s="3">
        <v>0</v>
      </c>
      <c r="P151">
        <f t="shared" si="28"/>
        <v>11.355428998488051</v>
      </c>
      <c r="Q151">
        <f t="shared" si="29"/>
        <v>0</v>
      </c>
      <c r="R151" t="str">
        <f t="shared" si="34"/>
        <v>Safe</v>
      </c>
      <c r="S151">
        <f t="shared" si="30"/>
        <v>0.49361311007162484</v>
      </c>
      <c r="T151">
        <f t="shared" si="31"/>
        <v>0.3006260805349108</v>
      </c>
      <c r="U151">
        <f t="shared" si="32"/>
        <v>0.22239588514425651</v>
      </c>
      <c r="V151">
        <f t="shared" si="33"/>
        <v>5.374081548290456</v>
      </c>
      <c r="X151" s="13">
        <f t="shared" si="35"/>
        <v>5.3089459077381624</v>
      </c>
      <c r="Y151" s="10"/>
      <c r="Z151" s="10"/>
      <c r="AB151" s="10" t="str">
        <f t="shared" si="36"/>
        <v>Non-Distress</v>
      </c>
      <c r="AC151" s="10">
        <f t="shared" si="37"/>
        <v>0</v>
      </c>
      <c r="AE151" s="10">
        <f t="shared" si="38"/>
        <v>0</v>
      </c>
      <c r="AG151" s="13">
        <f t="shared" si="39"/>
        <v>0.5</v>
      </c>
      <c r="AH151" s="13">
        <f t="shared" si="40"/>
        <v>0.5</v>
      </c>
      <c r="AI151" s="10">
        <f t="shared" si="41"/>
        <v>0.25</v>
      </c>
    </row>
    <row r="152" spans="1:35" x14ac:dyDescent="0.3">
      <c r="A152" t="s">
        <v>52</v>
      </c>
      <c r="B152">
        <v>2022</v>
      </c>
      <c r="C152" s="3">
        <v>1348453000000</v>
      </c>
      <c r="D152" s="3">
        <v>5743000000</v>
      </c>
      <c r="E152" s="3">
        <v>6223251000000</v>
      </c>
      <c r="F152" s="3">
        <v>4025215000000</v>
      </c>
      <c r="G152" s="3">
        <v>964919000000</v>
      </c>
      <c r="H152" s="3">
        <v>915865000000</v>
      </c>
      <c r="I152" s="3">
        <v>5258240000000</v>
      </c>
      <c r="J152" s="3">
        <v>1435506000000</v>
      </c>
      <c r="K152" s="3">
        <v>3109350000000</v>
      </c>
      <c r="M152" s="3">
        <v>6378348000000</v>
      </c>
      <c r="N152" s="3">
        <v>1060533000000</v>
      </c>
      <c r="O152" s="3">
        <v>34553000000</v>
      </c>
      <c r="P152">
        <f t="shared" si="28"/>
        <v>11.207549455655517</v>
      </c>
      <c r="Q152">
        <f t="shared" si="29"/>
        <v>0</v>
      </c>
      <c r="R152" t="str">
        <f t="shared" si="34"/>
        <v>Safe</v>
      </c>
      <c r="S152">
        <f t="shared" si="30"/>
        <v>0.49963435509832399</v>
      </c>
      <c r="T152">
        <f t="shared" si="31"/>
        <v>0.23066818291597108</v>
      </c>
      <c r="U152">
        <f t="shared" si="32"/>
        <v>0.21667983502513397</v>
      </c>
      <c r="V152">
        <f t="shared" si="33"/>
        <v>5.4494107795576623</v>
      </c>
      <c r="X152" s="13">
        <f t="shared" si="35"/>
        <v>5.0920385484111641</v>
      </c>
      <c r="Y152" s="10"/>
      <c r="Z152" s="10"/>
      <c r="AB152" s="10" t="str">
        <f t="shared" si="36"/>
        <v>Non-Distress</v>
      </c>
      <c r="AC152" s="10">
        <f t="shared" si="37"/>
        <v>0</v>
      </c>
      <c r="AE152" s="10">
        <f t="shared" si="38"/>
        <v>0</v>
      </c>
      <c r="AG152" s="13">
        <f t="shared" si="39"/>
        <v>0.5</v>
      </c>
      <c r="AH152" s="13">
        <f t="shared" si="40"/>
        <v>0.5</v>
      </c>
      <c r="AI152" s="10">
        <f t="shared" si="41"/>
        <v>0.25</v>
      </c>
    </row>
    <row r="153" spans="1:35" x14ac:dyDescent="0.3">
      <c r="A153" t="s">
        <v>53</v>
      </c>
      <c r="B153">
        <v>2025</v>
      </c>
      <c r="C153" s="3">
        <v>8211512000000</v>
      </c>
      <c r="D153" s="3">
        <v>498649000000</v>
      </c>
      <c r="E153" s="3">
        <v>45857963000000</v>
      </c>
      <c r="F153" s="3">
        <v>24630760000000</v>
      </c>
      <c r="G153" s="3">
        <v>11706869000000</v>
      </c>
      <c r="H153" s="3">
        <v>7641052000000</v>
      </c>
      <c r="I153" s="3">
        <v>34136370000000</v>
      </c>
      <c r="J153" s="3">
        <v>33964499000000</v>
      </c>
      <c r="K153" s="3">
        <v>16989708000000</v>
      </c>
      <c r="M153" s="3">
        <v>70704988000000</v>
      </c>
      <c r="N153" s="3">
        <v>5643863000000</v>
      </c>
      <c r="O153" s="3">
        <v>6662141000000</v>
      </c>
      <c r="P153">
        <f t="shared" si="28"/>
        <v>9.1099224302562138</v>
      </c>
      <c r="Q153">
        <f t="shared" si="29"/>
        <v>0</v>
      </c>
      <c r="R153" t="str">
        <f t="shared" si="34"/>
        <v>Safe</v>
      </c>
      <c r="S153">
        <f t="shared" si="30"/>
        <v>0.37048544873220818</v>
      </c>
      <c r="T153">
        <f t="shared" si="31"/>
        <v>0.74064561044719757</v>
      </c>
      <c r="U153">
        <f t="shared" si="32"/>
        <v>0.1790640373624969</v>
      </c>
      <c r="V153">
        <f t="shared" si="33"/>
        <v>2.9159265385134145</v>
      </c>
      <c r="X153" s="13">
        <f t="shared" si="35"/>
        <v>5.6833954184555235</v>
      </c>
      <c r="Y153" s="10"/>
      <c r="Z153" s="10"/>
      <c r="AB153" s="10" t="str">
        <f t="shared" si="36"/>
        <v>Non-Distress</v>
      </c>
      <c r="AC153" s="10">
        <f t="shared" si="37"/>
        <v>0</v>
      </c>
      <c r="AE153" s="10">
        <f t="shared" si="38"/>
        <v>0</v>
      </c>
      <c r="AG153" s="13">
        <f t="shared" si="39"/>
        <v>0.5</v>
      </c>
      <c r="AH153" s="13">
        <f t="shared" si="40"/>
        <v>0.5</v>
      </c>
      <c r="AI153" s="10">
        <f t="shared" si="41"/>
        <v>0.25</v>
      </c>
    </row>
    <row r="154" spans="1:35" x14ac:dyDescent="0.3">
      <c r="A154" t="s">
        <v>53</v>
      </c>
      <c r="B154">
        <v>2024</v>
      </c>
      <c r="C154" s="3">
        <v>5931997000000</v>
      </c>
      <c r="D154" s="3">
        <v>675643000000</v>
      </c>
      <c r="E154" s="3">
        <v>42791000000000</v>
      </c>
      <c r="F154" s="3">
        <v>21339691000000</v>
      </c>
      <c r="G154" s="3">
        <v>12502078000000</v>
      </c>
      <c r="H154" s="3">
        <v>8589572000000</v>
      </c>
      <c r="I154" s="3">
        <v>30273959000000</v>
      </c>
      <c r="J154" s="3">
        <v>30102088000000</v>
      </c>
      <c r="K154" s="3">
        <v>12750119000000</v>
      </c>
      <c r="M154" s="3">
        <v>67477992000000</v>
      </c>
      <c r="N154" s="3">
        <v>3712926000000</v>
      </c>
      <c r="O154" s="3">
        <v>8533263000000</v>
      </c>
      <c r="P154">
        <f t="shared" si="28"/>
        <v>7.7221044317235883</v>
      </c>
      <c r="Q154">
        <f t="shared" si="29"/>
        <v>0</v>
      </c>
      <c r="R154" t="str">
        <f t="shared" si="34"/>
        <v>Safe</v>
      </c>
      <c r="S154">
        <f t="shared" si="30"/>
        <v>0.29796263232922809</v>
      </c>
      <c r="T154">
        <f t="shared" si="31"/>
        <v>0.70346773854315159</v>
      </c>
      <c r="U154">
        <f t="shared" si="32"/>
        <v>0.13862721132948516</v>
      </c>
      <c r="V154">
        <f t="shared" si="33"/>
        <v>2.4215141674847973</v>
      </c>
      <c r="X154" s="13">
        <f t="shared" si="35"/>
        <v>4.9014386507518726</v>
      </c>
      <c r="Y154" s="10"/>
      <c r="Z154" s="10"/>
      <c r="AB154" s="10" t="str">
        <f t="shared" si="36"/>
        <v>Non-Distress</v>
      </c>
      <c r="AC154" s="10">
        <f t="shared" si="37"/>
        <v>0</v>
      </c>
      <c r="AE154" s="10">
        <f t="shared" si="38"/>
        <v>0</v>
      </c>
      <c r="AG154" s="13">
        <f t="shared" si="39"/>
        <v>0.5</v>
      </c>
      <c r="AH154" s="13">
        <f t="shared" si="40"/>
        <v>0.5</v>
      </c>
      <c r="AI154" s="10">
        <f t="shared" si="41"/>
        <v>0.25</v>
      </c>
    </row>
    <row r="155" spans="1:35" x14ac:dyDescent="0.3">
      <c r="A155" t="s">
        <v>53</v>
      </c>
      <c r="B155">
        <v>2023</v>
      </c>
      <c r="C155" s="3">
        <v>3639399000000</v>
      </c>
      <c r="D155" s="3">
        <v>642514000000</v>
      </c>
      <c r="E155" s="3">
        <v>40970800000000</v>
      </c>
      <c r="F155" s="3">
        <v>18324808000000</v>
      </c>
      <c r="G155" s="3">
        <v>13942042000000</v>
      </c>
      <c r="H155" s="3">
        <v>11123822000000</v>
      </c>
      <c r="I155" s="3">
        <v>27012497000000</v>
      </c>
      <c r="J155" s="3">
        <v>26840626000000</v>
      </c>
      <c r="K155" s="3">
        <v>7200986000000</v>
      </c>
      <c r="M155" s="3">
        <v>61615850000000</v>
      </c>
      <c r="N155" s="3">
        <v>2318584000000</v>
      </c>
      <c r="O155" s="3">
        <v>9577020000000</v>
      </c>
      <c r="P155">
        <f t="shared" si="28"/>
        <v>5.9199477531772846</v>
      </c>
      <c r="Q155">
        <f t="shared" si="29"/>
        <v>0</v>
      </c>
      <c r="R155" t="str">
        <f t="shared" si="34"/>
        <v>Safe</v>
      </c>
      <c r="S155">
        <f t="shared" si="30"/>
        <v>0.17575897956593475</v>
      </c>
      <c r="T155">
        <f t="shared" si="31"/>
        <v>0.65511598504300628</v>
      </c>
      <c r="U155">
        <f t="shared" si="32"/>
        <v>8.8829092914954069E-2</v>
      </c>
      <c r="V155">
        <f t="shared" si="33"/>
        <v>1.9374849824724385</v>
      </c>
      <c r="X155" s="13">
        <f t="shared" si="35"/>
        <v>3.7343736212153544</v>
      </c>
      <c r="Y155" s="10"/>
      <c r="Z155" s="10"/>
      <c r="AB155" s="10" t="str">
        <f t="shared" si="36"/>
        <v>Non-Distress</v>
      </c>
      <c r="AC155" s="10">
        <f t="shared" si="37"/>
        <v>0</v>
      </c>
      <c r="AE155" s="10">
        <f t="shared" si="38"/>
        <v>0</v>
      </c>
      <c r="AG155" s="13">
        <f t="shared" si="39"/>
        <v>0.5</v>
      </c>
      <c r="AH155" s="13">
        <f t="shared" si="40"/>
        <v>0.5</v>
      </c>
      <c r="AI155" s="10">
        <f t="shared" si="41"/>
        <v>0.25</v>
      </c>
    </row>
    <row r="156" spans="1:35" x14ac:dyDescent="0.3">
      <c r="A156" t="s">
        <v>53</v>
      </c>
      <c r="B156">
        <v>2022</v>
      </c>
      <c r="C156" s="3">
        <v>3904151000000</v>
      </c>
      <c r="D156" s="3">
        <v>366971000000</v>
      </c>
      <c r="E156" s="3">
        <v>39847545000000</v>
      </c>
      <c r="F156" s="3">
        <v>17764298000000</v>
      </c>
      <c r="G156" s="3">
        <v>13520331000000</v>
      </c>
      <c r="H156" s="3">
        <v>10109335000000</v>
      </c>
      <c r="I156" s="3">
        <v>26310473000000</v>
      </c>
      <c r="J156" s="3">
        <v>26138602000000</v>
      </c>
      <c r="K156" s="3">
        <v>7654963000000</v>
      </c>
      <c r="M156" s="3">
        <v>56867544000000</v>
      </c>
      <c r="N156" s="3">
        <v>2928342000000</v>
      </c>
      <c r="O156" s="3">
        <v>9343250000000</v>
      </c>
      <c r="P156">
        <f t="shared" si="28"/>
        <v>6.1003633026981809</v>
      </c>
      <c r="Q156">
        <f t="shared" si="29"/>
        <v>0</v>
      </c>
      <c r="R156" t="str">
        <f t="shared" si="34"/>
        <v>Safe</v>
      </c>
      <c r="S156">
        <f t="shared" si="30"/>
        <v>0.19210626401199873</v>
      </c>
      <c r="T156">
        <f t="shared" si="31"/>
        <v>0.65596517928519815</v>
      </c>
      <c r="U156">
        <f t="shared" si="32"/>
        <v>9.7977202861556464E-2</v>
      </c>
      <c r="V156">
        <f t="shared" si="33"/>
        <v>1.9459932600762511</v>
      </c>
      <c r="X156" s="13">
        <f t="shared" si="35"/>
        <v>3.8816887879450506</v>
      </c>
      <c r="Y156" s="10"/>
      <c r="Z156" s="10"/>
      <c r="AB156" s="10" t="str">
        <f t="shared" si="36"/>
        <v>Non-Distress</v>
      </c>
      <c r="AC156" s="10">
        <f t="shared" si="37"/>
        <v>0</v>
      </c>
      <c r="AE156" s="10">
        <f t="shared" si="38"/>
        <v>0</v>
      </c>
      <c r="AG156" s="13">
        <f t="shared" si="39"/>
        <v>0.5</v>
      </c>
      <c r="AH156" s="13">
        <f t="shared" si="40"/>
        <v>0.5</v>
      </c>
      <c r="AI156" s="10">
        <f t="shared" si="41"/>
        <v>0.25</v>
      </c>
    </row>
    <row r="157" spans="1:35" x14ac:dyDescent="0.3">
      <c r="A157" t="s">
        <v>54</v>
      </c>
      <c r="B157">
        <v>2025</v>
      </c>
      <c r="C157" s="3">
        <v>776808000000</v>
      </c>
      <c r="D157" s="3">
        <v>149752000000</v>
      </c>
      <c r="E157" s="3">
        <v>7217396000000</v>
      </c>
      <c r="F157" s="3">
        <v>3091050000000</v>
      </c>
      <c r="G157" s="3">
        <v>3426546000000</v>
      </c>
      <c r="H157" s="3">
        <v>2828200000000</v>
      </c>
      <c r="I157" s="3">
        <v>3788169000000</v>
      </c>
      <c r="J157" s="3">
        <v>-2580559000000</v>
      </c>
      <c r="K157" s="3">
        <v>262850000000</v>
      </c>
      <c r="M157" s="3">
        <v>9947122000000</v>
      </c>
      <c r="N157" s="3">
        <v>423655000000</v>
      </c>
      <c r="O157" s="3">
        <v>1686603000000</v>
      </c>
      <c r="P157">
        <f t="shared" ref="P157:P209" si="42">6.56*(F157-H157)/E157+3.26*J157/E157+6.72*C157/E157+1.05*I157/G157</f>
        <v>0.9573905823197939</v>
      </c>
      <c r="Q157">
        <f t="shared" ref="Q157:Q209" si="43">IF(VALUE(TRIM(P157))&lt;=1.1, 1, 0)</f>
        <v>1</v>
      </c>
      <c r="R157" t="str">
        <f t="shared" si="34"/>
        <v>Distress</v>
      </c>
      <c r="S157">
        <f t="shared" ref="S157:S209" si="44">MAX(-2,MIN(K157/E157,2))</f>
        <v>3.6418952209356391E-2</v>
      </c>
      <c r="T157">
        <f t="shared" ref="T157:T209" si="45" xml:space="preserve"> J157/E157</f>
        <v>-0.35754709870429724</v>
      </c>
      <c r="U157">
        <f t="shared" ref="U157:U209" si="46">C157/E157</f>
        <v>0.10762995407207808</v>
      </c>
      <c r="V157">
        <f t="shared" ref="V157:V209" si="47">I157/G157</f>
        <v>1.105535720226724</v>
      </c>
      <c r="X157" s="13">
        <f t="shared" si="35"/>
        <v>-0.38117303657493462</v>
      </c>
      <c r="Y157" s="10"/>
      <c r="Z157" s="10"/>
      <c r="AB157" s="10" t="str">
        <f t="shared" si="36"/>
        <v>Distress</v>
      </c>
      <c r="AC157" s="10">
        <f t="shared" si="37"/>
        <v>1</v>
      </c>
      <c r="AE157" s="10">
        <f t="shared" si="38"/>
        <v>1</v>
      </c>
      <c r="AG157" s="13">
        <f t="shared" si="39"/>
        <v>0.7310585786300049</v>
      </c>
      <c r="AH157" s="13">
        <f t="shared" si="40"/>
        <v>-0.2689414213699951</v>
      </c>
      <c r="AI157" s="10">
        <f t="shared" si="41"/>
        <v>0.19661193324148185</v>
      </c>
    </row>
    <row r="158" spans="1:35" x14ac:dyDescent="0.3">
      <c r="A158" t="s">
        <v>54</v>
      </c>
      <c r="B158">
        <v>2024</v>
      </c>
      <c r="C158" s="3">
        <v>632535000000</v>
      </c>
      <c r="D158" s="3">
        <v>183548000000</v>
      </c>
      <c r="E158" s="3">
        <v>6706321000000</v>
      </c>
      <c r="F158" s="3">
        <v>2431199000000</v>
      </c>
      <c r="G158" s="3">
        <v>3137670000000</v>
      </c>
      <c r="H158" s="3">
        <v>2366954000000</v>
      </c>
      <c r="I158" s="3">
        <v>3566057000000</v>
      </c>
      <c r="J158" s="3">
        <v>-3000775000000</v>
      </c>
      <c r="K158" s="3">
        <v>64245000000</v>
      </c>
      <c r="M158" s="3">
        <v>9280242000000</v>
      </c>
      <c r="N158" s="3">
        <v>319976000000</v>
      </c>
      <c r="O158" s="3">
        <v>1716558000000</v>
      </c>
      <c r="P158">
        <f t="shared" si="42"/>
        <v>0.43132288324370904</v>
      </c>
      <c r="Q158">
        <f t="shared" si="43"/>
        <v>1</v>
      </c>
      <c r="R158" t="str">
        <f t="shared" si="34"/>
        <v>Distress</v>
      </c>
      <c r="S158">
        <f t="shared" si="44"/>
        <v>9.5797681023619356E-3</v>
      </c>
      <c r="T158">
        <f t="shared" si="45"/>
        <v>-0.4474547221941807</v>
      </c>
      <c r="U158">
        <f t="shared" si="46"/>
        <v>9.431922510121421E-2</v>
      </c>
      <c r="V158">
        <f t="shared" si="47"/>
        <v>1.1365302915857947</v>
      </c>
      <c r="X158" s="13">
        <f t="shared" si="35"/>
        <v>-0.90295181913592037</v>
      </c>
      <c r="Y158" s="10"/>
      <c r="Z158" s="10"/>
      <c r="AB158" s="10" t="str">
        <f t="shared" si="36"/>
        <v>Distress</v>
      </c>
      <c r="AC158" s="10">
        <f t="shared" si="37"/>
        <v>1</v>
      </c>
      <c r="AE158" s="10">
        <f t="shared" si="38"/>
        <v>1</v>
      </c>
      <c r="AG158" s="13">
        <f t="shared" si="39"/>
        <v>0.7310585786300049</v>
      </c>
      <c r="AH158" s="13">
        <f t="shared" si="40"/>
        <v>-0.2689414213699951</v>
      </c>
      <c r="AI158" s="10">
        <f t="shared" si="41"/>
        <v>0.19661193324148185</v>
      </c>
    </row>
    <row r="159" spans="1:35" x14ac:dyDescent="0.3">
      <c r="A159" t="s">
        <v>54</v>
      </c>
      <c r="B159">
        <v>2023</v>
      </c>
      <c r="C159" s="3">
        <v>720640000000</v>
      </c>
      <c r="D159" s="3">
        <v>198077000000</v>
      </c>
      <c r="E159" s="3">
        <v>6856338000000</v>
      </c>
      <c r="F159" s="3">
        <v>2374088000000</v>
      </c>
      <c r="G159" s="3">
        <v>3436635000000</v>
      </c>
      <c r="H159" s="3">
        <v>2228182000000</v>
      </c>
      <c r="I159" s="3">
        <v>3416679000000</v>
      </c>
      <c r="J159" s="3">
        <v>-3332147000000</v>
      </c>
      <c r="K159" s="3">
        <v>145906000000</v>
      </c>
      <c r="M159" s="3">
        <v>9027276000000</v>
      </c>
      <c r="N159" s="3">
        <v>401468000000</v>
      </c>
      <c r="O159" s="3">
        <v>2153963000000</v>
      </c>
      <c r="P159">
        <f t="shared" si="42"/>
        <v>0.30546852817633996</v>
      </c>
      <c r="Q159">
        <f t="shared" si="43"/>
        <v>1</v>
      </c>
      <c r="R159" t="str">
        <f t="shared" si="34"/>
        <v>Distress</v>
      </c>
      <c r="S159">
        <f t="shared" si="44"/>
        <v>2.1280456126871225E-2</v>
      </c>
      <c r="T159">
        <f t="shared" si="45"/>
        <v>-0.4859951478471452</v>
      </c>
      <c r="U159">
        <f t="shared" si="46"/>
        <v>0.10510567011136265</v>
      </c>
      <c r="V159">
        <f t="shared" si="47"/>
        <v>0.99419315696895361</v>
      </c>
      <c r="X159" s="13">
        <f t="shared" si="35"/>
        <v>-0.91169522682004844</v>
      </c>
      <c r="Y159" s="10"/>
      <c r="Z159" s="10"/>
      <c r="AB159" s="10" t="str">
        <f t="shared" si="36"/>
        <v>Distress</v>
      </c>
      <c r="AC159" s="10">
        <f t="shared" si="37"/>
        <v>1</v>
      </c>
      <c r="AE159" s="10">
        <f t="shared" si="38"/>
        <v>1</v>
      </c>
      <c r="AG159" s="13">
        <f t="shared" si="39"/>
        <v>0.7310585786300049</v>
      </c>
      <c r="AH159" s="13">
        <f t="shared" si="40"/>
        <v>-0.2689414213699951</v>
      </c>
      <c r="AI159" s="10">
        <f t="shared" si="41"/>
        <v>0.19661193324148185</v>
      </c>
    </row>
    <row r="160" spans="1:35" x14ac:dyDescent="0.3">
      <c r="A160" t="s">
        <v>54</v>
      </c>
      <c r="B160">
        <v>2022</v>
      </c>
      <c r="C160" s="3">
        <v>695128000000</v>
      </c>
      <c r="D160" s="3">
        <v>218449000000</v>
      </c>
      <c r="E160" s="3">
        <v>6833737000000</v>
      </c>
      <c r="F160" s="3">
        <v>2162539000000</v>
      </c>
      <c r="G160" s="3">
        <v>3651905000000</v>
      </c>
      <c r="H160" s="3">
        <v>1981666000000</v>
      </c>
      <c r="I160" s="3">
        <v>3179097000000</v>
      </c>
      <c r="J160" s="3">
        <v>-3748372000000</v>
      </c>
      <c r="K160" s="3">
        <v>180873000000</v>
      </c>
      <c r="M160" s="3">
        <v>8242343000000</v>
      </c>
      <c r="N160" s="3">
        <v>373668000000</v>
      </c>
      <c r="O160" s="3">
        <v>2343063000000</v>
      </c>
      <c r="P160">
        <f t="shared" si="42"/>
        <v>-1.6897902380116792E-2</v>
      </c>
      <c r="Q160">
        <f t="shared" si="43"/>
        <v>1</v>
      </c>
      <c r="R160" t="str">
        <f t="shared" si="34"/>
        <v>Distress</v>
      </c>
      <c r="S160">
        <f t="shared" si="44"/>
        <v>2.6467655983834319E-2</v>
      </c>
      <c r="T160">
        <f t="shared" si="45"/>
        <v>-0.54850984168691308</v>
      </c>
      <c r="U160">
        <f t="shared" si="46"/>
        <v>0.1017200398552066</v>
      </c>
      <c r="V160">
        <f t="shared" si="47"/>
        <v>0.87053113375074109</v>
      </c>
      <c r="X160" s="13">
        <f t="shared" si="35"/>
        <v>-1.1065798434124259</v>
      </c>
      <c r="Y160" s="10"/>
      <c r="Z160" s="10"/>
      <c r="AB160" s="10" t="str">
        <f t="shared" si="36"/>
        <v>Distress</v>
      </c>
      <c r="AC160" s="10">
        <f t="shared" si="37"/>
        <v>1</v>
      </c>
      <c r="AE160" s="10">
        <f t="shared" si="38"/>
        <v>1</v>
      </c>
      <c r="AG160" s="13">
        <f t="shared" si="39"/>
        <v>0.7310585786300049</v>
      </c>
      <c r="AH160" s="13">
        <f t="shared" si="40"/>
        <v>-0.2689414213699951</v>
      </c>
      <c r="AI160" s="10">
        <f t="shared" si="41"/>
        <v>0.19661193324148185</v>
      </c>
    </row>
    <row r="161" spans="1:35" x14ac:dyDescent="0.3">
      <c r="A161" t="s">
        <v>55</v>
      </c>
      <c r="B161">
        <v>2025</v>
      </c>
      <c r="C161" s="3">
        <v>415661283057</v>
      </c>
      <c r="E161" s="3">
        <v>2521825089427</v>
      </c>
      <c r="F161" s="3">
        <v>556673833848</v>
      </c>
      <c r="G161" s="3">
        <v>1054996879375</v>
      </c>
      <c r="H161" s="3">
        <v>387906056993</v>
      </c>
      <c r="I161" s="3">
        <v>1466813210052</v>
      </c>
      <c r="J161" s="3">
        <v>1592079396660</v>
      </c>
      <c r="K161" s="3">
        <v>168767776855</v>
      </c>
      <c r="M161" s="3">
        <v>1889269586412</v>
      </c>
      <c r="N161" s="3">
        <v>268779612356</v>
      </c>
      <c r="O161" s="3">
        <v>765108913392</v>
      </c>
      <c r="P161">
        <f t="shared" si="42"/>
        <v>5.0646119526425899</v>
      </c>
      <c r="Q161">
        <f t="shared" si="43"/>
        <v>0</v>
      </c>
      <c r="R161" t="str">
        <f t="shared" si="34"/>
        <v>Safe</v>
      </c>
      <c r="S161">
        <f t="shared" si="44"/>
        <v>6.6922871678363235E-2</v>
      </c>
      <c r="T161">
        <f t="shared" si="45"/>
        <v>0.63132030977681586</v>
      </c>
      <c r="U161">
        <f t="shared" si="46"/>
        <v>0.16482558001334069</v>
      </c>
      <c r="V161">
        <f t="shared" si="47"/>
        <v>1.3903483874956746</v>
      </c>
      <c r="X161" s="13">
        <f t="shared" si="35"/>
        <v>3.3352952491827854</v>
      </c>
      <c r="Y161" s="10"/>
      <c r="Z161" s="10"/>
      <c r="AB161" s="10" t="str">
        <f t="shared" si="36"/>
        <v>Non-Distress</v>
      </c>
      <c r="AC161" s="10">
        <f t="shared" si="37"/>
        <v>0</v>
      </c>
      <c r="AE161" s="10">
        <f t="shared" si="38"/>
        <v>0</v>
      </c>
      <c r="AG161" s="13">
        <f t="shared" si="39"/>
        <v>0.5</v>
      </c>
      <c r="AH161" s="13">
        <f t="shared" si="40"/>
        <v>0.5</v>
      </c>
      <c r="AI161" s="10">
        <f t="shared" si="41"/>
        <v>0.25</v>
      </c>
    </row>
    <row r="162" spans="1:35" x14ac:dyDescent="0.3">
      <c r="A162" t="s">
        <v>55</v>
      </c>
      <c r="B162">
        <v>2024</v>
      </c>
      <c r="C162" s="3">
        <v>340935513391</v>
      </c>
      <c r="D162" s="3">
        <v>59356680417</v>
      </c>
      <c r="E162" s="3">
        <v>2251264513082</v>
      </c>
      <c r="F162" s="3">
        <v>463275666746</v>
      </c>
      <c r="G162" s="3">
        <v>952719259734</v>
      </c>
      <c r="H162" s="3">
        <v>250757108570</v>
      </c>
      <c r="I162" s="3">
        <v>1298530253348</v>
      </c>
      <c r="J162" s="3">
        <v>1346548420335</v>
      </c>
      <c r="K162" s="3">
        <v>212518558176</v>
      </c>
      <c r="M162" s="3">
        <v>1066759270113</v>
      </c>
      <c r="N162" s="3">
        <v>214854888133</v>
      </c>
      <c r="O162" s="3">
        <v>693576923459</v>
      </c>
      <c r="P162">
        <f t="shared" si="42"/>
        <v>5.0179748458046571</v>
      </c>
      <c r="Q162">
        <f t="shared" si="43"/>
        <v>0</v>
      </c>
      <c r="R162" t="str">
        <f t="shared" si="34"/>
        <v>Safe</v>
      </c>
      <c r="S162">
        <f t="shared" si="44"/>
        <v>9.4399639376476607E-2</v>
      </c>
      <c r="T162">
        <f t="shared" si="45"/>
        <v>0.59812981216123906</v>
      </c>
      <c r="U162">
        <f t="shared" si="46"/>
        <v>0.1514417836775015</v>
      </c>
      <c r="V162">
        <f t="shared" si="47"/>
        <v>1.3629726071776387</v>
      </c>
      <c r="X162" s="13">
        <f t="shared" si="35"/>
        <v>3.328528593350045</v>
      </c>
      <c r="Y162" s="10"/>
      <c r="Z162" s="10"/>
      <c r="AB162" s="10" t="str">
        <f t="shared" si="36"/>
        <v>Non-Distress</v>
      </c>
      <c r="AC162" s="10">
        <f t="shared" si="37"/>
        <v>0</v>
      </c>
      <c r="AE162" s="10">
        <f t="shared" si="38"/>
        <v>0</v>
      </c>
      <c r="AG162" s="13">
        <f t="shared" si="39"/>
        <v>0.5</v>
      </c>
      <c r="AH162" s="13">
        <f t="shared" si="40"/>
        <v>0.5</v>
      </c>
      <c r="AI162" s="10">
        <f t="shared" si="41"/>
        <v>0.25</v>
      </c>
    </row>
    <row r="163" spans="1:35" x14ac:dyDescent="0.3">
      <c r="A163" t="s">
        <v>55</v>
      </c>
      <c r="B163">
        <v>2023</v>
      </c>
      <c r="C163" s="3">
        <v>244202418138</v>
      </c>
      <c r="D163" s="3">
        <v>45627881308</v>
      </c>
      <c r="E163" s="3">
        <v>1842857630843</v>
      </c>
      <c r="F163" s="3">
        <v>323758316136</v>
      </c>
      <c r="G163" s="3">
        <v>727686075761</v>
      </c>
      <c r="H163" s="3">
        <v>187487043502</v>
      </c>
      <c r="I163" s="3">
        <v>1115156555082</v>
      </c>
      <c r="J163" s="3">
        <v>1164674722069</v>
      </c>
      <c r="K163" s="3">
        <v>136271272634</v>
      </c>
      <c r="M163" s="3">
        <v>875512425564</v>
      </c>
      <c r="N163" s="3">
        <v>146138989067</v>
      </c>
      <c r="O163" s="3">
        <v>509346154937</v>
      </c>
      <c r="P163">
        <f t="shared" si="42"/>
        <v>5.0449628200902756</v>
      </c>
      <c r="Q163">
        <f t="shared" si="43"/>
        <v>0</v>
      </c>
      <c r="R163" t="str">
        <f t="shared" si="34"/>
        <v>Safe</v>
      </c>
      <c r="S163">
        <f t="shared" si="44"/>
        <v>7.394563223620472E-2</v>
      </c>
      <c r="T163">
        <f t="shared" si="45"/>
        <v>0.63199386788019496</v>
      </c>
      <c r="U163">
        <f t="shared" si="46"/>
        <v>0.13251290498566165</v>
      </c>
      <c r="V163">
        <f t="shared" si="47"/>
        <v>1.5324692779311337</v>
      </c>
      <c r="X163" s="13">
        <f t="shared" si="35"/>
        <v>3.2302238810142141</v>
      </c>
      <c r="Y163" s="10"/>
      <c r="Z163" s="10"/>
      <c r="AB163" s="10" t="str">
        <f t="shared" si="36"/>
        <v>Non-Distress</v>
      </c>
      <c r="AC163" s="10">
        <f t="shared" si="37"/>
        <v>0</v>
      </c>
      <c r="AE163" s="10">
        <f t="shared" si="38"/>
        <v>0</v>
      </c>
      <c r="AG163" s="13">
        <f t="shared" si="39"/>
        <v>0.5</v>
      </c>
      <c r="AH163" s="13">
        <f t="shared" si="40"/>
        <v>0.5</v>
      </c>
      <c r="AI163" s="10">
        <f t="shared" si="41"/>
        <v>0.25</v>
      </c>
    </row>
    <row r="164" spans="1:35" x14ac:dyDescent="0.3">
      <c r="A164" t="s">
        <v>55</v>
      </c>
      <c r="B164">
        <v>2022</v>
      </c>
      <c r="C164" s="3">
        <v>380278240880</v>
      </c>
      <c r="D164" s="3">
        <v>50138090195</v>
      </c>
      <c r="E164" s="3">
        <v>1835253997038</v>
      </c>
      <c r="F164" s="3">
        <v>502527670417</v>
      </c>
      <c r="G164" s="3">
        <v>872142115999</v>
      </c>
      <c r="H164" s="3">
        <v>251246911231</v>
      </c>
      <c r="I164" s="3">
        <v>963096881039</v>
      </c>
      <c r="J164" s="3">
        <v>1015115048026</v>
      </c>
      <c r="K164" s="3">
        <v>251280759186</v>
      </c>
      <c r="M164" s="3">
        <v>970572083452</v>
      </c>
      <c r="N164" s="3">
        <v>252406668731</v>
      </c>
      <c r="O164" s="3">
        <v>644696424985</v>
      </c>
      <c r="P164">
        <f t="shared" si="42"/>
        <v>5.2532945470602037</v>
      </c>
      <c r="Q164">
        <f t="shared" si="43"/>
        <v>0</v>
      </c>
      <c r="R164" t="str">
        <f t="shared" si="34"/>
        <v>Safe</v>
      </c>
      <c r="S164">
        <f t="shared" si="44"/>
        <v>0.13691879139974819</v>
      </c>
      <c r="T164">
        <f t="shared" si="45"/>
        <v>0.55311964974022143</v>
      </c>
      <c r="U164">
        <f t="shared" si="46"/>
        <v>0.20720741733501105</v>
      </c>
      <c r="V164">
        <f t="shared" si="47"/>
        <v>1.1042889265080558</v>
      </c>
      <c r="X164" s="13">
        <f t="shared" si="35"/>
        <v>3.6995222089411106</v>
      </c>
      <c r="Y164" s="10"/>
      <c r="Z164" s="10"/>
      <c r="AB164" s="10" t="str">
        <f t="shared" si="36"/>
        <v>Non-Distress</v>
      </c>
      <c r="AC164" s="10">
        <f t="shared" si="37"/>
        <v>0</v>
      </c>
      <c r="AE164" s="10">
        <f t="shared" si="38"/>
        <v>0</v>
      </c>
      <c r="AG164" s="13">
        <f t="shared" si="39"/>
        <v>0.5</v>
      </c>
      <c r="AH164" s="13">
        <f t="shared" si="40"/>
        <v>0.5</v>
      </c>
      <c r="AI164" s="10">
        <f t="shared" si="41"/>
        <v>0.25</v>
      </c>
    </row>
    <row r="165" spans="1:35" x14ac:dyDescent="0.3">
      <c r="A165" t="s">
        <v>55</v>
      </c>
      <c r="B165">
        <v>2021</v>
      </c>
      <c r="D165" s="3">
        <v>73737126496</v>
      </c>
      <c r="P165" t="e">
        <f t="shared" si="42"/>
        <v>#DIV/0!</v>
      </c>
      <c r="Q165" t="e">
        <f t="shared" si="43"/>
        <v>#DIV/0!</v>
      </c>
      <c r="R165" t="e">
        <f t="shared" si="34"/>
        <v>#DIV/0!</v>
      </c>
      <c r="S165" t="e">
        <f t="shared" si="44"/>
        <v>#DIV/0!</v>
      </c>
      <c r="T165" t="e">
        <f t="shared" si="45"/>
        <v>#DIV/0!</v>
      </c>
      <c r="U165" t="e">
        <f t="shared" si="46"/>
        <v>#DIV/0!</v>
      </c>
      <c r="V165" t="e">
        <f t="shared" si="47"/>
        <v>#DIV/0!</v>
      </c>
      <c r="X165" s="13" t="e">
        <f t="shared" si="35"/>
        <v>#DIV/0!</v>
      </c>
      <c r="Y165" s="10"/>
      <c r="Z165" s="10"/>
      <c r="AB165" s="10" t="e">
        <f t="shared" si="36"/>
        <v>#DIV/0!</v>
      </c>
      <c r="AC165" s="10" t="e">
        <f t="shared" si="37"/>
        <v>#DIV/0!</v>
      </c>
      <c r="AE165" s="10" t="e">
        <f t="shared" si="38"/>
        <v>#DIV/0!</v>
      </c>
      <c r="AG165" s="13" t="e">
        <f t="shared" si="39"/>
        <v>#DIV/0!</v>
      </c>
      <c r="AH165" s="13" t="e">
        <f t="shared" si="40"/>
        <v>#DIV/0!</v>
      </c>
      <c r="AI165" s="10" t="e">
        <f t="shared" si="41"/>
        <v>#DIV/0!</v>
      </c>
    </row>
    <row r="166" spans="1:35" x14ac:dyDescent="0.3">
      <c r="A166" t="s">
        <v>56</v>
      </c>
      <c r="B166">
        <v>2025</v>
      </c>
      <c r="C166" s="3">
        <v>-9454655170</v>
      </c>
      <c r="D166" s="3">
        <v>11479384428</v>
      </c>
      <c r="E166" s="3">
        <v>658635911790</v>
      </c>
      <c r="F166" s="3">
        <v>366872769872</v>
      </c>
      <c r="G166" s="3">
        <v>493940037449</v>
      </c>
      <c r="H166" s="3">
        <v>127940518474</v>
      </c>
      <c r="I166" s="3">
        <v>164750774388</v>
      </c>
      <c r="J166" s="3">
        <v>-590455632208</v>
      </c>
      <c r="K166" s="3">
        <v>238932251398</v>
      </c>
      <c r="M166" s="3">
        <v>116839611251</v>
      </c>
      <c r="N166" s="3">
        <v>-23352375412</v>
      </c>
      <c r="O166" s="3">
        <v>312239069170</v>
      </c>
      <c r="P166">
        <f t="shared" si="42"/>
        <v>-0.28901667494274164</v>
      </c>
      <c r="Q166">
        <f t="shared" si="43"/>
        <v>1</v>
      </c>
      <c r="R166" t="str">
        <f t="shared" si="34"/>
        <v>Distress</v>
      </c>
      <c r="S166">
        <f t="shared" si="44"/>
        <v>0.36276833242913326</v>
      </c>
      <c r="T166">
        <f t="shared" si="45"/>
        <v>-0.8964825962849432</v>
      </c>
      <c r="U166">
        <f t="shared" si="46"/>
        <v>-1.4354903825855353E-2</v>
      </c>
      <c r="V166">
        <f t="shared" si="47"/>
        <v>0.33354407801981584</v>
      </c>
      <c r="X166" s="13">
        <f t="shared" si="35"/>
        <v>-0.77620588545595726</v>
      </c>
      <c r="Y166" s="10"/>
      <c r="Z166" s="10"/>
      <c r="AB166" s="10" t="str">
        <f t="shared" si="36"/>
        <v>Distress</v>
      </c>
      <c r="AC166" s="10">
        <f t="shared" si="37"/>
        <v>1</v>
      </c>
      <c r="AE166" s="10">
        <f t="shared" si="38"/>
        <v>1</v>
      </c>
      <c r="AG166" s="13">
        <f t="shared" si="39"/>
        <v>0.7310585786300049</v>
      </c>
      <c r="AH166" s="13">
        <f t="shared" si="40"/>
        <v>-0.2689414213699951</v>
      </c>
      <c r="AI166" s="10">
        <f t="shared" si="41"/>
        <v>0.19661193324148185</v>
      </c>
    </row>
    <row r="167" spans="1:35" x14ac:dyDescent="0.3">
      <c r="A167" t="s">
        <v>56</v>
      </c>
      <c r="B167">
        <v>2024</v>
      </c>
      <c r="C167" s="3">
        <v>-9375285682</v>
      </c>
      <c r="D167" s="3">
        <v>11186012368</v>
      </c>
      <c r="E167" s="3">
        <v>733392898825</v>
      </c>
      <c r="F167" s="3">
        <v>409698036537</v>
      </c>
      <c r="G167" s="3">
        <v>542710481747</v>
      </c>
      <c r="H167" s="3">
        <v>154008551863</v>
      </c>
      <c r="I167" s="3">
        <v>190725559866</v>
      </c>
      <c r="J167" s="3">
        <v>-592655211730</v>
      </c>
      <c r="K167" s="3">
        <v>255689484674</v>
      </c>
      <c r="M167" s="3">
        <v>145529362070</v>
      </c>
      <c r="N167" s="3">
        <v>-19582504774</v>
      </c>
      <c r="O167" s="3">
        <v>323951956817</v>
      </c>
      <c r="P167">
        <f t="shared" si="42"/>
        <v>-6.4236583262104074E-2</v>
      </c>
      <c r="Q167">
        <f t="shared" si="43"/>
        <v>1</v>
      </c>
      <c r="R167" t="str">
        <f t="shared" si="34"/>
        <v>Distress</v>
      </c>
      <c r="S167">
        <f t="shared" si="44"/>
        <v>0.34863916065133849</v>
      </c>
      <c r="T167">
        <f t="shared" si="45"/>
        <v>-0.80810055930391222</v>
      </c>
      <c r="U167">
        <f t="shared" si="46"/>
        <v>-1.2783442131796673E-2</v>
      </c>
      <c r="V167">
        <f t="shared" si="47"/>
        <v>0.35143150221099317</v>
      </c>
      <c r="X167" s="13">
        <f t="shared" si="35"/>
        <v>-0.56451092838927786</v>
      </c>
      <c r="Y167" s="10"/>
      <c r="Z167" s="10"/>
      <c r="AB167" s="10" t="str">
        <f t="shared" si="36"/>
        <v>Distress</v>
      </c>
      <c r="AC167" s="10">
        <f t="shared" si="37"/>
        <v>1</v>
      </c>
      <c r="AE167" s="10">
        <f t="shared" si="38"/>
        <v>1</v>
      </c>
      <c r="AG167" s="13">
        <f t="shared" si="39"/>
        <v>0.7310585786300049</v>
      </c>
      <c r="AH167" s="13">
        <f t="shared" si="40"/>
        <v>-0.2689414213699951</v>
      </c>
      <c r="AI167" s="10">
        <f t="shared" si="41"/>
        <v>0.19661193324148185</v>
      </c>
    </row>
    <row r="168" spans="1:35" x14ac:dyDescent="0.3">
      <c r="A168" t="s">
        <v>56</v>
      </c>
      <c r="B168">
        <v>2023</v>
      </c>
      <c r="C168" s="3">
        <v>-294410580</v>
      </c>
      <c r="D168" s="3">
        <v>11925030444</v>
      </c>
      <c r="E168" s="3">
        <v>751633765958</v>
      </c>
      <c r="F168" s="3">
        <v>430751516292</v>
      </c>
      <c r="G168" s="3">
        <v>540348546178</v>
      </c>
      <c r="H168" s="3">
        <v>158611498728</v>
      </c>
      <c r="I168" s="3">
        <v>211321679804</v>
      </c>
      <c r="J168" s="3">
        <v>-572059091792</v>
      </c>
      <c r="K168" s="3">
        <v>272140017564</v>
      </c>
      <c r="M168" s="3">
        <v>99239654190</v>
      </c>
      <c r="N168" s="3">
        <v>-9824796901</v>
      </c>
      <c r="O168" s="3">
        <v>322038458826</v>
      </c>
      <c r="P168">
        <f t="shared" si="42"/>
        <v>0.30200477543111304</v>
      </c>
      <c r="Q168">
        <f t="shared" si="43"/>
        <v>1</v>
      </c>
      <c r="R168" t="str">
        <f t="shared" si="34"/>
        <v>Distress</v>
      </c>
      <c r="S168">
        <f t="shared" si="44"/>
        <v>0.36206465154893896</v>
      </c>
      <c r="T168">
        <f t="shared" si="45"/>
        <v>-0.76108753717693634</v>
      </c>
      <c r="U168">
        <f t="shared" si="46"/>
        <v>-3.9169419115273112E-4</v>
      </c>
      <c r="V168">
        <f t="shared" si="47"/>
        <v>0.39108401660136427</v>
      </c>
      <c r="X168" s="13">
        <f t="shared" si="35"/>
        <v>-0.2667181878516463</v>
      </c>
      <c r="Y168" s="10"/>
      <c r="Z168" s="10"/>
      <c r="AB168" s="10" t="str">
        <f t="shared" si="36"/>
        <v>Distress</v>
      </c>
      <c r="AC168" s="10">
        <f t="shared" si="37"/>
        <v>1</v>
      </c>
      <c r="AE168" s="10">
        <f t="shared" si="38"/>
        <v>1</v>
      </c>
      <c r="AG168" s="13">
        <f t="shared" si="39"/>
        <v>0.7310585786300049</v>
      </c>
      <c r="AH168" s="13">
        <f t="shared" si="40"/>
        <v>-0.2689414213699951</v>
      </c>
      <c r="AI168" s="10">
        <f t="shared" si="41"/>
        <v>0.19661193324148185</v>
      </c>
    </row>
    <row r="169" spans="1:35" x14ac:dyDescent="0.3">
      <c r="A169" t="s">
        <v>56</v>
      </c>
      <c r="B169">
        <v>2022</v>
      </c>
      <c r="C169" s="3">
        <v>-13051689260</v>
      </c>
      <c r="D169" s="3">
        <v>25283290358</v>
      </c>
      <c r="E169" s="3">
        <v>712262467657</v>
      </c>
      <c r="F169" s="3">
        <v>435146467918</v>
      </c>
      <c r="G169" s="3">
        <v>539457360678</v>
      </c>
      <c r="H169" s="3">
        <v>364143101148</v>
      </c>
      <c r="I169" s="3">
        <v>172838477865</v>
      </c>
      <c r="J169" s="3">
        <v>-566136613731</v>
      </c>
      <c r="K169" s="3">
        <v>71003366770</v>
      </c>
      <c r="M169" s="3">
        <v>115113867868</v>
      </c>
      <c r="N169" s="3">
        <v>-33169322394</v>
      </c>
      <c r="O169" s="3">
        <v>335932032635</v>
      </c>
      <c r="P169">
        <f t="shared" si="42"/>
        <v>-1.7239661187967528</v>
      </c>
      <c r="Q169">
        <f t="shared" si="43"/>
        <v>1</v>
      </c>
      <c r="R169" t="str">
        <f t="shared" si="34"/>
        <v>Distress</v>
      </c>
      <c r="S169">
        <f t="shared" si="44"/>
        <v>9.9687081650626397E-2</v>
      </c>
      <c r="T169">
        <f t="shared" si="45"/>
        <v>-0.79484268712531836</v>
      </c>
      <c r="U169">
        <f t="shared" si="46"/>
        <v>-1.8324269286480534E-2</v>
      </c>
      <c r="V169">
        <f t="shared" si="47"/>
        <v>0.32039321448459501</v>
      </c>
      <c r="X169" s="13">
        <f t="shared" si="35"/>
        <v>-2.0707767691656027</v>
      </c>
      <c r="Y169" s="10"/>
      <c r="Z169" s="10"/>
      <c r="AB169" s="10" t="str">
        <f t="shared" si="36"/>
        <v>Distress</v>
      </c>
      <c r="AC169" s="10">
        <f t="shared" si="37"/>
        <v>1</v>
      </c>
      <c r="AE169" s="10">
        <f t="shared" si="38"/>
        <v>1</v>
      </c>
      <c r="AG169" s="13">
        <f t="shared" si="39"/>
        <v>0.7310585786300049</v>
      </c>
      <c r="AH169" s="13">
        <f t="shared" si="40"/>
        <v>-0.2689414213699951</v>
      </c>
      <c r="AI169" s="10">
        <f t="shared" si="41"/>
        <v>0.19661193324148185</v>
      </c>
    </row>
    <row r="170" spans="1:35" x14ac:dyDescent="0.3">
      <c r="A170" t="s">
        <v>57</v>
      </c>
      <c r="B170">
        <v>2025</v>
      </c>
      <c r="C170" s="3">
        <v>378135000000</v>
      </c>
      <c r="D170" s="3">
        <v>82309000000</v>
      </c>
      <c r="E170" s="3">
        <v>4040985000000</v>
      </c>
      <c r="F170" s="3">
        <v>3180012000000</v>
      </c>
      <c r="G170" s="3">
        <v>2949879000000</v>
      </c>
      <c r="H170" s="3">
        <v>2791405000000</v>
      </c>
      <c r="I170" s="3">
        <v>1064936000000</v>
      </c>
      <c r="J170" s="3">
        <v>198617000000</v>
      </c>
      <c r="K170" s="3">
        <v>388607000000</v>
      </c>
      <c r="M170" s="3">
        <v>4147334000000</v>
      </c>
      <c r="N170" s="3">
        <v>218849000000</v>
      </c>
      <c r="O170" s="3">
        <v>1119208000000</v>
      </c>
      <c r="P170">
        <f t="shared" si="42"/>
        <v>1.7989669837128657</v>
      </c>
      <c r="Q170">
        <f t="shared" si="43"/>
        <v>0</v>
      </c>
      <c r="R170" t="str">
        <f t="shared" si="34"/>
        <v>Grey Area</v>
      </c>
      <c r="S170">
        <f t="shared" si="44"/>
        <v>9.6166404973044933E-2</v>
      </c>
      <c r="T170">
        <f t="shared" si="45"/>
        <v>4.915064025231472E-2</v>
      </c>
      <c r="U170">
        <f t="shared" si="46"/>
        <v>9.3574957590785421E-2</v>
      </c>
      <c r="V170">
        <f t="shared" si="47"/>
        <v>0.36101006176863526</v>
      </c>
      <c r="X170" s="13">
        <f t="shared" si="35"/>
        <v>1.2170234240462754</v>
      </c>
      <c r="Y170" s="10"/>
      <c r="Z170" s="10"/>
      <c r="AB170" s="10" t="str">
        <f t="shared" si="36"/>
        <v>Non-Distress</v>
      </c>
      <c r="AC170" s="10">
        <f t="shared" si="37"/>
        <v>0</v>
      </c>
      <c r="AE170" s="10">
        <f t="shared" si="38"/>
        <v>0</v>
      </c>
      <c r="AG170" s="13">
        <f t="shared" si="39"/>
        <v>0.5</v>
      </c>
      <c r="AH170" s="13">
        <f t="shared" si="40"/>
        <v>0.5</v>
      </c>
      <c r="AI170" s="10">
        <f t="shared" si="41"/>
        <v>0.25</v>
      </c>
    </row>
    <row r="171" spans="1:35" x14ac:dyDescent="0.3">
      <c r="A171" t="s">
        <v>57</v>
      </c>
      <c r="B171">
        <v>2024</v>
      </c>
      <c r="C171" s="3">
        <v>281494000000</v>
      </c>
      <c r="D171" s="3">
        <v>69114000000</v>
      </c>
      <c r="E171" s="3">
        <v>2910383000000</v>
      </c>
      <c r="F171" s="3">
        <v>2077520000000</v>
      </c>
      <c r="G171" s="3">
        <v>2128786000000</v>
      </c>
      <c r="H171" s="3">
        <v>2025947000000</v>
      </c>
      <c r="I171" s="3">
        <v>758462000000</v>
      </c>
      <c r="J171" s="3">
        <v>87010000000</v>
      </c>
      <c r="K171" s="3">
        <v>51573000000</v>
      </c>
      <c r="M171" s="3">
        <v>3373117000000</v>
      </c>
      <c r="N171" s="3">
        <v>178686000000</v>
      </c>
      <c r="O171" s="3">
        <v>996937000000</v>
      </c>
      <c r="P171">
        <f t="shared" si="42"/>
        <v>1.2377731711404545</v>
      </c>
      <c r="Q171">
        <f t="shared" si="43"/>
        <v>0</v>
      </c>
      <c r="R171" t="str">
        <f t="shared" si="34"/>
        <v>Grey Area</v>
      </c>
      <c r="S171">
        <f t="shared" si="44"/>
        <v>1.7720348146618502E-2</v>
      </c>
      <c r="T171">
        <f t="shared" si="45"/>
        <v>2.9896408823168633E-2</v>
      </c>
      <c r="U171">
        <f t="shared" si="46"/>
        <v>9.6720603439478581E-2</v>
      </c>
      <c r="V171">
        <f t="shared" si="47"/>
        <v>0.35628851373505838</v>
      </c>
      <c r="X171" s="13">
        <f t="shared" si="35"/>
        <v>0.68947059255053933</v>
      </c>
      <c r="Y171" s="10"/>
      <c r="Z171" s="10"/>
      <c r="AB171" s="10" t="str">
        <f t="shared" si="36"/>
        <v>Non-Distress</v>
      </c>
      <c r="AC171" s="10">
        <f t="shared" si="37"/>
        <v>0</v>
      </c>
      <c r="AE171" s="10">
        <f t="shared" si="38"/>
        <v>0</v>
      </c>
      <c r="AG171" s="13">
        <f t="shared" si="39"/>
        <v>0.5</v>
      </c>
      <c r="AH171" s="13">
        <f t="shared" si="40"/>
        <v>0.5</v>
      </c>
      <c r="AI171" s="10">
        <f t="shared" si="41"/>
        <v>0.25</v>
      </c>
    </row>
    <row r="172" spans="1:35" x14ac:dyDescent="0.3">
      <c r="A172" t="s">
        <v>57</v>
      </c>
      <c r="B172">
        <v>2023</v>
      </c>
      <c r="C172" s="3">
        <v>115279000000</v>
      </c>
      <c r="D172" s="3">
        <v>53038000000</v>
      </c>
      <c r="E172" s="3">
        <v>2420157000000</v>
      </c>
      <c r="F172" s="3">
        <v>1766263000000</v>
      </c>
      <c r="G172" s="3">
        <v>1698698000000</v>
      </c>
      <c r="H172" s="3">
        <v>1540428000000</v>
      </c>
      <c r="I172" s="3">
        <v>626484000000</v>
      </c>
      <c r="J172" s="3">
        <v>236064000000</v>
      </c>
      <c r="K172" s="3">
        <v>225835000000</v>
      </c>
      <c r="M172" s="3">
        <v>3039796000000</v>
      </c>
      <c r="N172" s="3">
        <v>15236000000</v>
      </c>
      <c r="O172" s="3">
        <v>821685000000</v>
      </c>
      <c r="P172">
        <f t="shared" si="42"/>
        <v>1.6374594566198644</v>
      </c>
      <c r="Q172">
        <f t="shared" si="43"/>
        <v>0</v>
      </c>
      <c r="R172" t="str">
        <f t="shared" si="34"/>
        <v>Grey Area</v>
      </c>
      <c r="S172">
        <f t="shared" si="44"/>
        <v>9.3314194079144458E-2</v>
      </c>
      <c r="T172">
        <f t="shared" si="45"/>
        <v>9.7540779379189035E-2</v>
      </c>
      <c r="U172">
        <f t="shared" si="46"/>
        <v>4.7632860182211322E-2</v>
      </c>
      <c r="V172">
        <f t="shared" si="47"/>
        <v>0.36880245929529559</v>
      </c>
      <c r="X172" s="13">
        <f t="shared" si="35"/>
        <v>1.1362921855023314</v>
      </c>
      <c r="Y172" s="10"/>
      <c r="Z172" s="10"/>
      <c r="AB172" s="10" t="str">
        <f t="shared" si="36"/>
        <v>Non-Distress</v>
      </c>
      <c r="AC172" s="10">
        <f t="shared" si="37"/>
        <v>0</v>
      </c>
      <c r="AE172" s="10">
        <f t="shared" si="38"/>
        <v>0</v>
      </c>
      <c r="AG172" s="13">
        <f t="shared" si="39"/>
        <v>0.5</v>
      </c>
      <c r="AH172" s="13">
        <f t="shared" si="40"/>
        <v>0.5</v>
      </c>
      <c r="AI172" s="10">
        <f t="shared" si="41"/>
        <v>0.25</v>
      </c>
    </row>
    <row r="173" spans="1:35" x14ac:dyDescent="0.3">
      <c r="A173" t="s">
        <v>57</v>
      </c>
      <c r="B173">
        <v>2022</v>
      </c>
      <c r="C173" s="3">
        <v>190679000000</v>
      </c>
      <c r="D173" s="3">
        <v>22492000000</v>
      </c>
      <c r="E173" s="3">
        <v>2190763000000</v>
      </c>
      <c r="F173" s="3">
        <v>1861065000000</v>
      </c>
      <c r="G173" s="3">
        <v>1653497000000</v>
      </c>
      <c r="H173" s="3">
        <v>1531002000000</v>
      </c>
      <c r="I173" s="3">
        <v>521826000000</v>
      </c>
      <c r="J173" s="3">
        <v>223406000000</v>
      </c>
      <c r="K173" s="3">
        <v>330063000000</v>
      </c>
      <c r="M173" s="3">
        <v>1687154000000</v>
      </c>
      <c r="N173" s="3">
        <v>142301000000</v>
      </c>
      <c r="O173" s="3">
        <v>780806000000</v>
      </c>
      <c r="P173">
        <f t="shared" si="42"/>
        <v>2.2370426213500028</v>
      </c>
      <c r="Q173">
        <f t="shared" si="43"/>
        <v>0</v>
      </c>
      <c r="R173" t="str">
        <f t="shared" si="34"/>
        <v>Grey Area</v>
      </c>
      <c r="S173">
        <f t="shared" si="44"/>
        <v>0.15066120799009294</v>
      </c>
      <c r="T173">
        <f t="shared" si="45"/>
        <v>0.10197634340181937</v>
      </c>
      <c r="U173">
        <f t="shared" si="46"/>
        <v>8.7037712431696168E-2</v>
      </c>
      <c r="V173">
        <f t="shared" si="47"/>
        <v>0.31558932371815612</v>
      </c>
      <c r="X173" s="13">
        <f t="shared" si="35"/>
        <v>1.6896610340160247</v>
      </c>
      <c r="Y173" s="10"/>
      <c r="Z173" s="10"/>
      <c r="AB173" s="10" t="str">
        <f t="shared" si="36"/>
        <v>Non-Distress</v>
      </c>
      <c r="AC173" s="10">
        <f t="shared" si="37"/>
        <v>0</v>
      </c>
      <c r="AE173" s="10">
        <f t="shared" si="38"/>
        <v>0</v>
      </c>
      <c r="AG173" s="13">
        <f t="shared" si="39"/>
        <v>0.5</v>
      </c>
      <c r="AH173" s="13">
        <f t="shared" si="40"/>
        <v>0.5</v>
      </c>
      <c r="AI173" s="10">
        <f t="shared" si="41"/>
        <v>0.25</v>
      </c>
    </row>
    <row r="174" spans="1:35" x14ac:dyDescent="0.3">
      <c r="A174" t="s">
        <v>58</v>
      </c>
      <c r="B174">
        <v>2025</v>
      </c>
      <c r="C174" s="3">
        <v>189584178000</v>
      </c>
      <c r="D174" s="3">
        <v>505450000</v>
      </c>
      <c r="E174" s="3">
        <v>1126488432000</v>
      </c>
      <c r="F174" s="3">
        <v>881840377000</v>
      </c>
      <c r="G174" s="3">
        <v>370031657000</v>
      </c>
      <c r="H174" s="3">
        <v>307808126000</v>
      </c>
      <c r="I174" s="3">
        <v>755522639000</v>
      </c>
      <c r="J174" s="3">
        <v>720475802000</v>
      </c>
      <c r="K174" s="3">
        <v>574032251000</v>
      </c>
      <c r="M174" s="3">
        <v>674527814000</v>
      </c>
      <c r="N174" s="3">
        <v>149915527000</v>
      </c>
      <c r="O174" s="3">
        <v>6627924000</v>
      </c>
      <c r="P174">
        <f t="shared" si="42"/>
        <v>8.7026637794449009</v>
      </c>
      <c r="Q174">
        <f t="shared" si="43"/>
        <v>0</v>
      </c>
      <c r="R174" t="str">
        <f t="shared" si="34"/>
        <v>Safe</v>
      </c>
      <c r="S174">
        <f t="shared" si="44"/>
        <v>0.50957669399307248</v>
      </c>
      <c r="T174">
        <f t="shared" si="45"/>
        <v>0.63957674267533005</v>
      </c>
      <c r="U174">
        <f t="shared" si="46"/>
        <v>0.16829660439868591</v>
      </c>
      <c r="V174">
        <f t="shared" si="47"/>
        <v>2.0417783849234281</v>
      </c>
      <c r="X174" s="13">
        <f t="shared" si="35"/>
        <v>6.1126120621304469</v>
      </c>
      <c r="Y174" s="10"/>
      <c r="Z174" s="10"/>
      <c r="AB174" s="10" t="str">
        <f t="shared" si="36"/>
        <v>Non-Distress</v>
      </c>
      <c r="AC174" s="10">
        <f t="shared" si="37"/>
        <v>0</v>
      </c>
      <c r="AE174" s="10">
        <f t="shared" si="38"/>
        <v>0</v>
      </c>
      <c r="AG174" s="13">
        <f t="shared" si="39"/>
        <v>0.5</v>
      </c>
      <c r="AH174" s="13">
        <f t="shared" si="40"/>
        <v>0.5</v>
      </c>
      <c r="AI174" s="10">
        <f t="shared" si="41"/>
        <v>0.25</v>
      </c>
    </row>
    <row r="175" spans="1:35" x14ac:dyDescent="0.3">
      <c r="A175" t="s">
        <v>58</v>
      </c>
      <c r="B175">
        <v>2024</v>
      </c>
      <c r="C175" s="3">
        <v>182198020000</v>
      </c>
      <c r="D175" s="3">
        <v>352141000</v>
      </c>
      <c r="E175" s="3">
        <v>1086503322000</v>
      </c>
      <c r="F175" s="3">
        <v>828753808000</v>
      </c>
      <c r="G175" s="3">
        <v>335427997000</v>
      </c>
      <c r="H175" s="3">
        <v>274076501000</v>
      </c>
      <c r="I175" s="3">
        <v>747199168000</v>
      </c>
      <c r="J175" s="3">
        <v>712153331000</v>
      </c>
      <c r="K175" s="3">
        <v>554677307000</v>
      </c>
      <c r="M175" s="3">
        <v>646763576000</v>
      </c>
      <c r="N175" s="3">
        <v>136342066000</v>
      </c>
      <c r="O175" s="3">
        <v>7846412000</v>
      </c>
      <c r="P175">
        <f t="shared" si="42"/>
        <v>8.9516361530352313</v>
      </c>
      <c r="Q175">
        <f t="shared" si="43"/>
        <v>0</v>
      </c>
      <c r="R175" t="str">
        <f t="shared" si="34"/>
        <v>Safe</v>
      </c>
      <c r="S175">
        <f t="shared" si="44"/>
        <v>0.51051597889177924</v>
      </c>
      <c r="T175">
        <f t="shared" si="45"/>
        <v>0.65545435212208214</v>
      </c>
      <c r="U175">
        <f t="shared" si="46"/>
        <v>0.16769209657326753</v>
      </c>
      <c r="V175">
        <f t="shared" si="47"/>
        <v>2.2275992901093464</v>
      </c>
      <c r="X175" s="13">
        <f t="shared" si="35"/>
        <v>6.1754520538458175</v>
      </c>
      <c r="Y175" s="10"/>
      <c r="Z175" s="10"/>
      <c r="AB175" s="10" t="str">
        <f t="shared" si="36"/>
        <v>Non-Distress</v>
      </c>
      <c r="AC175" s="10">
        <f t="shared" si="37"/>
        <v>0</v>
      </c>
      <c r="AE175" s="10">
        <f t="shared" si="38"/>
        <v>0</v>
      </c>
      <c r="AG175" s="13">
        <f t="shared" si="39"/>
        <v>0.5</v>
      </c>
      <c r="AH175" s="13">
        <f t="shared" si="40"/>
        <v>0.5</v>
      </c>
      <c r="AI175" s="10">
        <f t="shared" si="41"/>
        <v>0.25</v>
      </c>
    </row>
    <row r="176" spans="1:35" x14ac:dyDescent="0.3">
      <c r="A176" t="s">
        <v>58</v>
      </c>
      <c r="B176">
        <v>2023</v>
      </c>
      <c r="C176" s="3">
        <v>251130452000</v>
      </c>
      <c r="D176" s="3">
        <v>0</v>
      </c>
      <c r="E176" s="3">
        <v>1173666197000</v>
      </c>
      <c r="F176" s="3">
        <v>911415741000</v>
      </c>
      <c r="G176" s="3">
        <v>332148029000</v>
      </c>
      <c r="H176" s="3">
        <v>275248447000</v>
      </c>
      <c r="I176" s="3">
        <v>837734641000</v>
      </c>
      <c r="J176" s="3">
        <v>802689804000</v>
      </c>
      <c r="K176" s="3">
        <v>636167294000</v>
      </c>
      <c r="M176" s="3">
        <v>736838613000</v>
      </c>
      <c r="N176" s="3">
        <v>199094088000</v>
      </c>
      <c r="O176" s="3">
        <v>0</v>
      </c>
      <c r="P176">
        <f t="shared" si="42"/>
        <v>9.8714787678789566</v>
      </c>
      <c r="Q176">
        <f t="shared" si="43"/>
        <v>0</v>
      </c>
      <c r="R176" t="str">
        <f t="shared" si="34"/>
        <v>Safe</v>
      </c>
      <c r="S176">
        <f t="shared" si="44"/>
        <v>0.54203426461978954</v>
      </c>
      <c r="T176">
        <f t="shared" si="45"/>
        <v>0.68391660767921048</v>
      </c>
      <c r="U176">
        <f t="shared" si="46"/>
        <v>0.2139709336793654</v>
      </c>
      <c r="V176">
        <f t="shared" si="47"/>
        <v>2.522172549155786</v>
      </c>
      <c r="X176" s="13">
        <f t="shared" si="35"/>
        <v>6.6978994323387528</v>
      </c>
      <c r="Y176" s="10"/>
      <c r="Z176" s="10"/>
      <c r="AB176" s="10" t="str">
        <f t="shared" si="36"/>
        <v>Non-Distress</v>
      </c>
      <c r="AC176" s="10">
        <f t="shared" si="37"/>
        <v>0</v>
      </c>
      <c r="AE176" s="10">
        <f t="shared" si="38"/>
        <v>0</v>
      </c>
      <c r="AG176" s="13">
        <f t="shared" si="39"/>
        <v>0.5</v>
      </c>
      <c r="AH176" s="13">
        <f t="shared" si="40"/>
        <v>0.5</v>
      </c>
      <c r="AI176" s="10">
        <f t="shared" si="41"/>
        <v>0.25</v>
      </c>
    </row>
    <row r="177" spans="1:35" x14ac:dyDescent="0.3">
      <c r="A177" t="s">
        <v>58</v>
      </c>
      <c r="B177">
        <v>2022</v>
      </c>
      <c r="C177" s="3">
        <v>269772032000</v>
      </c>
      <c r="E177" s="3">
        <v>1307186367000</v>
      </c>
      <c r="F177" s="3">
        <v>1165412820000</v>
      </c>
      <c r="G177" s="3">
        <v>306410502000</v>
      </c>
      <c r="H177" s="3">
        <v>255354186000</v>
      </c>
      <c r="I177" s="3">
        <v>997510091000</v>
      </c>
      <c r="J177" s="3">
        <v>962466254000</v>
      </c>
      <c r="K177" s="3">
        <v>910058634000</v>
      </c>
      <c r="M177" s="3">
        <v>778744315000</v>
      </c>
      <c r="N177" s="3">
        <v>230209661000</v>
      </c>
      <c r="P177">
        <f t="shared" si="42"/>
        <v>11.772440333160617</v>
      </c>
      <c r="Q177">
        <f t="shared" si="43"/>
        <v>0</v>
      </c>
      <c r="R177" t="str">
        <f t="shared" si="34"/>
        <v>Safe</v>
      </c>
      <c r="S177">
        <f t="shared" si="44"/>
        <v>0.69619654624197902</v>
      </c>
      <c r="T177">
        <f t="shared" si="45"/>
        <v>0.73628847293509148</v>
      </c>
      <c r="U177">
        <f t="shared" si="46"/>
        <v>0.20637610581812318</v>
      </c>
      <c r="V177">
        <f t="shared" si="47"/>
        <v>3.2554696542352848</v>
      </c>
      <c r="X177" s="13">
        <f t="shared" si="35"/>
        <v>7.8065499603875352</v>
      </c>
      <c r="Y177" s="10"/>
      <c r="Z177" s="10"/>
      <c r="AB177" s="10" t="str">
        <f t="shared" si="36"/>
        <v>Non-Distress</v>
      </c>
      <c r="AC177" s="10">
        <f t="shared" si="37"/>
        <v>0</v>
      </c>
      <c r="AE177" s="10">
        <f t="shared" si="38"/>
        <v>0</v>
      </c>
      <c r="AG177" s="13">
        <f t="shared" si="39"/>
        <v>0.5</v>
      </c>
      <c r="AH177" s="13">
        <f t="shared" si="40"/>
        <v>0.5</v>
      </c>
      <c r="AI177" s="10">
        <f t="shared" si="41"/>
        <v>0.25</v>
      </c>
    </row>
    <row r="178" spans="1:35" x14ac:dyDescent="0.3">
      <c r="A178" t="s">
        <v>59</v>
      </c>
      <c r="B178">
        <v>2025</v>
      </c>
      <c r="C178" s="3">
        <v>549303000000</v>
      </c>
      <c r="D178" s="3">
        <v>2099000000</v>
      </c>
      <c r="E178" s="3">
        <v>8313889000000</v>
      </c>
      <c r="F178" s="3">
        <v>4642608000000</v>
      </c>
      <c r="G178" s="3">
        <v>1736341000000</v>
      </c>
      <c r="H178" s="3">
        <v>1476102000000</v>
      </c>
      <c r="I178" s="3">
        <v>6544612000000</v>
      </c>
      <c r="J178" s="3">
        <v>3950613000000</v>
      </c>
      <c r="K178" s="3">
        <v>3166506000000</v>
      </c>
      <c r="M178" s="3">
        <v>11098665000000</v>
      </c>
      <c r="N178" s="3">
        <v>431182000000</v>
      </c>
      <c r="O178" s="3">
        <v>97228000000</v>
      </c>
      <c r="P178">
        <f t="shared" si="42"/>
        <v>8.4492488689387955</v>
      </c>
      <c r="Q178">
        <f t="shared" si="43"/>
        <v>0</v>
      </c>
      <c r="R178" t="str">
        <f t="shared" si="34"/>
        <v>Safe</v>
      </c>
      <c r="S178">
        <f t="shared" si="44"/>
        <v>0.38086941021223641</v>
      </c>
      <c r="T178">
        <f t="shared" si="45"/>
        <v>0.47518231239315317</v>
      </c>
      <c r="U178">
        <f t="shared" si="46"/>
        <v>6.6070523674299719E-2</v>
      </c>
      <c r="V178">
        <f t="shared" si="47"/>
        <v>3.7691974099557632</v>
      </c>
      <c r="X178" s="13">
        <f t="shared" si="35"/>
        <v>4.3668455015132857</v>
      </c>
      <c r="Y178" s="10"/>
      <c r="Z178" s="10"/>
      <c r="AB178" s="10" t="str">
        <f t="shared" si="36"/>
        <v>Non-Distress</v>
      </c>
      <c r="AC178" s="10">
        <f t="shared" si="37"/>
        <v>0</v>
      </c>
      <c r="AE178" s="10">
        <f t="shared" si="38"/>
        <v>0</v>
      </c>
      <c r="AG178" s="13">
        <f t="shared" si="39"/>
        <v>0.5</v>
      </c>
      <c r="AH178" s="13">
        <f t="shared" si="40"/>
        <v>0.5</v>
      </c>
      <c r="AI178" s="10">
        <f t="shared" si="41"/>
        <v>0.25</v>
      </c>
    </row>
    <row r="179" spans="1:35" x14ac:dyDescent="0.3">
      <c r="A179" t="s">
        <v>59</v>
      </c>
      <c r="B179">
        <v>2024</v>
      </c>
      <c r="C179" s="3">
        <v>467715000000</v>
      </c>
      <c r="D179" s="3">
        <v>2119000000</v>
      </c>
      <c r="E179" s="3">
        <v>7454096000000</v>
      </c>
      <c r="F179" s="3">
        <v>4093484000000</v>
      </c>
      <c r="G179" s="3">
        <v>1249645000000</v>
      </c>
      <c r="H179" s="3">
        <v>1059189000000</v>
      </c>
      <c r="I179" s="3">
        <v>6175484000000</v>
      </c>
      <c r="J179" s="3">
        <v>3658086000000</v>
      </c>
      <c r="K179" s="3">
        <v>3034295000000</v>
      </c>
      <c r="M179" s="3">
        <v>9811549000000</v>
      </c>
      <c r="N179" s="3">
        <v>363944000000</v>
      </c>
      <c r="O179" s="3">
        <v>2167000000</v>
      </c>
      <c r="P179">
        <f t="shared" si="42"/>
        <v>9.8807141091339101</v>
      </c>
      <c r="Q179">
        <f t="shared" si="43"/>
        <v>0</v>
      </c>
      <c r="R179" t="str">
        <f t="shared" si="34"/>
        <v>Safe</v>
      </c>
      <c r="S179">
        <f t="shared" si="44"/>
        <v>0.40706411615841814</v>
      </c>
      <c r="T179">
        <f t="shared" si="45"/>
        <v>0.49074844219875891</v>
      </c>
      <c r="U179">
        <f t="shared" si="46"/>
        <v>6.2746039224608863E-2</v>
      </c>
      <c r="V179">
        <f t="shared" si="47"/>
        <v>4.941790668549868</v>
      </c>
      <c r="X179" s="13">
        <f t="shared" si="35"/>
        <v>4.6122582457847949</v>
      </c>
      <c r="Y179" s="10"/>
      <c r="Z179" s="10"/>
      <c r="AB179" s="10" t="str">
        <f t="shared" si="36"/>
        <v>Non-Distress</v>
      </c>
      <c r="AC179" s="10">
        <f t="shared" si="37"/>
        <v>0</v>
      </c>
      <c r="AE179" s="10">
        <f t="shared" si="38"/>
        <v>0</v>
      </c>
      <c r="AG179" s="13">
        <f t="shared" si="39"/>
        <v>0.5</v>
      </c>
      <c r="AH179" s="13">
        <f t="shared" si="40"/>
        <v>0.5</v>
      </c>
      <c r="AI179" s="10">
        <f t="shared" si="41"/>
        <v>0.25</v>
      </c>
    </row>
    <row r="180" spans="1:35" x14ac:dyDescent="0.3">
      <c r="A180" t="s">
        <v>59</v>
      </c>
      <c r="B180">
        <v>2023</v>
      </c>
      <c r="C180" s="3">
        <v>429127000000</v>
      </c>
      <c r="D180" s="3">
        <v>15995000000</v>
      </c>
      <c r="E180" s="3">
        <v>7166880000000</v>
      </c>
      <c r="F180" s="3">
        <v>4138435000000</v>
      </c>
      <c r="G180" s="3">
        <v>1335148000000</v>
      </c>
      <c r="H180" s="3">
        <v>1163284000000</v>
      </c>
      <c r="I180" s="3">
        <v>5802535000000</v>
      </c>
      <c r="J180" s="3">
        <v>3348952000000</v>
      </c>
      <c r="K180" s="3">
        <v>2975151000000</v>
      </c>
      <c r="M180" s="3">
        <v>9239926000000</v>
      </c>
      <c r="N180" s="3">
        <v>311183000000</v>
      </c>
      <c r="O180" s="3">
        <v>8255000000</v>
      </c>
      <c r="P180">
        <f t="shared" si="42"/>
        <v>9.2122134595826068</v>
      </c>
      <c r="Q180">
        <f t="shared" si="43"/>
        <v>0</v>
      </c>
      <c r="R180" t="str">
        <f t="shared" si="34"/>
        <v>Safe</v>
      </c>
      <c r="S180">
        <f t="shared" si="44"/>
        <v>0.41512499162815619</v>
      </c>
      <c r="T180">
        <f t="shared" si="45"/>
        <v>0.46728171812559999</v>
      </c>
      <c r="U180">
        <f t="shared" si="46"/>
        <v>5.9876403679146296E-2</v>
      </c>
      <c r="V180">
        <f t="shared" si="47"/>
        <v>4.3459863625605548</v>
      </c>
      <c r="X180" s="13">
        <f t="shared" si="35"/>
        <v>4.5451344526620305</v>
      </c>
      <c r="Y180" s="10"/>
      <c r="Z180" s="10"/>
      <c r="AB180" s="10" t="str">
        <f t="shared" si="36"/>
        <v>Non-Distress</v>
      </c>
      <c r="AC180" s="10">
        <f t="shared" si="37"/>
        <v>0</v>
      </c>
      <c r="AE180" s="10">
        <f t="shared" si="38"/>
        <v>0</v>
      </c>
      <c r="AG180" s="13">
        <f t="shared" si="39"/>
        <v>0.5</v>
      </c>
      <c r="AH180" s="13">
        <f t="shared" si="40"/>
        <v>0.5</v>
      </c>
      <c r="AI180" s="10">
        <f t="shared" si="41"/>
        <v>0.25</v>
      </c>
    </row>
    <row r="181" spans="1:35" x14ac:dyDescent="0.3">
      <c r="A181" t="s">
        <v>59</v>
      </c>
      <c r="B181">
        <v>2022</v>
      </c>
      <c r="C181" s="3">
        <v>504196000000</v>
      </c>
      <c r="D181" s="3">
        <v>5421000000</v>
      </c>
      <c r="E181" s="3">
        <v>6878297000000</v>
      </c>
      <c r="F181" s="3">
        <v>4275936000000</v>
      </c>
      <c r="G181" s="3">
        <v>1467035000000</v>
      </c>
      <c r="H181" s="3">
        <v>1312391000000</v>
      </c>
      <c r="I181" s="3">
        <v>5390111000000</v>
      </c>
      <c r="J181" s="3">
        <v>3113523000000</v>
      </c>
      <c r="K181" s="3">
        <v>2963545000000</v>
      </c>
      <c r="M181" s="3">
        <v>8461768000000</v>
      </c>
      <c r="N181" s="3">
        <v>377895000000</v>
      </c>
      <c r="O181" s="3">
        <v>179311000000</v>
      </c>
      <c r="P181">
        <f t="shared" si="42"/>
        <v>8.6525266947774178</v>
      </c>
      <c r="Q181">
        <f t="shared" si="43"/>
        <v>0</v>
      </c>
      <c r="R181" t="str">
        <f t="shared" si="34"/>
        <v>Safe</v>
      </c>
      <c r="S181">
        <f t="shared" si="44"/>
        <v>0.43085446877330247</v>
      </c>
      <c r="T181">
        <f t="shared" si="45"/>
        <v>0.45265899393410897</v>
      </c>
      <c r="U181">
        <f t="shared" si="46"/>
        <v>7.330244681205246E-2</v>
      </c>
      <c r="V181">
        <f t="shared" si="47"/>
        <v>3.6741529684022534</v>
      </c>
      <c r="X181" s="13">
        <f t="shared" si="35"/>
        <v>4.6294294687957684</v>
      </c>
      <c r="Y181" s="10"/>
      <c r="Z181" s="10"/>
      <c r="AB181" s="10" t="str">
        <f t="shared" si="36"/>
        <v>Non-Distress</v>
      </c>
      <c r="AC181" s="10">
        <f t="shared" si="37"/>
        <v>0</v>
      </c>
      <c r="AE181" s="10">
        <f t="shared" si="38"/>
        <v>0</v>
      </c>
      <c r="AG181" s="13">
        <f t="shared" si="39"/>
        <v>0.5</v>
      </c>
      <c r="AH181" s="13">
        <f t="shared" si="40"/>
        <v>0.5</v>
      </c>
      <c r="AI181" s="10">
        <f t="shared" si="41"/>
        <v>0.25</v>
      </c>
    </row>
    <row r="182" spans="1:35" x14ac:dyDescent="0.3">
      <c r="A182" t="s">
        <v>60</v>
      </c>
      <c r="B182">
        <v>2025</v>
      </c>
      <c r="C182" s="3">
        <v>20175960525</v>
      </c>
      <c r="D182" s="3">
        <v>5319560191</v>
      </c>
      <c r="E182" s="3">
        <v>1167814680750</v>
      </c>
      <c r="F182" s="3">
        <v>460972467818</v>
      </c>
      <c r="G182" s="3">
        <v>800287218292</v>
      </c>
      <c r="H182" s="3">
        <v>176627476751</v>
      </c>
      <c r="I182" s="3">
        <v>367527462458</v>
      </c>
      <c r="J182" s="3">
        <v>-762794323390</v>
      </c>
      <c r="K182" s="3">
        <v>284344991067</v>
      </c>
      <c r="M182" s="3">
        <v>1258918814869</v>
      </c>
      <c r="N182" s="3">
        <v>-27000769714</v>
      </c>
      <c r="O182" s="3">
        <v>610662242444</v>
      </c>
      <c r="P182">
        <f t="shared" si="42"/>
        <v>6.6195547117306297E-2</v>
      </c>
      <c r="Q182">
        <f t="shared" si="43"/>
        <v>1</v>
      </c>
      <c r="R182" t="str">
        <f t="shared" si="34"/>
        <v>Distress</v>
      </c>
      <c r="S182">
        <f t="shared" si="44"/>
        <v>0.24348468618701255</v>
      </c>
      <c r="T182">
        <f t="shared" si="45"/>
        <v>-0.65318096780570889</v>
      </c>
      <c r="U182">
        <f t="shared" si="46"/>
        <v>1.7276679988337269E-2</v>
      </c>
      <c r="V182">
        <f t="shared" si="47"/>
        <v>0.45924444881475118</v>
      </c>
      <c r="X182" s="13">
        <f t="shared" si="35"/>
        <v>-0.54940207938804397</v>
      </c>
      <c r="Y182" s="10"/>
      <c r="Z182" s="10"/>
      <c r="AB182" s="10" t="str">
        <f t="shared" si="36"/>
        <v>Distress</v>
      </c>
      <c r="AC182" s="10">
        <f t="shared" si="37"/>
        <v>1</v>
      </c>
      <c r="AE182" s="10">
        <f t="shared" si="38"/>
        <v>1</v>
      </c>
      <c r="AG182" s="13">
        <f t="shared" si="39"/>
        <v>0.7310585786300049</v>
      </c>
      <c r="AH182" s="13">
        <f t="shared" si="40"/>
        <v>-0.2689414213699951</v>
      </c>
      <c r="AI182" s="10">
        <f t="shared" si="41"/>
        <v>0.19661193324148185</v>
      </c>
    </row>
    <row r="183" spans="1:35" x14ac:dyDescent="0.3">
      <c r="A183" t="s">
        <v>60</v>
      </c>
      <c r="B183">
        <v>2024</v>
      </c>
      <c r="C183" s="3">
        <v>11625645786</v>
      </c>
      <c r="D183" s="3">
        <v>3706328214</v>
      </c>
      <c r="E183" s="3">
        <v>1188312653146</v>
      </c>
      <c r="F183" s="3">
        <v>432597052882</v>
      </c>
      <c r="G183" s="3">
        <v>794158844802</v>
      </c>
      <c r="H183" s="3">
        <v>183566886291</v>
      </c>
      <c r="I183" s="3">
        <v>394153808344</v>
      </c>
      <c r="J183" s="3">
        <v>-735793553676</v>
      </c>
      <c r="K183" s="3">
        <v>249030166591</v>
      </c>
      <c r="M183" s="3">
        <v>1098223293439</v>
      </c>
      <c r="N183" s="3">
        <v>-37052801791</v>
      </c>
      <c r="O183" s="3">
        <v>607974365040</v>
      </c>
      <c r="P183">
        <f t="shared" si="42"/>
        <v>-5.6935466371788701E-2</v>
      </c>
      <c r="Q183">
        <f t="shared" si="43"/>
        <v>1</v>
      </c>
      <c r="R183" t="str">
        <f t="shared" si="34"/>
        <v>Distress</v>
      </c>
      <c r="S183">
        <f t="shared" si="44"/>
        <v>0.2095661995449638</v>
      </c>
      <c r="T183">
        <f t="shared" si="45"/>
        <v>-0.61919188668741543</v>
      </c>
      <c r="U183">
        <f t="shared" si="46"/>
        <v>9.7833223901316445E-3</v>
      </c>
      <c r="V183">
        <f t="shared" si="47"/>
        <v>0.49631608452622672</v>
      </c>
      <c r="X183" s="13">
        <f t="shared" si="35"/>
        <v>-0.6799627372267566</v>
      </c>
      <c r="Y183" s="10"/>
      <c r="Z183" s="10"/>
      <c r="AB183" s="10" t="str">
        <f t="shared" si="36"/>
        <v>Distress</v>
      </c>
      <c r="AC183" s="10">
        <f t="shared" si="37"/>
        <v>1</v>
      </c>
      <c r="AE183" s="10">
        <f t="shared" si="38"/>
        <v>1</v>
      </c>
      <c r="AG183" s="13">
        <f t="shared" si="39"/>
        <v>0.7310585786300049</v>
      </c>
      <c r="AH183" s="13">
        <f t="shared" si="40"/>
        <v>-0.2689414213699951</v>
      </c>
      <c r="AI183" s="10">
        <f t="shared" si="41"/>
        <v>0.19661193324148185</v>
      </c>
    </row>
    <row r="184" spans="1:35" x14ac:dyDescent="0.3">
      <c r="A184" t="s">
        <v>60</v>
      </c>
      <c r="B184">
        <v>2023</v>
      </c>
      <c r="C184" s="3">
        <v>-87035578529</v>
      </c>
      <c r="D184" s="3">
        <v>2445845904</v>
      </c>
      <c r="E184" s="3">
        <v>1200216788284</v>
      </c>
      <c r="F184" s="3">
        <v>367731806829</v>
      </c>
      <c r="G184" s="3">
        <v>769712292179</v>
      </c>
      <c r="H184" s="3">
        <v>177688543811</v>
      </c>
      <c r="I184" s="3">
        <v>430504496105</v>
      </c>
      <c r="J184" s="3">
        <v>-698740751885</v>
      </c>
      <c r="K184" s="3">
        <v>190043263018</v>
      </c>
      <c r="M184" s="3">
        <v>920006985203</v>
      </c>
      <c r="N184" s="3">
        <v>-142298507164</v>
      </c>
      <c r="O184" s="3">
        <v>624335166440</v>
      </c>
      <c r="P184">
        <f t="shared" si="42"/>
        <v>-0.75922750626117241</v>
      </c>
      <c r="Q184">
        <f t="shared" si="43"/>
        <v>1</v>
      </c>
      <c r="R184" t="str">
        <f t="shared" si="34"/>
        <v>Distress</v>
      </c>
      <c r="S184">
        <f t="shared" si="44"/>
        <v>0.15834078049325803</v>
      </c>
      <c r="T184">
        <f t="shared" si="45"/>
        <v>-0.58217878528763023</v>
      </c>
      <c r="U184">
        <f t="shared" si="46"/>
        <v>-7.2516548159135816E-2</v>
      </c>
      <c r="V184">
        <f t="shared" si="47"/>
        <v>0.55930573082868773</v>
      </c>
      <c r="X184" s="13">
        <f t="shared" si="35"/>
        <v>-1.2671417852904407</v>
      </c>
      <c r="Y184" s="10"/>
      <c r="Z184" s="10"/>
      <c r="AB184" s="10" t="str">
        <f t="shared" si="36"/>
        <v>Distress</v>
      </c>
      <c r="AC184" s="10">
        <f t="shared" si="37"/>
        <v>1</v>
      </c>
      <c r="AE184" s="10">
        <f t="shared" si="38"/>
        <v>1</v>
      </c>
      <c r="AG184" s="13">
        <f t="shared" si="39"/>
        <v>0.7310585786300049</v>
      </c>
      <c r="AH184" s="13">
        <f t="shared" si="40"/>
        <v>-0.2689414213699951</v>
      </c>
      <c r="AI184" s="10">
        <f t="shared" si="41"/>
        <v>0.19661193324148185</v>
      </c>
    </row>
    <row r="185" spans="1:35" x14ac:dyDescent="0.3">
      <c r="A185" t="s">
        <v>60</v>
      </c>
      <c r="B185">
        <v>2022</v>
      </c>
      <c r="C185" s="3">
        <v>-48046486328</v>
      </c>
      <c r="D185" s="3">
        <v>11419671994</v>
      </c>
      <c r="E185" s="3">
        <v>1354777869012</v>
      </c>
      <c r="F185" s="3">
        <v>359860538712</v>
      </c>
      <c r="G185" s="3">
        <v>778536207332</v>
      </c>
      <c r="H185" s="3">
        <v>185703883035</v>
      </c>
      <c r="I185" s="3">
        <v>576241661680</v>
      </c>
      <c r="J185" s="3">
        <v>-556442244721</v>
      </c>
      <c r="K185" s="3">
        <v>174156655677</v>
      </c>
      <c r="M185" s="3">
        <v>723804994492</v>
      </c>
      <c r="N185" s="3">
        <v>-45726829010</v>
      </c>
      <c r="O185" s="3">
        <v>628539277767</v>
      </c>
      <c r="P185">
        <f t="shared" si="42"/>
        <v>4.3168785242204244E-2</v>
      </c>
      <c r="Q185">
        <f t="shared" si="43"/>
        <v>1</v>
      </c>
      <c r="R185" t="str">
        <f t="shared" si="34"/>
        <v>Distress</v>
      </c>
      <c r="S185">
        <f t="shared" si="44"/>
        <v>0.1285499709291881</v>
      </c>
      <c r="T185">
        <f t="shared" si="45"/>
        <v>-0.41072581524142926</v>
      </c>
      <c r="U185">
        <f t="shared" si="46"/>
        <v>-3.5464475340919836E-2</v>
      </c>
      <c r="V185">
        <f t="shared" si="47"/>
        <v>0.74016038849978205</v>
      </c>
      <c r="X185" s="13">
        <f t="shared" si="35"/>
        <v>-0.70026348816312689</v>
      </c>
      <c r="Y185" s="10"/>
      <c r="Z185" s="10"/>
      <c r="AB185" s="10" t="str">
        <f t="shared" si="36"/>
        <v>Distress</v>
      </c>
      <c r="AC185" s="10">
        <f t="shared" si="37"/>
        <v>1</v>
      </c>
      <c r="AE185" s="10">
        <f t="shared" si="38"/>
        <v>1</v>
      </c>
      <c r="AG185" s="13">
        <f t="shared" si="39"/>
        <v>0.7310585786300049</v>
      </c>
      <c r="AH185" s="13">
        <f t="shared" si="40"/>
        <v>-0.2689414213699951</v>
      </c>
      <c r="AI185" s="10">
        <f t="shared" si="41"/>
        <v>0.19661193324148185</v>
      </c>
    </row>
    <row r="186" spans="1:35" x14ac:dyDescent="0.3">
      <c r="A186" t="s">
        <v>61</v>
      </c>
      <c r="B186">
        <v>2025</v>
      </c>
      <c r="C186" s="3">
        <v>863159774486</v>
      </c>
      <c r="D186" s="3">
        <v>32135649832</v>
      </c>
      <c r="E186" s="3">
        <v>4286878723108</v>
      </c>
      <c r="F186" s="3">
        <v>2035504953164</v>
      </c>
      <c r="G186" s="3">
        <v>1351223609596</v>
      </c>
      <c r="H186" s="3">
        <v>1084625394410</v>
      </c>
      <c r="I186" s="3">
        <v>2775760819361</v>
      </c>
      <c r="J186" s="3">
        <v>2008643047495</v>
      </c>
      <c r="K186" s="3">
        <v>950879558754</v>
      </c>
      <c r="M186" s="3">
        <v>5939676041503</v>
      </c>
      <c r="N186" s="3">
        <v>652584272073</v>
      </c>
      <c r="O186" s="3">
        <v>278683993522</v>
      </c>
      <c r="P186">
        <f t="shared" si="42"/>
        <v>6.492614031708186</v>
      </c>
      <c r="Q186">
        <f t="shared" si="43"/>
        <v>0</v>
      </c>
      <c r="R186" t="str">
        <f t="shared" si="34"/>
        <v>Safe</v>
      </c>
      <c r="S186">
        <f t="shared" si="44"/>
        <v>0.22181163036602292</v>
      </c>
      <c r="T186">
        <f t="shared" si="45"/>
        <v>0.46855607010004885</v>
      </c>
      <c r="U186">
        <f t="shared" si="46"/>
        <v>0.20134924037697213</v>
      </c>
      <c r="V186">
        <f t="shared" si="47"/>
        <v>2.0542571929977749</v>
      </c>
      <c r="X186" s="13">
        <f t="shared" si="35"/>
        <v>3.9536891519237569</v>
      </c>
      <c r="Y186" s="10"/>
      <c r="Z186" s="10"/>
      <c r="AB186" s="10" t="str">
        <f t="shared" si="36"/>
        <v>Non-Distress</v>
      </c>
      <c r="AC186" s="10">
        <f t="shared" si="37"/>
        <v>0</v>
      </c>
      <c r="AE186" s="10">
        <f t="shared" si="38"/>
        <v>0</v>
      </c>
      <c r="AG186" s="13">
        <f t="shared" si="39"/>
        <v>0.5</v>
      </c>
      <c r="AH186" s="13">
        <f t="shared" si="40"/>
        <v>0.5</v>
      </c>
      <c r="AI186" s="10">
        <f t="shared" si="41"/>
        <v>0.25</v>
      </c>
    </row>
    <row r="187" spans="1:35" x14ac:dyDescent="0.3">
      <c r="A187" t="s">
        <v>61</v>
      </c>
      <c r="B187">
        <v>2024</v>
      </c>
      <c r="C187" s="3">
        <v>780078902032</v>
      </c>
      <c r="D187" s="3">
        <v>37675391640</v>
      </c>
      <c r="E187" s="3">
        <v>3841488703178</v>
      </c>
      <c r="F187" s="3">
        <v>1770873597435</v>
      </c>
      <c r="G187" s="3">
        <v>1373353780595</v>
      </c>
      <c r="H187" s="3">
        <v>999790055013</v>
      </c>
      <c r="I187" s="3">
        <v>2327135312835</v>
      </c>
      <c r="J187" s="3">
        <v>1560017540969</v>
      </c>
      <c r="K187" s="3">
        <v>771083542422</v>
      </c>
      <c r="M187" s="3">
        <v>5507649677994</v>
      </c>
      <c r="N187" s="3">
        <v>579289220856</v>
      </c>
      <c r="O187" s="3">
        <v>475214946868</v>
      </c>
      <c r="P187">
        <f t="shared" si="42"/>
        <v>5.7844582377078675</v>
      </c>
      <c r="Q187">
        <f t="shared" si="43"/>
        <v>0</v>
      </c>
      <c r="R187" t="str">
        <f t="shared" si="34"/>
        <v>Safe</v>
      </c>
      <c r="S187">
        <f t="shared" si="44"/>
        <v>0.20072518807203452</v>
      </c>
      <c r="T187">
        <f t="shared" si="45"/>
        <v>0.40609713095822025</v>
      </c>
      <c r="U187">
        <f t="shared" si="46"/>
        <v>0.20306682182526103</v>
      </c>
      <c r="V187">
        <f t="shared" si="47"/>
        <v>1.6944907755864465</v>
      </c>
      <c r="X187" s="13">
        <f t="shared" si="35"/>
        <v>3.6129470271126687</v>
      </c>
      <c r="Y187" s="10"/>
      <c r="Z187" s="10"/>
      <c r="AB187" s="10" t="str">
        <f t="shared" si="36"/>
        <v>Non-Distress</v>
      </c>
      <c r="AC187" s="10">
        <f t="shared" si="37"/>
        <v>0</v>
      </c>
      <c r="AE187" s="10">
        <f t="shared" si="38"/>
        <v>0</v>
      </c>
      <c r="AG187" s="13">
        <f t="shared" si="39"/>
        <v>0.5</v>
      </c>
      <c r="AH187" s="13">
        <f t="shared" si="40"/>
        <v>0.5</v>
      </c>
      <c r="AI187" s="10">
        <f t="shared" si="41"/>
        <v>0.25</v>
      </c>
    </row>
    <row r="188" spans="1:35" x14ac:dyDescent="0.3">
      <c r="A188" t="s">
        <v>61</v>
      </c>
      <c r="B188">
        <v>2023</v>
      </c>
      <c r="C188" s="3">
        <v>809984590168</v>
      </c>
      <c r="D188" s="3">
        <v>40915996921</v>
      </c>
      <c r="E188" s="3">
        <v>3385541561778</v>
      </c>
      <c r="F188" s="3">
        <v>1505846168851</v>
      </c>
      <c r="G188" s="3">
        <v>1355214229299</v>
      </c>
      <c r="H188" s="3">
        <v>936752912950</v>
      </c>
      <c r="I188" s="3">
        <v>1903111254398</v>
      </c>
      <c r="J188" s="3">
        <v>1136006738197</v>
      </c>
      <c r="K188" s="3">
        <v>569093255901</v>
      </c>
      <c r="M188" s="3">
        <v>5541170674297</v>
      </c>
      <c r="N188" s="3">
        <v>611751803594</v>
      </c>
      <c r="O188" s="3">
        <v>511870960121</v>
      </c>
      <c r="P188">
        <f t="shared" si="42"/>
        <v>5.2788363284294206</v>
      </c>
      <c r="Q188">
        <f t="shared" si="43"/>
        <v>0</v>
      </c>
      <c r="R188" t="str">
        <f t="shared" si="34"/>
        <v>Safe</v>
      </c>
      <c r="S188">
        <f t="shared" si="44"/>
        <v>0.16809519112863194</v>
      </c>
      <c r="T188">
        <f t="shared" si="45"/>
        <v>0.33554653442222054</v>
      </c>
      <c r="U188">
        <f t="shared" si="46"/>
        <v>0.23924816026852047</v>
      </c>
      <c r="V188">
        <f t="shared" si="47"/>
        <v>1.4042881289568558</v>
      </c>
      <c r="X188" s="13">
        <f t="shared" si="35"/>
        <v>3.3448311053888959</v>
      </c>
      <c r="Y188" s="10"/>
      <c r="Z188" s="10"/>
      <c r="AB188" s="10" t="str">
        <f t="shared" si="36"/>
        <v>Non-Distress</v>
      </c>
      <c r="AC188" s="10">
        <f t="shared" si="37"/>
        <v>0</v>
      </c>
      <c r="AE188" s="10">
        <f t="shared" si="38"/>
        <v>0</v>
      </c>
      <c r="AG188" s="13">
        <f t="shared" si="39"/>
        <v>0.5</v>
      </c>
      <c r="AH188" s="13">
        <f t="shared" si="40"/>
        <v>0.5</v>
      </c>
      <c r="AI188" s="10">
        <f t="shared" si="41"/>
        <v>0.25</v>
      </c>
    </row>
    <row r="189" spans="1:35" x14ac:dyDescent="0.3">
      <c r="A189" t="s">
        <v>61</v>
      </c>
      <c r="B189">
        <v>2022</v>
      </c>
      <c r="C189" s="3">
        <v>537488588662</v>
      </c>
      <c r="D189" s="3">
        <v>43123266184</v>
      </c>
      <c r="E189" s="3">
        <v>2682993618242</v>
      </c>
      <c r="F189" s="3">
        <v>1360592850156</v>
      </c>
      <c r="G189" s="3">
        <v>1280807259321</v>
      </c>
      <c r="H189" s="3">
        <v>1055491419912</v>
      </c>
      <c r="I189" s="3">
        <v>1390013944914</v>
      </c>
      <c r="J189" s="3">
        <v>622909428713</v>
      </c>
      <c r="K189" s="3">
        <v>305101430244</v>
      </c>
      <c r="M189" s="3">
        <v>3905415064469</v>
      </c>
      <c r="N189" s="3">
        <v>394166928317</v>
      </c>
      <c r="O189" s="3">
        <v>515359264799</v>
      </c>
      <c r="P189">
        <f t="shared" si="42"/>
        <v>3.9886108660318262</v>
      </c>
      <c r="Q189">
        <f t="shared" si="43"/>
        <v>0</v>
      </c>
      <c r="R189" t="str">
        <f t="shared" si="34"/>
        <v>Safe</v>
      </c>
      <c r="S189">
        <f t="shared" si="44"/>
        <v>0.11371679312599861</v>
      </c>
      <c r="T189">
        <f t="shared" si="45"/>
        <v>0.23216955287473032</v>
      </c>
      <c r="U189">
        <f t="shared" si="46"/>
        <v>0.20033166870302996</v>
      </c>
      <c r="V189">
        <f t="shared" si="47"/>
        <v>1.0852639495898033</v>
      </c>
      <c r="X189" s="13">
        <f t="shared" si="35"/>
        <v>2.4716863828719262</v>
      </c>
      <c r="Y189" s="10"/>
      <c r="Z189" s="10"/>
      <c r="AB189" s="10" t="str">
        <f t="shared" si="36"/>
        <v>Non-Distress</v>
      </c>
      <c r="AC189" s="10">
        <f t="shared" si="37"/>
        <v>0</v>
      </c>
      <c r="AE189" s="10">
        <f t="shared" si="38"/>
        <v>0</v>
      </c>
      <c r="AG189" s="13">
        <f t="shared" si="39"/>
        <v>0.5</v>
      </c>
      <c r="AH189" s="13">
        <f t="shared" si="40"/>
        <v>0.5</v>
      </c>
      <c r="AI189" s="10">
        <f t="shared" si="41"/>
        <v>0.25</v>
      </c>
    </row>
    <row r="190" spans="1:35" x14ac:dyDescent="0.3">
      <c r="A190" t="s">
        <v>62</v>
      </c>
      <c r="B190">
        <v>2025</v>
      </c>
      <c r="C190" s="3">
        <v>2904031000000</v>
      </c>
      <c r="D190" s="3">
        <v>404486000000</v>
      </c>
      <c r="E190" s="3">
        <v>17617196000000</v>
      </c>
      <c r="F190" s="3">
        <v>3122905000000</v>
      </c>
      <c r="G190" s="3">
        <v>5974326000000</v>
      </c>
      <c r="H190" s="3">
        <v>2308339000000</v>
      </c>
      <c r="I190" s="3">
        <v>11480793000000</v>
      </c>
      <c r="J190" s="3">
        <v>8027592000000</v>
      </c>
      <c r="K190" s="3">
        <v>814566000000</v>
      </c>
      <c r="M190" s="3">
        <v>12314712000000</v>
      </c>
      <c r="N190" s="3">
        <v>1840490000000</v>
      </c>
      <c r="O190" s="3">
        <v>4105200000000</v>
      </c>
      <c r="P190">
        <f t="shared" si="42"/>
        <v>4.9142945642456937</v>
      </c>
      <c r="Q190">
        <f t="shared" si="43"/>
        <v>0</v>
      </c>
      <c r="R190" t="str">
        <f t="shared" si="34"/>
        <v>Safe</v>
      </c>
      <c r="S190">
        <f t="shared" si="44"/>
        <v>4.6236983456391129E-2</v>
      </c>
      <c r="T190">
        <f t="shared" si="45"/>
        <v>0.45566797349589572</v>
      </c>
      <c r="U190">
        <f t="shared" si="46"/>
        <v>0.16484070450257804</v>
      </c>
      <c r="V190">
        <f t="shared" si="47"/>
        <v>1.9216884046836413</v>
      </c>
      <c r="X190" s="13">
        <f t="shared" si="35"/>
        <v>2.6560437032019877</v>
      </c>
      <c r="Y190" s="10"/>
      <c r="Z190" s="10"/>
      <c r="AB190" s="10" t="str">
        <f t="shared" si="36"/>
        <v>Non-Distress</v>
      </c>
      <c r="AC190" s="10">
        <f t="shared" si="37"/>
        <v>0</v>
      </c>
      <c r="AE190" s="10">
        <f t="shared" si="38"/>
        <v>0</v>
      </c>
      <c r="AG190" s="13">
        <f t="shared" si="39"/>
        <v>0.5</v>
      </c>
      <c r="AH190" s="13">
        <f t="shared" si="40"/>
        <v>0.5</v>
      </c>
      <c r="AI190" s="10">
        <f t="shared" si="41"/>
        <v>0.25</v>
      </c>
    </row>
    <row r="191" spans="1:35" x14ac:dyDescent="0.3">
      <c r="A191" t="s">
        <v>62</v>
      </c>
      <c r="B191">
        <v>2024</v>
      </c>
      <c r="C191" s="3">
        <v>2102354000000</v>
      </c>
      <c r="D191" s="3">
        <v>462338000000</v>
      </c>
      <c r="E191" s="3">
        <v>17412416000000</v>
      </c>
      <c r="F191" s="3">
        <v>2897246000000</v>
      </c>
      <c r="G191" s="3">
        <v>7515101000000</v>
      </c>
      <c r="H191" s="3">
        <v>2530342000000</v>
      </c>
      <c r="I191" s="3">
        <v>9723485000000</v>
      </c>
      <c r="J191" s="3">
        <v>6438795000000</v>
      </c>
      <c r="K191" s="3">
        <v>366904000000</v>
      </c>
      <c r="M191" s="3">
        <v>10119220000000</v>
      </c>
      <c r="N191" s="3">
        <v>1142493000000</v>
      </c>
      <c r="O191" s="3">
        <v>5733094000000</v>
      </c>
      <c r="P191">
        <f t="shared" si="42"/>
        <v>3.5136343000777215</v>
      </c>
      <c r="Q191">
        <f t="shared" si="43"/>
        <v>0</v>
      </c>
      <c r="R191" t="str">
        <f t="shared" si="34"/>
        <v>Safe</v>
      </c>
      <c r="S191">
        <f t="shared" si="44"/>
        <v>2.1071401004892142E-2</v>
      </c>
      <c r="T191">
        <f t="shared" si="45"/>
        <v>0.36978182694463535</v>
      </c>
      <c r="U191">
        <f t="shared" si="46"/>
        <v>0.12073878777074933</v>
      </c>
      <c r="V191">
        <f t="shared" si="47"/>
        <v>1.2938595236444594</v>
      </c>
      <c r="X191" s="13">
        <f t="shared" si="35"/>
        <v>1.9804247820251006</v>
      </c>
      <c r="Y191" s="10"/>
      <c r="Z191" s="10"/>
      <c r="AB191" s="10" t="str">
        <f t="shared" si="36"/>
        <v>Non-Distress</v>
      </c>
      <c r="AC191" s="10">
        <f t="shared" si="37"/>
        <v>0</v>
      </c>
      <c r="AE191" s="10">
        <f t="shared" si="38"/>
        <v>0</v>
      </c>
      <c r="AG191" s="13">
        <f t="shared" si="39"/>
        <v>0.5</v>
      </c>
      <c r="AH191" s="13">
        <f t="shared" si="40"/>
        <v>0.5</v>
      </c>
      <c r="AI191" s="10">
        <f t="shared" si="41"/>
        <v>0.25</v>
      </c>
    </row>
    <row r="192" spans="1:35" x14ac:dyDescent="0.3">
      <c r="A192" t="s">
        <v>62</v>
      </c>
      <c r="B192">
        <v>2023</v>
      </c>
      <c r="C192" s="3">
        <v>1561444000000</v>
      </c>
      <c r="D192" s="3">
        <v>420801000000</v>
      </c>
      <c r="E192" s="3">
        <v>16178278000000</v>
      </c>
      <c r="F192" s="3">
        <v>2949268000000</v>
      </c>
      <c r="G192" s="3">
        <v>7288850000000</v>
      </c>
      <c r="H192" s="3">
        <v>2945961000000</v>
      </c>
      <c r="I192" s="3">
        <v>8715909000000</v>
      </c>
      <c r="J192" s="3">
        <v>5503553000000</v>
      </c>
      <c r="K192" s="3">
        <v>3307000000</v>
      </c>
      <c r="M192" s="3">
        <v>9498749000000</v>
      </c>
      <c r="N192" s="3">
        <v>839809000000</v>
      </c>
      <c r="O192" s="3">
        <v>5576886000000</v>
      </c>
      <c r="P192">
        <f t="shared" si="42"/>
        <v>3.0144887146908967</v>
      </c>
      <c r="Q192">
        <f t="shared" si="43"/>
        <v>0</v>
      </c>
      <c r="R192" t="str">
        <f t="shared" si="34"/>
        <v>Safe</v>
      </c>
      <c r="S192">
        <f t="shared" si="44"/>
        <v>2.0440988837007251E-4</v>
      </c>
      <c r="T192">
        <f t="shared" si="45"/>
        <v>0.34018163119709033</v>
      </c>
      <c r="U192">
        <f t="shared" si="46"/>
        <v>9.651484539949183E-2</v>
      </c>
      <c r="V192">
        <f t="shared" si="47"/>
        <v>1.1957865781296089</v>
      </c>
      <c r="X192" s="13">
        <f t="shared" si="35"/>
        <v>1.6344763580918393</v>
      </c>
      <c r="Y192" s="10"/>
      <c r="Z192" s="10"/>
      <c r="AB192" s="10" t="str">
        <f t="shared" si="36"/>
        <v>Non-Distress</v>
      </c>
      <c r="AC192" s="10">
        <f t="shared" si="37"/>
        <v>0</v>
      </c>
      <c r="AE192" s="10">
        <f t="shared" si="38"/>
        <v>0</v>
      </c>
      <c r="AG192" s="13">
        <f t="shared" si="39"/>
        <v>0.5</v>
      </c>
      <c r="AH192" s="13">
        <f t="shared" si="40"/>
        <v>0.5</v>
      </c>
      <c r="AI192" s="10">
        <f t="shared" si="41"/>
        <v>0.25</v>
      </c>
    </row>
    <row r="193" spans="1:35" x14ac:dyDescent="0.3">
      <c r="A193" t="s">
        <v>62</v>
      </c>
      <c r="B193">
        <v>2022</v>
      </c>
      <c r="C193" s="3">
        <v>1974310000000</v>
      </c>
      <c r="D193" s="3">
        <v>364082000000</v>
      </c>
      <c r="E193" s="3">
        <v>15357229000000</v>
      </c>
      <c r="F193" s="3">
        <v>3229582000000</v>
      </c>
      <c r="G193" s="3">
        <v>7197089000000</v>
      </c>
      <c r="H193" s="3">
        <v>3022162000000</v>
      </c>
      <c r="I193" s="3">
        <v>8034426000000</v>
      </c>
      <c r="J193" s="3">
        <v>4947509000000</v>
      </c>
      <c r="K193" s="3">
        <v>207420000000</v>
      </c>
      <c r="M193" s="3">
        <v>9633671000000</v>
      </c>
      <c r="N193" s="3">
        <v>1206835000000</v>
      </c>
      <c r="O193" s="3">
        <v>5446563000000</v>
      </c>
      <c r="P193">
        <f t="shared" si="42"/>
        <v>3.1749258409893932</v>
      </c>
      <c r="Q193">
        <f t="shared" si="43"/>
        <v>0</v>
      </c>
      <c r="R193" t="str">
        <f t="shared" si="34"/>
        <v>Safe</v>
      </c>
      <c r="S193">
        <f t="shared" si="44"/>
        <v>1.3506342843490841E-2</v>
      </c>
      <c r="T193">
        <f t="shared" si="45"/>
        <v>0.32216156964254422</v>
      </c>
      <c r="U193">
        <f t="shared" si="46"/>
        <v>0.12855899980393598</v>
      </c>
      <c r="V193">
        <f t="shared" si="47"/>
        <v>1.1163438440180466</v>
      </c>
      <c r="X193" s="13">
        <f t="shared" si="35"/>
        <v>1.8083099718995348</v>
      </c>
      <c r="Y193" s="10"/>
      <c r="Z193" s="10"/>
      <c r="AB193" s="10" t="str">
        <f t="shared" si="36"/>
        <v>Non-Distress</v>
      </c>
      <c r="AC193" s="10">
        <f t="shared" si="37"/>
        <v>0</v>
      </c>
      <c r="AE193" s="10">
        <f t="shared" si="38"/>
        <v>0</v>
      </c>
      <c r="AG193" s="13">
        <f t="shared" si="39"/>
        <v>0.5</v>
      </c>
      <c r="AH193" s="13">
        <f t="shared" si="40"/>
        <v>0.5</v>
      </c>
      <c r="AI193" s="10">
        <f t="shared" si="41"/>
        <v>0.25</v>
      </c>
    </row>
    <row r="194" spans="1:35" x14ac:dyDescent="0.3">
      <c r="A194" t="s">
        <v>63</v>
      </c>
      <c r="B194">
        <v>2025</v>
      </c>
      <c r="C194" s="3">
        <v>220220629000</v>
      </c>
      <c r="D194" s="3">
        <v>32363000</v>
      </c>
      <c r="E194" s="3">
        <v>2350265761000</v>
      </c>
      <c r="F194" s="3">
        <v>1664526199000</v>
      </c>
      <c r="G194" s="3">
        <v>870439589000</v>
      </c>
      <c r="H194" s="3">
        <v>679928674000</v>
      </c>
      <c r="I194" s="3">
        <v>1479825065000</v>
      </c>
      <c r="J194" s="3">
        <v>1152262984000</v>
      </c>
      <c r="K194" s="3">
        <v>984597525000</v>
      </c>
      <c r="M194" s="3">
        <v>2231748811000</v>
      </c>
      <c r="N194" s="3">
        <v>163947127000</v>
      </c>
      <c r="O194" s="3">
        <v>206868000</v>
      </c>
      <c r="P194">
        <f t="shared" si="42"/>
        <v>6.7612202982660872</v>
      </c>
      <c r="Q194">
        <f t="shared" si="43"/>
        <v>0</v>
      </c>
      <c r="R194" t="str">
        <f t="shared" ref="R194:R257" si="48">IF(P194&lt;1.1, "Distress", IF(P194&lt;=2.6, "Grey Area", "Safe"))</f>
        <v>Safe</v>
      </c>
      <c r="S194">
        <f t="shared" si="44"/>
        <v>0.41893029347501098</v>
      </c>
      <c r="T194">
        <f t="shared" si="45"/>
        <v>0.49026922959969038</v>
      </c>
      <c r="U194">
        <f t="shared" si="46"/>
        <v>9.3700309409391933E-2</v>
      </c>
      <c r="V194">
        <f t="shared" si="47"/>
        <v>1.7000893384227724</v>
      </c>
      <c r="X194" s="13">
        <f t="shared" ref="X194:X257" si="49">(S194 * $T$729) + (T194 * $T$730) + (U194 * $T$731) + (V194 * $T$732)</f>
        <v>4.6936878381254354</v>
      </c>
      <c r="Y194" s="10"/>
      <c r="Z194" s="10"/>
      <c r="AB194" s="10" t="str">
        <f t="shared" si="36"/>
        <v>Non-Distress</v>
      </c>
      <c r="AC194" s="10">
        <f t="shared" si="37"/>
        <v>0</v>
      </c>
      <c r="AE194" s="10">
        <f t="shared" si="38"/>
        <v>0</v>
      </c>
      <c r="AG194" s="13">
        <f t="shared" si="39"/>
        <v>0.5</v>
      </c>
      <c r="AH194" s="13">
        <f t="shared" si="40"/>
        <v>0.5</v>
      </c>
      <c r="AI194" s="10">
        <f t="shared" si="41"/>
        <v>0.25</v>
      </c>
    </row>
    <row r="195" spans="1:35" x14ac:dyDescent="0.3">
      <c r="A195" t="s">
        <v>63</v>
      </c>
      <c r="B195">
        <v>2024</v>
      </c>
      <c r="C195" s="3">
        <v>209809179000</v>
      </c>
      <c r="D195" s="3">
        <v>51360000</v>
      </c>
      <c r="E195" s="3">
        <v>2161538138000</v>
      </c>
      <c r="F195" s="3">
        <v>1521886256000</v>
      </c>
      <c r="G195" s="3">
        <v>712565630000</v>
      </c>
      <c r="H195" s="3">
        <v>565603830000</v>
      </c>
      <c r="I195" s="3">
        <v>1448971508000</v>
      </c>
      <c r="J195" s="3">
        <v>1109275857000</v>
      </c>
      <c r="K195" s="3">
        <v>956282426000</v>
      </c>
      <c r="M195" s="3">
        <v>2087601399000</v>
      </c>
      <c r="N195" s="3">
        <v>156147303000</v>
      </c>
      <c r="O195" s="3">
        <v>1043765000</v>
      </c>
      <c r="P195">
        <f t="shared" si="42"/>
        <v>7.3625969488252627</v>
      </c>
      <c r="Q195">
        <f t="shared" si="43"/>
        <v>0</v>
      </c>
      <c r="R195" t="str">
        <f t="shared" si="48"/>
        <v>Safe</v>
      </c>
      <c r="S195">
        <f t="shared" si="44"/>
        <v>0.44240830600602615</v>
      </c>
      <c r="T195">
        <f t="shared" si="45"/>
        <v>0.51318819571066021</v>
      </c>
      <c r="U195">
        <f t="shared" si="46"/>
        <v>9.7064759261721617E-2</v>
      </c>
      <c r="V195">
        <f t="shared" si="47"/>
        <v>2.0334569154001998</v>
      </c>
      <c r="X195" s="13">
        <f t="shared" si="49"/>
        <v>4.9429000026988623</v>
      </c>
      <c r="Y195" s="10"/>
      <c r="Z195" s="10"/>
      <c r="AB195" s="10" t="str">
        <f t="shared" ref="AB195:AB258" si="50">IF(X195 &lt; AA195, "Distress", "Non-Distress")</f>
        <v>Non-Distress</v>
      </c>
      <c r="AC195" s="10">
        <f t="shared" ref="AC195:AC258" si="51">IF(X195 &lt; AA195, 1, 0)</f>
        <v>0</v>
      </c>
      <c r="AE195" s="10">
        <f t="shared" ref="AE195:AE258" si="52">IF(VALUE(TRIM(P195))&lt;=1.1, 1, 0)</f>
        <v>0</v>
      </c>
      <c r="AG195" s="13">
        <f t="shared" ref="AG195:AG258" si="53">1/(1+EXP(-Q195))</f>
        <v>0.5</v>
      </c>
      <c r="AH195" s="13">
        <f t="shared" ref="AH195:AH258" si="54">AG195-Q195</f>
        <v>0.5</v>
      </c>
      <c r="AI195" s="10">
        <f t="shared" ref="AI195:AI258" si="55">AG195*(1-AG195)</f>
        <v>0.25</v>
      </c>
    </row>
    <row r="196" spans="1:35" x14ac:dyDescent="0.3">
      <c r="A196" t="s">
        <v>63</v>
      </c>
      <c r="B196">
        <v>2023</v>
      </c>
      <c r="C196" s="3">
        <v>191706541000</v>
      </c>
      <c r="D196" s="3">
        <v>68283000</v>
      </c>
      <c r="E196" s="3">
        <v>2042171821000</v>
      </c>
      <c r="F196" s="3">
        <v>1440981383000</v>
      </c>
      <c r="G196" s="3">
        <v>637739728000</v>
      </c>
      <c r="H196" s="3">
        <v>504329407000</v>
      </c>
      <c r="I196" s="3">
        <v>1404432093000</v>
      </c>
      <c r="J196" s="3">
        <v>1074088554000</v>
      </c>
      <c r="K196" s="3">
        <v>936651976000</v>
      </c>
      <c r="M196" s="3">
        <v>1890887506000</v>
      </c>
      <c r="N196" s="3">
        <v>146336365000</v>
      </c>
      <c r="O196" s="3">
        <v>1474205000</v>
      </c>
      <c r="P196">
        <f t="shared" si="42"/>
        <v>7.6665309752207822</v>
      </c>
      <c r="Q196">
        <f t="shared" si="43"/>
        <v>0</v>
      </c>
      <c r="R196" t="str">
        <f t="shared" si="48"/>
        <v>Safe</v>
      </c>
      <c r="S196">
        <f t="shared" si="44"/>
        <v>0.45865483323599343</v>
      </c>
      <c r="T196">
        <f t="shared" si="45"/>
        <v>0.52595405683055896</v>
      </c>
      <c r="U196">
        <f t="shared" si="46"/>
        <v>9.3873854799409656E-2</v>
      </c>
      <c r="V196">
        <f t="shared" si="47"/>
        <v>2.2022026092123901</v>
      </c>
      <c r="X196" s="13">
        <f t="shared" si="49"/>
        <v>5.0758532599012929</v>
      </c>
      <c r="Y196" s="10"/>
      <c r="Z196" s="10"/>
      <c r="AB196" s="10" t="str">
        <f t="shared" si="50"/>
        <v>Non-Distress</v>
      </c>
      <c r="AC196" s="10">
        <f t="shared" si="51"/>
        <v>0</v>
      </c>
      <c r="AE196" s="10">
        <f t="shared" si="52"/>
        <v>0</v>
      </c>
      <c r="AG196" s="13">
        <f t="shared" si="53"/>
        <v>0.5</v>
      </c>
      <c r="AH196" s="13">
        <f t="shared" si="54"/>
        <v>0.5</v>
      </c>
      <c r="AI196" s="10">
        <f t="shared" si="55"/>
        <v>0.25</v>
      </c>
    </row>
    <row r="197" spans="1:35" x14ac:dyDescent="0.3">
      <c r="A197" t="s">
        <v>63</v>
      </c>
      <c r="B197">
        <v>2022</v>
      </c>
      <c r="C197" s="3">
        <v>201244366000</v>
      </c>
      <c r="D197" s="3">
        <v>171149000</v>
      </c>
      <c r="E197" s="3">
        <v>2009139485000</v>
      </c>
      <c r="F197" s="3">
        <v>1447973511000</v>
      </c>
      <c r="G197" s="3">
        <v>605518904000</v>
      </c>
      <c r="H197" s="3">
        <v>482343743000</v>
      </c>
      <c r="I197" s="3">
        <v>1403620581000</v>
      </c>
      <c r="J197" s="3">
        <v>1063272189000</v>
      </c>
      <c r="K197" s="3">
        <v>965629768000</v>
      </c>
      <c r="M197" s="3">
        <v>1917041442000</v>
      </c>
      <c r="N197" s="3">
        <v>149375011000</v>
      </c>
      <c r="O197" s="3">
        <v>1887723000</v>
      </c>
      <c r="P197">
        <f t="shared" si="42"/>
        <v>7.9851609038510016</v>
      </c>
      <c r="Q197">
        <f t="shared" si="43"/>
        <v>0</v>
      </c>
      <c r="R197" t="str">
        <f t="shared" si="48"/>
        <v>Safe</v>
      </c>
      <c r="S197">
        <f t="shared" si="44"/>
        <v>0.48061858084482373</v>
      </c>
      <c r="T197">
        <f t="shared" si="45"/>
        <v>0.52921770585778916</v>
      </c>
      <c r="U197">
        <f t="shared" si="46"/>
        <v>0.10016445722283936</v>
      </c>
      <c r="V197">
        <f t="shared" si="47"/>
        <v>2.3180458475000805</v>
      </c>
      <c r="X197" s="13">
        <f t="shared" si="49"/>
        <v>5.256197950074907</v>
      </c>
      <c r="Y197" s="10"/>
      <c r="Z197" s="10"/>
      <c r="AB197" s="10" t="str">
        <f t="shared" si="50"/>
        <v>Non-Distress</v>
      </c>
      <c r="AC197" s="10">
        <f t="shared" si="51"/>
        <v>0</v>
      </c>
      <c r="AE197" s="10">
        <f t="shared" si="52"/>
        <v>0</v>
      </c>
      <c r="AG197" s="13">
        <f t="shared" si="53"/>
        <v>0.5</v>
      </c>
      <c r="AH197" s="13">
        <f t="shared" si="54"/>
        <v>0.5</v>
      </c>
      <c r="AI197" s="10">
        <f t="shared" si="55"/>
        <v>0.25</v>
      </c>
    </row>
    <row r="198" spans="1:35" x14ac:dyDescent="0.3">
      <c r="A198" t="s">
        <v>64</v>
      </c>
      <c r="B198">
        <v>2025</v>
      </c>
      <c r="C198" s="3">
        <v>72019585</v>
      </c>
      <c r="D198" s="3">
        <v>1412140</v>
      </c>
      <c r="E198" s="3">
        <v>646558220</v>
      </c>
      <c r="F198" s="3">
        <v>203929719</v>
      </c>
      <c r="G198" s="3">
        <v>62911891</v>
      </c>
      <c r="H198" s="3">
        <v>19338171</v>
      </c>
      <c r="I198" s="3">
        <v>446602727</v>
      </c>
      <c r="J198" s="3">
        <v>281919023</v>
      </c>
      <c r="K198" s="3">
        <v>184591548</v>
      </c>
      <c r="M198" s="3">
        <v>295014929</v>
      </c>
      <c r="N198" s="3">
        <v>40291033</v>
      </c>
      <c r="O198" s="3">
        <v>179264</v>
      </c>
      <c r="P198">
        <f t="shared" si="42"/>
        <v>11.496669243041755</v>
      </c>
      <c r="Q198">
        <f t="shared" si="43"/>
        <v>0</v>
      </c>
      <c r="R198" t="str">
        <f t="shared" si="48"/>
        <v>Safe</v>
      </c>
      <c r="S198">
        <f t="shared" si="44"/>
        <v>0.28549872585333458</v>
      </c>
      <c r="T198">
        <f t="shared" si="45"/>
        <v>0.43603037480522638</v>
      </c>
      <c r="U198">
        <f t="shared" si="46"/>
        <v>0.11138917234707804</v>
      </c>
      <c r="V198">
        <f t="shared" si="47"/>
        <v>7.0988603251490243</v>
      </c>
      <c r="X198" s="13">
        <f t="shared" si="49"/>
        <v>4.0178812532216339</v>
      </c>
      <c r="Y198" s="10"/>
      <c r="Z198" s="10"/>
      <c r="AB198" s="10" t="str">
        <f t="shared" si="50"/>
        <v>Non-Distress</v>
      </c>
      <c r="AC198" s="10">
        <f t="shared" si="51"/>
        <v>0</v>
      </c>
      <c r="AE198" s="10">
        <f t="shared" si="52"/>
        <v>0</v>
      </c>
      <c r="AG198" s="13">
        <f t="shared" si="53"/>
        <v>0.5</v>
      </c>
      <c r="AH198" s="13">
        <f t="shared" si="54"/>
        <v>0.5</v>
      </c>
      <c r="AI198" s="10">
        <f t="shared" si="55"/>
        <v>0.25</v>
      </c>
    </row>
    <row r="199" spans="1:35" x14ac:dyDescent="0.3">
      <c r="A199" t="s">
        <v>64</v>
      </c>
      <c r="B199">
        <v>2024</v>
      </c>
      <c r="C199" s="3">
        <v>82781996</v>
      </c>
      <c r="D199" s="3">
        <v>6087111</v>
      </c>
      <c r="E199" s="3">
        <v>693675660</v>
      </c>
      <c r="F199" s="3">
        <v>218595338</v>
      </c>
      <c r="G199" s="3">
        <v>139799491</v>
      </c>
      <c r="H199" s="3">
        <v>92725135</v>
      </c>
      <c r="I199" s="3">
        <v>416598577</v>
      </c>
      <c r="J199" s="3">
        <v>249215320</v>
      </c>
      <c r="K199" s="3">
        <v>125870203</v>
      </c>
      <c r="M199" s="3">
        <v>301401837</v>
      </c>
      <c r="N199" s="3">
        <v>45181479</v>
      </c>
      <c r="O199" s="3">
        <v>92556188</v>
      </c>
      <c r="P199">
        <f t="shared" si="42"/>
        <v>6.2924743198107649</v>
      </c>
      <c r="Q199">
        <f t="shared" si="43"/>
        <v>0</v>
      </c>
      <c r="R199" t="str">
        <f t="shared" si="48"/>
        <v>Safe</v>
      </c>
      <c r="S199">
        <f t="shared" si="44"/>
        <v>0.18145397086586545</v>
      </c>
      <c r="T199">
        <f t="shared" si="45"/>
        <v>0.35926778806106591</v>
      </c>
      <c r="U199">
        <f t="shared" si="46"/>
        <v>0.11933818753277288</v>
      </c>
      <c r="V199">
        <f t="shared" si="47"/>
        <v>2.9799720586965512</v>
      </c>
      <c r="X199" s="13">
        <f t="shared" si="49"/>
        <v>2.9918739806474641</v>
      </c>
      <c r="Y199" s="10"/>
      <c r="Z199" s="10"/>
      <c r="AB199" s="10" t="str">
        <f t="shared" si="50"/>
        <v>Non-Distress</v>
      </c>
      <c r="AC199" s="10">
        <f t="shared" si="51"/>
        <v>0</v>
      </c>
      <c r="AE199" s="10">
        <f t="shared" si="52"/>
        <v>0</v>
      </c>
      <c r="AG199" s="13">
        <f t="shared" si="53"/>
        <v>0.5</v>
      </c>
      <c r="AH199" s="13">
        <f t="shared" si="54"/>
        <v>0.5</v>
      </c>
      <c r="AI199" s="10">
        <f t="shared" si="55"/>
        <v>0.25</v>
      </c>
    </row>
    <row r="200" spans="1:35" x14ac:dyDescent="0.3">
      <c r="A200" t="s">
        <v>64</v>
      </c>
      <c r="B200">
        <v>2023</v>
      </c>
      <c r="C200" s="3">
        <v>74505476</v>
      </c>
      <c r="D200" s="3">
        <v>12717159</v>
      </c>
      <c r="E200" s="3">
        <v>695442247</v>
      </c>
      <c r="F200" s="3">
        <v>178839689</v>
      </c>
      <c r="G200" s="3">
        <v>197698606</v>
      </c>
      <c r="H200" s="3">
        <v>124601828</v>
      </c>
      <c r="I200" s="3">
        <v>379264500</v>
      </c>
      <c r="J200" s="3">
        <v>207053739</v>
      </c>
      <c r="K200" s="3">
        <v>54237861</v>
      </c>
      <c r="M200" s="3">
        <v>344961625</v>
      </c>
      <c r="N200" s="3">
        <v>34614652</v>
      </c>
      <c r="O200" s="3">
        <v>161148602</v>
      </c>
      <c r="P200">
        <f t="shared" si="42"/>
        <v>4.2164733701757626</v>
      </c>
      <c r="Q200">
        <f t="shared" si="43"/>
        <v>0</v>
      </c>
      <c r="R200" t="str">
        <f t="shared" si="48"/>
        <v>Safe</v>
      </c>
      <c r="S200">
        <f t="shared" si="44"/>
        <v>7.7990460363849601E-2</v>
      </c>
      <c r="T200">
        <f t="shared" si="45"/>
        <v>0.29772959565397239</v>
      </c>
      <c r="U200">
        <f t="shared" si="46"/>
        <v>0.10713395155586514</v>
      </c>
      <c r="V200">
        <f t="shared" si="47"/>
        <v>1.9183974418109959</v>
      </c>
      <c r="X200" s="13">
        <f t="shared" si="49"/>
        <v>2.0531710890371992</v>
      </c>
      <c r="Y200" s="10"/>
      <c r="Z200" s="10"/>
      <c r="AB200" s="10" t="str">
        <f t="shared" si="50"/>
        <v>Non-Distress</v>
      </c>
      <c r="AC200" s="10">
        <f t="shared" si="51"/>
        <v>0</v>
      </c>
      <c r="AE200" s="10">
        <f t="shared" si="52"/>
        <v>0</v>
      </c>
      <c r="AG200" s="13">
        <f t="shared" si="53"/>
        <v>0.5</v>
      </c>
      <c r="AH200" s="13">
        <f t="shared" si="54"/>
        <v>0.5</v>
      </c>
      <c r="AI200" s="10">
        <f t="shared" si="55"/>
        <v>0.25</v>
      </c>
    </row>
    <row r="201" spans="1:35" x14ac:dyDescent="0.3">
      <c r="A201" t="s">
        <v>64</v>
      </c>
      <c r="B201">
        <v>2022</v>
      </c>
      <c r="C201" s="3">
        <v>300912763</v>
      </c>
      <c r="D201" s="3">
        <v>24851743</v>
      </c>
      <c r="E201" s="3">
        <v>831295165</v>
      </c>
      <c r="F201" s="3">
        <v>272532450</v>
      </c>
      <c r="G201" s="3">
        <v>305931065</v>
      </c>
      <c r="H201" s="3">
        <v>121797408</v>
      </c>
      <c r="I201" s="3">
        <v>352385552</v>
      </c>
      <c r="J201" s="3">
        <v>221420134</v>
      </c>
      <c r="K201" s="3">
        <v>150735042</v>
      </c>
      <c r="M201" s="3">
        <v>731490734</v>
      </c>
      <c r="N201" s="3">
        <v>138841074</v>
      </c>
      <c r="O201" s="3">
        <v>269962518</v>
      </c>
      <c r="P201">
        <f t="shared" si="42"/>
        <v>5.6997633504312084</v>
      </c>
      <c r="Q201">
        <f t="shared" si="43"/>
        <v>0</v>
      </c>
      <c r="R201" t="str">
        <f t="shared" si="48"/>
        <v>Safe</v>
      </c>
      <c r="S201">
        <f t="shared" si="44"/>
        <v>0.18132553676045982</v>
      </c>
      <c r="T201">
        <f t="shared" si="45"/>
        <v>0.26635561389317114</v>
      </c>
      <c r="U201">
        <f t="shared" si="46"/>
        <v>0.36198064859429324</v>
      </c>
      <c r="V201">
        <f t="shared" si="47"/>
        <v>1.1518462566068601</v>
      </c>
      <c r="X201" s="13">
        <f t="shared" si="49"/>
        <v>3.7817670979649969</v>
      </c>
      <c r="Y201" s="10"/>
      <c r="Z201" s="10"/>
      <c r="AB201" s="10" t="str">
        <f t="shared" si="50"/>
        <v>Non-Distress</v>
      </c>
      <c r="AC201" s="10">
        <f t="shared" si="51"/>
        <v>0</v>
      </c>
      <c r="AE201" s="10">
        <f t="shared" si="52"/>
        <v>0</v>
      </c>
      <c r="AG201" s="13">
        <f t="shared" si="53"/>
        <v>0.5</v>
      </c>
      <c r="AH201" s="13">
        <f t="shared" si="54"/>
        <v>0.5</v>
      </c>
      <c r="AI201" s="10">
        <f t="shared" si="55"/>
        <v>0.25</v>
      </c>
    </row>
    <row r="202" spans="1:35" x14ac:dyDescent="0.3">
      <c r="A202" t="s">
        <v>65</v>
      </c>
      <c r="B202">
        <v>2025</v>
      </c>
      <c r="C202" s="3">
        <v>245346000</v>
      </c>
      <c r="E202" s="3">
        <v>59233564000</v>
      </c>
      <c r="F202" s="3">
        <v>25902058000</v>
      </c>
      <c r="G202" s="3">
        <v>6232698000</v>
      </c>
      <c r="H202" s="3">
        <v>2866878000</v>
      </c>
      <c r="I202" s="3">
        <v>53000668000</v>
      </c>
      <c r="J202" s="3">
        <v>2212958000</v>
      </c>
      <c r="K202" s="3">
        <v>23035180000</v>
      </c>
      <c r="M202" s="3">
        <v>22958676000</v>
      </c>
      <c r="N202" s="3">
        <v>1988619000</v>
      </c>
      <c r="P202">
        <f t="shared" si="42"/>
        <v>11.629558153216832</v>
      </c>
      <c r="Q202">
        <f t="shared" si="43"/>
        <v>0</v>
      </c>
      <c r="R202" t="str">
        <f t="shared" si="48"/>
        <v>Safe</v>
      </c>
      <c r="S202">
        <f t="shared" si="44"/>
        <v>0.38888728694427371</v>
      </c>
      <c r="T202">
        <f t="shared" si="45"/>
        <v>3.7359865767995999E-2</v>
      </c>
      <c r="U202">
        <f t="shared" si="46"/>
        <v>4.1420097564954898E-3</v>
      </c>
      <c r="V202">
        <f t="shared" si="47"/>
        <v>8.5036476979953139</v>
      </c>
      <c r="X202" s="13">
        <f t="shared" si="49"/>
        <v>2.8846599799096797</v>
      </c>
      <c r="Y202" s="10"/>
      <c r="Z202" s="10"/>
      <c r="AB202" s="10" t="str">
        <f t="shared" si="50"/>
        <v>Non-Distress</v>
      </c>
      <c r="AC202" s="10">
        <f t="shared" si="51"/>
        <v>0</v>
      </c>
      <c r="AE202" s="10">
        <f t="shared" si="52"/>
        <v>0</v>
      </c>
      <c r="AG202" s="13">
        <f t="shared" si="53"/>
        <v>0.5</v>
      </c>
      <c r="AH202" s="13">
        <f t="shared" si="54"/>
        <v>0.5</v>
      </c>
      <c r="AI202" s="10">
        <f t="shared" si="55"/>
        <v>0.25</v>
      </c>
    </row>
    <row r="203" spans="1:35" x14ac:dyDescent="0.3">
      <c r="A203" t="s">
        <v>65</v>
      </c>
      <c r="B203">
        <v>2024</v>
      </c>
      <c r="C203" s="3">
        <v>3262189000</v>
      </c>
      <c r="E203" s="3">
        <v>60632325000</v>
      </c>
      <c r="F203" s="3">
        <v>29148543000</v>
      </c>
      <c r="G203" s="3">
        <v>5694187000</v>
      </c>
      <c r="H203" s="3">
        <v>2954258000</v>
      </c>
      <c r="I203" s="3">
        <v>54937938000</v>
      </c>
      <c r="J203" s="3">
        <v>4047579000</v>
      </c>
      <c r="K203" s="3">
        <v>26194285000</v>
      </c>
      <c r="M203" s="3">
        <v>27533752000</v>
      </c>
      <c r="N203" s="3">
        <v>3634506000</v>
      </c>
      <c r="P203">
        <f t="shared" si="42"/>
        <v>13.543698820875125</v>
      </c>
      <c r="Q203">
        <f t="shared" si="43"/>
        <v>0</v>
      </c>
      <c r="R203" t="str">
        <f t="shared" si="48"/>
        <v>Safe</v>
      </c>
      <c r="S203">
        <f t="shared" si="44"/>
        <v>0.43201848189064168</v>
      </c>
      <c r="T203">
        <f t="shared" si="45"/>
        <v>6.6756123899256711E-2</v>
      </c>
      <c r="U203">
        <f t="shared" si="46"/>
        <v>5.3802802383052274E-2</v>
      </c>
      <c r="V203">
        <f t="shared" si="47"/>
        <v>9.6480740797588833</v>
      </c>
      <c r="X203" s="13">
        <f t="shared" si="49"/>
        <v>3.5340150325532318</v>
      </c>
      <c r="Y203" s="10"/>
      <c r="Z203" s="10"/>
      <c r="AB203" s="10" t="str">
        <f t="shared" si="50"/>
        <v>Non-Distress</v>
      </c>
      <c r="AC203" s="10">
        <f t="shared" si="51"/>
        <v>0</v>
      </c>
      <c r="AE203" s="10">
        <f t="shared" si="52"/>
        <v>0</v>
      </c>
      <c r="AG203" s="13">
        <f t="shared" si="53"/>
        <v>0.5</v>
      </c>
      <c r="AH203" s="13">
        <f t="shared" si="54"/>
        <v>0.5</v>
      </c>
      <c r="AI203" s="10">
        <f t="shared" si="55"/>
        <v>0.25</v>
      </c>
    </row>
    <row r="204" spans="1:35" x14ac:dyDescent="0.3">
      <c r="A204" t="s">
        <v>65</v>
      </c>
      <c r="B204">
        <v>2023</v>
      </c>
      <c r="C204" s="3">
        <v>3109064000</v>
      </c>
      <c r="D204" s="3">
        <v>47717000</v>
      </c>
      <c r="E204" s="3">
        <v>67427969000</v>
      </c>
      <c r="F204" s="3">
        <v>21777311000</v>
      </c>
      <c r="G204" s="3">
        <v>5027055000</v>
      </c>
      <c r="H204" s="3">
        <v>2068699000</v>
      </c>
      <c r="I204" s="3">
        <v>62400714000</v>
      </c>
      <c r="J204" s="3">
        <v>12037210000</v>
      </c>
      <c r="K204" s="3">
        <v>19708612000</v>
      </c>
      <c r="M204" s="3">
        <v>23780277000</v>
      </c>
      <c r="N204" s="3">
        <v>5131376000</v>
      </c>
      <c r="P204">
        <f t="shared" si="42"/>
        <v>15.842885191020402</v>
      </c>
      <c r="Q204">
        <f t="shared" si="43"/>
        <v>0</v>
      </c>
      <c r="R204" t="str">
        <f t="shared" si="48"/>
        <v>Safe</v>
      </c>
      <c r="S204">
        <f t="shared" si="44"/>
        <v>0.29229134871317269</v>
      </c>
      <c r="T204">
        <f t="shared" si="45"/>
        <v>0.17851953986631275</v>
      </c>
      <c r="U204">
        <f t="shared" si="46"/>
        <v>4.6109411956335208E-2</v>
      </c>
      <c r="V204">
        <f t="shared" si="47"/>
        <v>12.412976185858321</v>
      </c>
      <c r="X204" s="13">
        <f t="shared" si="49"/>
        <v>3.1278888198684651</v>
      </c>
      <c r="Y204" s="10"/>
      <c r="Z204" s="10"/>
      <c r="AB204" s="10" t="str">
        <f t="shared" si="50"/>
        <v>Non-Distress</v>
      </c>
      <c r="AC204" s="10">
        <f t="shared" si="51"/>
        <v>0</v>
      </c>
      <c r="AE204" s="10">
        <f t="shared" si="52"/>
        <v>0</v>
      </c>
      <c r="AG204" s="13">
        <f t="shared" si="53"/>
        <v>0.5</v>
      </c>
      <c r="AH204" s="13">
        <f t="shared" si="54"/>
        <v>0.5</v>
      </c>
      <c r="AI204" s="10">
        <f t="shared" si="55"/>
        <v>0.25</v>
      </c>
    </row>
    <row r="205" spans="1:35" x14ac:dyDescent="0.3">
      <c r="A205" t="s">
        <v>65</v>
      </c>
      <c r="B205">
        <v>2022</v>
      </c>
      <c r="C205" s="3">
        <v>7379995000</v>
      </c>
      <c r="D205" s="3">
        <v>4300000</v>
      </c>
      <c r="E205" s="3">
        <v>60613787000</v>
      </c>
      <c r="F205" s="3">
        <v>40650888000</v>
      </c>
      <c r="G205" s="3">
        <v>8218910000</v>
      </c>
      <c r="H205" s="3">
        <v>5786650000</v>
      </c>
      <c r="I205" s="3">
        <v>52394877000</v>
      </c>
      <c r="J205" s="3">
        <v>7655834000</v>
      </c>
      <c r="K205" s="3">
        <v>34864238000</v>
      </c>
      <c r="M205" s="3">
        <v>30319967000</v>
      </c>
      <c r="N205" s="3">
        <v>5881498000</v>
      </c>
      <c r="P205">
        <f t="shared" si="42"/>
        <v>11.696832307902017</v>
      </c>
      <c r="Q205">
        <f t="shared" si="43"/>
        <v>0</v>
      </c>
      <c r="R205" t="str">
        <f t="shared" si="48"/>
        <v>Safe</v>
      </c>
      <c r="S205">
        <f t="shared" si="44"/>
        <v>0.57518659904882696</v>
      </c>
      <c r="T205">
        <f t="shared" si="45"/>
        <v>0.12630515892366204</v>
      </c>
      <c r="U205">
        <f t="shared" si="46"/>
        <v>0.12175439558000228</v>
      </c>
      <c r="V205">
        <f t="shared" si="47"/>
        <v>6.3749179635742452</v>
      </c>
      <c r="X205" s="13">
        <f t="shared" si="49"/>
        <v>4.7923223349487074</v>
      </c>
      <c r="Y205" s="10"/>
      <c r="Z205" s="10"/>
      <c r="AB205" s="10" t="str">
        <f t="shared" si="50"/>
        <v>Non-Distress</v>
      </c>
      <c r="AC205" s="10">
        <f t="shared" si="51"/>
        <v>0</v>
      </c>
      <c r="AE205" s="10">
        <f t="shared" si="52"/>
        <v>0</v>
      </c>
      <c r="AG205" s="13">
        <f t="shared" si="53"/>
        <v>0.5</v>
      </c>
      <c r="AH205" s="13">
        <f t="shared" si="54"/>
        <v>0.5</v>
      </c>
      <c r="AI205" s="10">
        <f t="shared" si="55"/>
        <v>0.25</v>
      </c>
    </row>
    <row r="206" spans="1:35" x14ac:dyDescent="0.3">
      <c r="A206" t="s">
        <v>66</v>
      </c>
      <c r="B206">
        <v>2025</v>
      </c>
      <c r="C206" s="3">
        <v>1806636980879</v>
      </c>
      <c r="D206" s="3">
        <v>318733002657</v>
      </c>
      <c r="E206" s="3">
        <v>10277055473736</v>
      </c>
      <c r="F206" s="3">
        <v>2709458987448</v>
      </c>
      <c r="G206" s="3">
        <v>6386711339240</v>
      </c>
      <c r="H206" s="3">
        <v>3285812889509</v>
      </c>
      <c r="I206" s="3">
        <v>3704991179466</v>
      </c>
      <c r="J206" s="3">
        <v>1327469591570</v>
      </c>
      <c r="K206" s="3">
        <v>-576353902061</v>
      </c>
      <c r="M206" s="3">
        <v>7580783474655</v>
      </c>
      <c r="N206" s="3">
        <v>1065395097038</v>
      </c>
      <c r="O206" s="3">
        <v>4688283353431</v>
      </c>
      <c r="P206">
        <f t="shared" si="42"/>
        <v>1.8436386730516587</v>
      </c>
      <c r="Q206">
        <f t="shared" si="43"/>
        <v>0</v>
      </c>
      <c r="R206" t="str">
        <f t="shared" si="48"/>
        <v>Grey Area</v>
      </c>
      <c r="S206">
        <f t="shared" si="44"/>
        <v>-5.6081618274215567E-2</v>
      </c>
      <c r="T206">
        <f t="shared" si="45"/>
        <v>0.1291682812224256</v>
      </c>
      <c r="U206">
        <f t="shared" si="46"/>
        <v>0.17579324987551481</v>
      </c>
      <c r="V206">
        <f t="shared" si="47"/>
        <v>0.58010938379232957</v>
      </c>
      <c r="X206" s="13">
        <f t="shared" si="49"/>
        <v>0.95588675838088133</v>
      </c>
      <c r="Y206" s="10"/>
      <c r="Z206" s="10"/>
      <c r="AB206" s="10" t="str">
        <f t="shared" si="50"/>
        <v>Non-Distress</v>
      </c>
      <c r="AC206" s="10">
        <f t="shared" si="51"/>
        <v>0</v>
      </c>
      <c r="AE206" s="10">
        <f t="shared" si="52"/>
        <v>0</v>
      </c>
      <c r="AG206" s="13">
        <f t="shared" si="53"/>
        <v>0.5</v>
      </c>
      <c r="AH206" s="13">
        <f t="shared" si="54"/>
        <v>0.5</v>
      </c>
      <c r="AI206" s="10">
        <f t="shared" si="55"/>
        <v>0.25</v>
      </c>
    </row>
    <row r="207" spans="1:35" x14ac:dyDescent="0.3">
      <c r="A207" t="s">
        <v>66</v>
      </c>
      <c r="B207">
        <v>2024</v>
      </c>
      <c r="C207" s="3">
        <v>1012605211536</v>
      </c>
      <c r="D207" s="3">
        <v>237926235970</v>
      </c>
      <c r="E207" s="3">
        <v>8816684323376</v>
      </c>
      <c r="F207" s="3">
        <v>1943127073316</v>
      </c>
      <c r="G207" s="3">
        <v>4963948948140</v>
      </c>
      <c r="H207" s="3">
        <v>2572488067978</v>
      </c>
      <c r="I207" s="3">
        <v>3666532343829</v>
      </c>
      <c r="J207" s="3">
        <v>262074494532</v>
      </c>
      <c r="K207" s="3">
        <v>-629360994662</v>
      </c>
      <c r="M207" s="3">
        <v>5742983944479</v>
      </c>
      <c r="N207" s="3">
        <v>542473400017</v>
      </c>
      <c r="O207" s="3">
        <v>3514866538807</v>
      </c>
      <c r="P207">
        <f t="shared" si="42"/>
        <v>1.1759934123112576</v>
      </c>
      <c r="Q207">
        <f t="shared" si="43"/>
        <v>0</v>
      </c>
      <c r="R207" t="str">
        <f t="shared" si="48"/>
        <v>Grey Area</v>
      </c>
      <c r="S207">
        <f t="shared" si="44"/>
        <v>-7.1382956628417787E-2</v>
      </c>
      <c r="T207">
        <f t="shared" si="45"/>
        <v>2.9724835881574239E-2</v>
      </c>
      <c r="U207">
        <f t="shared" si="46"/>
        <v>0.11485102271964558</v>
      </c>
      <c r="V207">
        <f t="shared" si="47"/>
        <v>0.7386321620416455</v>
      </c>
      <c r="X207" s="13">
        <f t="shared" si="49"/>
        <v>0.24844107798531698</v>
      </c>
      <c r="Y207" s="10"/>
      <c r="Z207" s="10"/>
      <c r="AB207" s="10" t="str">
        <f t="shared" si="50"/>
        <v>Non-Distress</v>
      </c>
      <c r="AC207" s="10">
        <f t="shared" si="51"/>
        <v>0</v>
      </c>
      <c r="AE207" s="10">
        <f t="shared" si="52"/>
        <v>0</v>
      </c>
      <c r="AG207" s="13">
        <f t="shared" si="53"/>
        <v>0.5</v>
      </c>
      <c r="AH207" s="13">
        <f t="shared" si="54"/>
        <v>0.5</v>
      </c>
      <c r="AI207" s="10">
        <f t="shared" si="55"/>
        <v>0.25</v>
      </c>
    </row>
    <row r="208" spans="1:35" x14ac:dyDescent="0.3">
      <c r="A208" t="s">
        <v>66</v>
      </c>
      <c r="B208">
        <v>2023</v>
      </c>
      <c r="C208" s="3">
        <v>472189838933</v>
      </c>
      <c r="D208" s="3">
        <v>222338151815</v>
      </c>
      <c r="E208" s="3">
        <v>8634035445735</v>
      </c>
      <c r="F208" s="3">
        <v>1800278705459</v>
      </c>
      <c r="G208" s="3">
        <v>4570386466869</v>
      </c>
      <c r="H208" s="3">
        <v>2594224802654</v>
      </c>
      <c r="I208" s="3">
        <v>3867454617429</v>
      </c>
      <c r="J208" s="3">
        <v>-280398905485</v>
      </c>
      <c r="K208" s="3">
        <v>-793946097195</v>
      </c>
      <c r="M208" s="3">
        <v>5062243740223</v>
      </c>
      <c r="N208" s="3">
        <v>153570962880</v>
      </c>
      <c r="O208" s="3">
        <v>3260274245263</v>
      </c>
      <c r="P208">
        <f t="shared" si="42"/>
        <v>0.54692189246835254</v>
      </c>
      <c r="Q208">
        <f t="shared" si="43"/>
        <v>1</v>
      </c>
      <c r="R208" t="str">
        <f t="shared" si="48"/>
        <v>Distress</v>
      </c>
      <c r="S208">
        <f t="shared" si="44"/>
        <v>-9.1955390058908057E-2</v>
      </c>
      <c r="T208">
        <f t="shared" si="45"/>
        <v>-3.2475996565836447E-2</v>
      </c>
      <c r="U208">
        <f t="shared" si="46"/>
        <v>5.4689356083921351E-2</v>
      </c>
      <c r="V208">
        <f t="shared" si="47"/>
        <v>0.84619859730996616</v>
      </c>
      <c r="X208" s="13">
        <f t="shared" si="49"/>
        <v>-0.36756782055927784</v>
      </c>
      <c r="Y208" s="10"/>
      <c r="Z208" s="10"/>
      <c r="AB208" s="10" t="str">
        <f t="shared" si="50"/>
        <v>Distress</v>
      </c>
      <c r="AC208" s="10">
        <f t="shared" si="51"/>
        <v>1</v>
      </c>
      <c r="AE208" s="10">
        <f t="shared" si="52"/>
        <v>1</v>
      </c>
      <c r="AG208" s="13">
        <f t="shared" si="53"/>
        <v>0.7310585786300049</v>
      </c>
      <c r="AH208" s="13">
        <f t="shared" si="54"/>
        <v>-0.2689414213699951</v>
      </c>
      <c r="AI208" s="10">
        <f t="shared" si="55"/>
        <v>0.19661193324148185</v>
      </c>
    </row>
    <row r="209" spans="1:35" x14ac:dyDescent="0.3">
      <c r="A209" t="s">
        <v>66</v>
      </c>
      <c r="B209">
        <v>2022</v>
      </c>
      <c r="C209" s="3">
        <v>1162889605060</v>
      </c>
      <c r="D209" s="3">
        <v>169192639375</v>
      </c>
      <c r="E209" s="3">
        <v>8624008934687</v>
      </c>
      <c r="F209" s="3">
        <v>1808824969402</v>
      </c>
      <c r="G209" s="3">
        <v>4724996943546</v>
      </c>
      <c r="H209" s="3">
        <v>2052811807452</v>
      </c>
      <c r="I209" s="3">
        <v>3711093419808</v>
      </c>
      <c r="J209" s="3">
        <v>-433969868365</v>
      </c>
      <c r="K209" s="3">
        <v>-243986838050</v>
      </c>
      <c r="M209" s="3">
        <v>4828633601246</v>
      </c>
      <c r="N209" s="3">
        <v>709143944186</v>
      </c>
      <c r="O209" s="3">
        <v>3509509528148</v>
      </c>
      <c r="P209">
        <f t="shared" si="42"/>
        <v>1.3811951197951253</v>
      </c>
      <c r="Q209">
        <f t="shared" si="43"/>
        <v>0</v>
      </c>
      <c r="R209" t="str">
        <f t="shared" si="48"/>
        <v>Grey Area</v>
      </c>
      <c r="S209">
        <f t="shared" si="44"/>
        <v>-2.8291579925045066E-2</v>
      </c>
      <c r="T209">
        <f t="shared" si="45"/>
        <v>-5.0321129262692547E-2</v>
      </c>
      <c r="U209">
        <f t="shared" si="46"/>
        <v>0.13484327461474341</v>
      </c>
      <c r="V209">
        <f t="shared" si="47"/>
        <v>0.78541710484640248</v>
      </c>
      <c r="X209" s="13">
        <f t="shared" si="49"/>
        <v>0.34817336817251177</v>
      </c>
      <c r="Y209" s="10"/>
      <c r="Z209" s="10"/>
      <c r="AB209" s="10" t="str">
        <f t="shared" si="50"/>
        <v>Non-Distress</v>
      </c>
      <c r="AC209" s="10">
        <f t="shared" si="51"/>
        <v>0</v>
      </c>
      <c r="AE209" s="10">
        <f t="shared" si="52"/>
        <v>0</v>
      </c>
      <c r="AG209" s="13">
        <f t="shared" si="53"/>
        <v>0.5</v>
      </c>
      <c r="AH209" s="13">
        <f t="shared" si="54"/>
        <v>0.5</v>
      </c>
      <c r="AI209" s="10">
        <f t="shared" si="55"/>
        <v>0.25</v>
      </c>
    </row>
    <row r="210" spans="1:35" x14ac:dyDescent="0.3">
      <c r="A210" t="s">
        <v>67</v>
      </c>
      <c r="B210">
        <v>2025</v>
      </c>
      <c r="C210" s="3">
        <v>2759000</v>
      </c>
      <c r="D210" s="3">
        <v>51000</v>
      </c>
      <c r="E210" s="3">
        <v>171834000</v>
      </c>
      <c r="F210" s="3">
        <v>85171000</v>
      </c>
      <c r="G210" s="3">
        <v>69257000</v>
      </c>
      <c r="H210" s="3">
        <v>64146000</v>
      </c>
      <c r="I210" s="3">
        <v>102432000</v>
      </c>
      <c r="J210" s="3">
        <v>-107426000</v>
      </c>
      <c r="K210" s="3">
        <v>21025000</v>
      </c>
      <c r="M210" s="3">
        <v>320670000</v>
      </c>
      <c r="N210" s="3">
        <v>4252000</v>
      </c>
      <c r="O210" s="3">
        <v>264000</v>
      </c>
      <c r="P210">
        <f t="shared" ref="P210:P260" si="56">6.56*(F210-H210)/E210+3.26*J210/E210+6.72*C210/E210+1.05*I210/G210</f>
        <v>0.42545519006863608</v>
      </c>
      <c r="Q210">
        <f t="shared" ref="Q210:Q260" si="57">IF(VALUE(TRIM(P210))&lt;=1.1, 1, 0)</f>
        <v>1</v>
      </c>
      <c r="R210" t="str">
        <f t="shared" si="48"/>
        <v>Distress</v>
      </c>
      <c r="S210">
        <f t="shared" ref="S210:S260" si="58">MAX(-2,MIN(K210/E210,2))</f>
        <v>0.12235646030471269</v>
      </c>
      <c r="T210">
        <f t="shared" ref="T210:T260" si="59" xml:space="preserve"> J210/E210</f>
        <v>-0.6251731322089924</v>
      </c>
      <c r="U210">
        <f t="shared" ref="U210:U260" si="60">C210/E210</f>
        <v>1.6056193768404389E-2</v>
      </c>
      <c r="V210">
        <f t="shared" ref="V210:V260" si="61">I210/G210</f>
        <v>1.4790129517593888</v>
      </c>
      <c r="X210" s="13">
        <f t="shared" si="49"/>
        <v>-1.1600288339995479</v>
      </c>
      <c r="Y210" s="10"/>
      <c r="Z210" s="10"/>
      <c r="AB210" s="10" t="str">
        <f t="shared" si="50"/>
        <v>Distress</v>
      </c>
      <c r="AC210" s="10">
        <f t="shared" si="51"/>
        <v>1</v>
      </c>
      <c r="AE210" s="10">
        <f t="shared" si="52"/>
        <v>1</v>
      </c>
      <c r="AG210" s="13">
        <f t="shared" si="53"/>
        <v>0.7310585786300049</v>
      </c>
      <c r="AH210" s="13">
        <f t="shared" si="54"/>
        <v>-0.2689414213699951</v>
      </c>
      <c r="AI210" s="10">
        <f t="shared" si="55"/>
        <v>0.19661193324148185</v>
      </c>
    </row>
    <row r="211" spans="1:35" x14ac:dyDescent="0.3">
      <c r="A211" t="s">
        <v>67</v>
      </c>
      <c r="B211">
        <v>2024</v>
      </c>
      <c r="C211" s="3">
        <v>-11113000</v>
      </c>
      <c r="D211" s="3">
        <v>61000</v>
      </c>
      <c r="E211" s="3">
        <v>161914000</v>
      </c>
      <c r="F211" s="3">
        <v>74767000</v>
      </c>
      <c r="G211" s="3">
        <v>63321000</v>
      </c>
      <c r="H211" s="3">
        <v>58417000</v>
      </c>
      <c r="I211" s="3">
        <v>98455000</v>
      </c>
      <c r="J211" s="3">
        <v>-111403000</v>
      </c>
      <c r="K211" s="3">
        <v>16350000</v>
      </c>
      <c r="M211" s="3">
        <v>367977000</v>
      </c>
      <c r="N211" s="3">
        <v>-8282000</v>
      </c>
      <c r="O211" s="3">
        <v>387000</v>
      </c>
      <c r="P211">
        <f t="shared" si="56"/>
        <v>-0.40920881848504198</v>
      </c>
      <c r="Q211">
        <f t="shared" si="57"/>
        <v>1</v>
      </c>
      <c r="R211" t="str">
        <f t="shared" si="48"/>
        <v>Distress</v>
      </c>
      <c r="S211">
        <f t="shared" si="58"/>
        <v>0.10097953234433094</v>
      </c>
      <c r="T211">
        <f t="shared" si="59"/>
        <v>-0.68803809429697249</v>
      </c>
      <c r="U211">
        <f t="shared" si="60"/>
        <v>-6.8635201403214052E-2</v>
      </c>
      <c r="V211">
        <f t="shared" si="61"/>
        <v>1.5548554192132151</v>
      </c>
      <c r="X211" s="13">
        <f t="shared" si="49"/>
        <v>-1.9031528865178853</v>
      </c>
      <c r="Y211" s="10"/>
      <c r="Z211" s="10"/>
      <c r="AB211" s="10" t="str">
        <f t="shared" si="50"/>
        <v>Distress</v>
      </c>
      <c r="AC211" s="10">
        <f t="shared" si="51"/>
        <v>1</v>
      </c>
      <c r="AE211" s="10">
        <f t="shared" si="52"/>
        <v>1</v>
      </c>
      <c r="AG211" s="13">
        <f t="shared" si="53"/>
        <v>0.7310585786300049</v>
      </c>
      <c r="AH211" s="13">
        <f t="shared" si="54"/>
        <v>-0.2689414213699951</v>
      </c>
      <c r="AI211" s="10">
        <f t="shared" si="55"/>
        <v>0.19661193324148185</v>
      </c>
    </row>
    <row r="212" spans="1:35" x14ac:dyDescent="0.3">
      <c r="A212" t="s">
        <v>67</v>
      </c>
      <c r="B212">
        <v>2023</v>
      </c>
      <c r="C212" s="3">
        <v>-1104000</v>
      </c>
      <c r="D212" s="3">
        <v>36000</v>
      </c>
      <c r="E212" s="3">
        <v>182670000</v>
      </c>
      <c r="F212" s="3">
        <v>94738000</v>
      </c>
      <c r="G212" s="3">
        <v>75681000</v>
      </c>
      <c r="H212" s="3">
        <v>69677000</v>
      </c>
      <c r="I212" s="3">
        <v>106839000</v>
      </c>
      <c r="J212" s="3">
        <v>-103019000</v>
      </c>
      <c r="K212" s="3">
        <v>25061000</v>
      </c>
      <c r="M212" s="3">
        <v>376213000</v>
      </c>
      <c r="N212" s="3">
        <v>-399000</v>
      </c>
      <c r="O212" s="3">
        <v>485000</v>
      </c>
      <c r="P212">
        <f t="shared" si="56"/>
        <v>0.50314050608681415</v>
      </c>
      <c r="Q212">
        <f t="shared" si="57"/>
        <v>1</v>
      </c>
      <c r="R212" t="str">
        <f t="shared" si="48"/>
        <v>Distress</v>
      </c>
      <c r="S212">
        <f t="shared" si="58"/>
        <v>0.13719275195708108</v>
      </c>
      <c r="T212">
        <f t="shared" si="59"/>
        <v>-0.5639623364537143</v>
      </c>
      <c r="U212">
        <f t="shared" si="60"/>
        <v>-6.0436853342092298E-3</v>
      </c>
      <c r="V212">
        <f t="shared" si="61"/>
        <v>1.4117017481270069</v>
      </c>
      <c r="X212" s="13">
        <f t="shared" si="49"/>
        <v>-0.97852126354025482</v>
      </c>
      <c r="Y212" s="10"/>
      <c r="Z212" s="10"/>
      <c r="AB212" s="10" t="str">
        <f t="shared" si="50"/>
        <v>Distress</v>
      </c>
      <c r="AC212" s="10">
        <f t="shared" si="51"/>
        <v>1</v>
      </c>
      <c r="AE212" s="10">
        <f t="shared" si="52"/>
        <v>1</v>
      </c>
      <c r="AG212" s="13">
        <f t="shared" si="53"/>
        <v>0.7310585786300049</v>
      </c>
      <c r="AH212" s="13">
        <f t="shared" si="54"/>
        <v>-0.2689414213699951</v>
      </c>
      <c r="AI212" s="10">
        <f t="shared" si="55"/>
        <v>0.19661193324148185</v>
      </c>
    </row>
    <row r="213" spans="1:35" x14ac:dyDescent="0.3">
      <c r="A213" t="s">
        <v>67</v>
      </c>
      <c r="B213">
        <v>2022</v>
      </c>
      <c r="C213" s="3">
        <v>3239000</v>
      </c>
      <c r="D213" s="3">
        <v>92000</v>
      </c>
      <c r="E213" s="3">
        <v>192224000</v>
      </c>
      <c r="F213" s="3">
        <v>119314000</v>
      </c>
      <c r="G213" s="3">
        <v>84735000</v>
      </c>
      <c r="H213" s="3">
        <v>78846000</v>
      </c>
      <c r="I213" s="3">
        <v>107338000</v>
      </c>
      <c r="J213" s="3">
        <v>-102520000</v>
      </c>
      <c r="K213" s="3">
        <v>40468000</v>
      </c>
      <c r="M213" s="3">
        <v>473879000</v>
      </c>
      <c r="N213" s="3">
        <v>2892000</v>
      </c>
      <c r="O213" s="3">
        <v>245000</v>
      </c>
      <c r="P213">
        <f t="shared" si="56"/>
        <v>1.0856893712808</v>
      </c>
      <c r="Q213">
        <f t="shared" si="57"/>
        <v>1</v>
      </c>
      <c r="R213" t="str">
        <f t="shared" si="48"/>
        <v>Distress</v>
      </c>
      <c r="S213">
        <f t="shared" si="58"/>
        <v>0.21052522057599468</v>
      </c>
      <c r="T213">
        <f t="shared" si="59"/>
        <v>-0.53333610787414687</v>
      </c>
      <c r="U213">
        <f t="shared" si="60"/>
        <v>1.6850133177959047E-2</v>
      </c>
      <c r="V213">
        <f t="shared" si="61"/>
        <v>1.2667492771581992</v>
      </c>
      <c r="X213" s="13">
        <f t="shared" si="49"/>
        <v>-0.32541778006483152</v>
      </c>
      <c r="Y213" s="10"/>
      <c r="Z213" s="10"/>
      <c r="AB213" s="10" t="str">
        <f t="shared" si="50"/>
        <v>Distress</v>
      </c>
      <c r="AC213" s="10">
        <f t="shared" si="51"/>
        <v>1</v>
      </c>
      <c r="AE213" s="10">
        <f t="shared" si="52"/>
        <v>1</v>
      </c>
      <c r="AG213" s="13">
        <f t="shared" si="53"/>
        <v>0.7310585786300049</v>
      </c>
      <c r="AH213" s="13">
        <f t="shared" si="54"/>
        <v>-0.2689414213699951</v>
      </c>
      <c r="AI213" s="10">
        <f t="shared" si="55"/>
        <v>0.19661193324148185</v>
      </c>
    </row>
    <row r="214" spans="1:35" x14ac:dyDescent="0.3">
      <c r="A214" t="s">
        <v>68</v>
      </c>
      <c r="B214">
        <v>2025</v>
      </c>
      <c r="C214" s="3">
        <v>170534688876</v>
      </c>
      <c r="D214" s="3">
        <v>94638788899</v>
      </c>
      <c r="E214" s="3">
        <v>3495704841602</v>
      </c>
      <c r="F214" s="3">
        <v>1886494382059</v>
      </c>
      <c r="G214" s="3">
        <v>2085397950272</v>
      </c>
      <c r="H214" s="3">
        <v>1914240153638</v>
      </c>
      <c r="I214" s="3">
        <v>1410306891330</v>
      </c>
      <c r="J214" s="3">
        <v>326426822262</v>
      </c>
      <c r="K214" s="3">
        <v>-27745771579</v>
      </c>
      <c r="M214" s="3">
        <v>2342567626820</v>
      </c>
      <c r="N214" s="3">
        <v>73238288798</v>
      </c>
      <c r="O214" s="3">
        <v>1498713819776</v>
      </c>
      <c r="P214">
        <f t="shared" si="56"/>
        <v>1.2902693176905933</v>
      </c>
      <c r="Q214">
        <f t="shared" si="57"/>
        <v>0</v>
      </c>
      <c r="R214" t="str">
        <f t="shared" si="48"/>
        <v>Grey Area</v>
      </c>
      <c r="S214">
        <f t="shared" si="58"/>
        <v>-7.9371036275147182E-3</v>
      </c>
      <c r="T214">
        <f t="shared" si="59"/>
        <v>9.3379400450870509E-2</v>
      </c>
      <c r="U214">
        <f t="shared" si="60"/>
        <v>4.8784064045249292E-2</v>
      </c>
      <c r="V214">
        <f t="shared" si="61"/>
        <v>0.67627710631731108</v>
      </c>
      <c r="X214" s="13">
        <f t="shared" si="49"/>
        <v>0.52258718924325653</v>
      </c>
      <c r="Y214" s="10"/>
      <c r="Z214" s="10"/>
      <c r="AB214" s="10" t="str">
        <f t="shared" si="50"/>
        <v>Non-Distress</v>
      </c>
      <c r="AC214" s="10">
        <f t="shared" si="51"/>
        <v>0</v>
      </c>
      <c r="AE214" s="10">
        <f t="shared" si="52"/>
        <v>0</v>
      </c>
      <c r="AG214" s="13">
        <f t="shared" si="53"/>
        <v>0.5</v>
      </c>
      <c r="AH214" s="13">
        <f t="shared" si="54"/>
        <v>0.5</v>
      </c>
      <c r="AI214" s="10">
        <f t="shared" si="55"/>
        <v>0.25</v>
      </c>
    </row>
    <row r="215" spans="1:35" x14ac:dyDescent="0.3">
      <c r="A215" t="s">
        <v>68</v>
      </c>
      <c r="B215">
        <v>2024</v>
      </c>
      <c r="C215" s="3">
        <v>183041892317</v>
      </c>
      <c r="D215" s="3">
        <v>56063113822</v>
      </c>
      <c r="E215" s="3">
        <v>2755475158820</v>
      </c>
      <c r="F215" s="3">
        <v>1255030763309</v>
      </c>
      <c r="G215" s="3">
        <v>1399270861628</v>
      </c>
      <c r="H215" s="3">
        <v>1141681972708</v>
      </c>
      <c r="I215" s="3">
        <v>1356204297192</v>
      </c>
      <c r="J215" s="3">
        <v>276294783464</v>
      </c>
      <c r="K215" s="3">
        <v>113348790601</v>
      </c>
      <c r="M215" s="3">
        <v>2594517811912</v>
      </c>
      <c r="N215" s="3">
        <v>104677999298</v>
      </c>
      <c r="O215" s="3">
        <v>1076826448798</v>
      </c>
      <c r="P215">
        <f t="shared" si="56"/>
        <v>2.0608175187704285</v>
      </c>
      <c r="Q215">
        <f t="shared" si="57"/>
        <v>0</v>
      </c>
      <c r="R215" t="str">
        <f t="shared" si="48"/>
        <v>Grey Area</v>
      </c>
      <c r="S215">
        <f t="shared" si="58"/>
        <v>4.1135841939340979E-2</v>
      </c>
      <c r="T215">
        <f t="shared" si="59"/>
        <v>0.10027119372846025</v>
      </c>
      <c r="U215">
        <f t="shared" si="60"/>
        <v>6.6428431311057634E-2</v>
      </c>
      <c r="V215">
        <f t="shared" si="61"/>
        <v>0.96922213874596541</v>
      </c>
      <c r="X215" s="13">
        <f t="shared" si="49"/>
        <v>0.94304384284093712</v>
      </c>
      <c r="Y215" s="10"/>
      <c r="Z215" s="10"/>
      <c r="AB215" s="10" t="str">
        <f t="shared" si="50"/>
        <v>Non-Distress</v>
      </c>
      <c r="AC215" s="10">
        <f t="shared" si="51"/>
        <v>0</v>
      </c>
      <c r="AE215" s="10">
        <f t="shared" si="52"/>
        <v>0</v>
      </c>
      <c r="AG215" s="13">
        <f t="shared" si="53"/>
        <v>0.5</v>
      </c>
      <c r="AH215" s="13">
        <f t="shared" si="54"/>
        <v>0.5</v>
      </c>
      <c r="AI215" s="10">
        <f t="shared" si="55"/>
        <v>0.25</v>
      </c>
    </row>
    <row r="216" spans="1:35" x14ac:dyDescent="0.3">
      <c r="A216" t="s">
        <v>68</v>
      </c>
      <c r="B216">
        <v>2023</v>
      </c>
      <c r="C216" s="3">
        <v>308885703782</v>
      </c>
      <c r="D216" s="3">
        <v>30962959393</v>
      </c>
      <c r="E216" s="3">
        <v>2228129147603</v>
      </c>
      <c r="F216" s="3">
        <v>815030596399</v>
      </c>
      <c r="G216" s="3">
        <v>954226747571</v>
      </c>
      <c r="H216" s="3">
        <v>794243185564</v>
      </c>
      <c r="I216" s="3">
        <v>1273902400032</v>
      </c>
      <c r="J216" s="3">
        <v>289809100566</v>
      </c>
      <c r="K216" s="3">
        <v>20787410835</v>
      </c>
      <c r="M216" s="3">
        <v>2524984145491</v>
      </c>
      <c r="N216" s="3">
        <v>212988116470</v>
      </c>
      <c r="O216" s="3">
        <v>559618654415</v>
      </c>
      <c r="P216">
        <f t="shared" si="56"/>
        <v>2.8185793513232382</v>
      </c>
      <c r="Q216">
        <f t="shared" si="57"/>
        <v>0</v>
      </c>
      <c r="R216" t="str">
        <f t="shared" si="48"/>
        <v>Safe</v>
      </c>
      <c r="S216">
        <f t="shared" si="58"/>
        <v>9.3295358832152508E-3</v>
      </c>
      <c r="T216">
        <f t="shared" si="59"/>
        <v>0.13006835841529826</v>
      </c>
      <c r="U216">
        <f t="shared" si="60"/>
        <v>0.13863007183147183</v>
      </c>
      <c r="V216">
        <f t="shared" si="61"/>
        <v>1.3350101569409363</v>
      </c>
      <c r="X216" s="13">
        <f t="shared" si="49"/>
        <v>1.2112861533288715</v>
      </c>
      <c r="Y216" s="10"/>
      <c r="Z216" s="10"/>
      <c r="AB216" s="10" t="str">
        <f t="shared" si="50"/>
        <v>Non-Distress</v>
      </c>
      <c r="AC216" s="10">
        <f t="shared" si="51"/>
        <v>0</v>
      </c>
      <c r="AE216" s="10">
        <f t="shared" si="52"/>
        <v>0</v>
      </c>
      <c r="AG216" s="13">
        <f t="shared" si="53"/>
        <v>0.5</v>
      </c>
      <c r="AH216" s="13">
        <f t="shared" si="54"/>
        <v>0.5</v>
      </c>
      <c r="AI216" s="10">
        <f t="shared" si="55"/>
        <v>0.25</v>
      </c>
    </row>
    <row r="217" spans="1:35" x14ac:dyDescent="0.3">
      <c r="A217" t="s">
        <v>68</v>
      </c>
      <c r="B217">
        <v>2022</v>
      </c>
      <c r="C217" s="3">
        <v>368178196224</v>
      </c>
      <c r="D217" s="3">
        <v>16003667736</v>
      </c>
      <c r="E217" s="3">
        <v>2106446579086</v>
      </c>
      <c r="F217" s="3">
        <v>830499000031</v>
      </c>
      <c r="G217" s="3">
        <v>1046603698108</v>
      </c>
      <c r="H217" s="3">
        <v>953526289429</v>
      </c>
      <c r="I217" s="3">
        <v>1059842880978</v>
      </c>
      <c r="J217" s="3">
        <v>76820984096</v>
      </c>
      <c r="K217" s="3">
        <v>-123027289398</v>
      </c>
      <c r="M217" s="3">
        <v>2594504651438</v>
      </c>
      <c r="N217" s="3">
        <v>273673913875</v>
      </c>
      <c r="O217" s="3">
        <v>394689488688</v>
      </c>
      <c r="P217">
        <f t="shared" si="56"/>
        <v>1.9735994951955074</v>
      </c>
      <c r="Q217">
        <f t="shared" si="57"/>
        <v>0</v>
      </c>
      <c r="R217" t="str">
        <f t="shared" si="48"/>
        <v>Grey Area</v>
      </c>
      <c r="S217">
        <f t="shared" si="58"/>
        <v>-5.8405131475673257E-2</v>
      </c>
      <c r="T217">
        <f t="shared" si="59"/>
        <v>3.6469467044036356E-2</v>
      </c>
      <c r="U217">
        <f t="shared" si="60"/>
        <v>0.17478639139462762</v>
      </c>
      <c r="V217">
        <f t="shared" si="61"/>
        <v>1.0126496618480645</v>
      </c>
      <c r="X217" s="13">
        <f t="shared" si="49"/>
        <v>0.65156630472724297</v>
      </c>
      <c r="Y217" s="10"/>
      <c r="Z217" s="10"/>
      <c r="AB217" s="10" t="str">
        <f t="shared" si="50"/>
        <v>Non-Distress</v>
      </c>
      <c r="AC217" s="10">
        <f t="shared" si="51"/>
        <v>0</v>
      </c>
      <c r="AE217" s="10">
        <f t="shared" si="52"/>
        <v>0</v>
      </c>
      <c r="AG217" s="13">
        <f t="shared" si="53"/>
        <v>0.5</v>
      </c>
      <c r="AH217" s="13">
        <f t="shared" si="54"/>
        <v>0.5</v>
      </c>
      <c r="AI217" s="10">
        <f t="shared" si="55"/>
        <v>0.25</v>
      </c>
    </row>
    <row r="218" spans="1:35" x14ac:dyDescent="0.3">
      <c r="A218" t="s">
        <v>69</v>
      </c>
      <c r="B218">
        <v>2025</v>
      </c>
      <c r="C218" s="3">
        <v>61801411976</v>
      </c>
      <c r="D218" s="3">
        <v>34847204361</v>
      </c>
      <c r="E218" s="3">
        <v>1180923907457</v>
      </c>
      <c r="F218" s="3">
        <v>717705207525</v>
      </c>
      <c r="G218" s="3">
        <v>741697605394</v>
      </c>
      <c r="H218" s="3">
        <v>619059847913</v>
      </c>
      <c r="I218" s="3">
        <v>447120300479</v>
      </c>
      <c r="J218" s="3">
        <v>296530382670</v>
      </c>
      <c r="K218" s="3">
        <v>98645359612</v>
      </c>
      <c r="M218" s="3">
        <v>1496503517434</v>
      </c>
      <c r="N218" s="3">
        <v>21235336170</v>
      </c>
      <c r="O218" s="3">
        <v>464531224042</v>
      </c>
      <c r="P218">
        <f t="shared" si="56"/>
        <v>2.3512131676354895</v>
      </c>
      <c r="Q218">
        <f t="shared" si="57"/>
        <v>0</v>
      </c>
      <c r="R218" t="str">
        <f t="shared" si="48"/>
        <v>Grey Area</v>
      </c>
      <c r="S218">
        <f t="shared" si="58"/>
        <v>8.3532358849794805E-2</v>
      </c>
      <c r="T218">
        <f t="shared" si="59"/>
        <v>0.25110032983289171</v>
      </c>
      <c r="U218">
        <f t="shared" si="60"/>
        <v>5.2333102569735487E-2</v>
      </c>
      <c r="V218">
        <f t="shared" si="61"/>
        <v>0.60283368481617727</v>
      </c>
      <c r="X218" s="13">
        <f t="shared" si="49"/>
        <v>1.6126045809845668</v>
      </c>
      <c r="Y218" s="10"/>
      <c r="Z218" s="10"/>
      <c r="AB218" s="10" t="str">
        <f t="shared" si="50"/>
        <v>Non-Distress</v>
      </c>
      <c r="AC218" s="10">
        <f t="shared" si="51"/>
        <v>0</v>
      </c>
      <c r="AE218" s="10">
        <f t="shared" si="52"/>
        <v>0</v>
      </c>
      <c r="AG218" s="13">
        <f t="shared" si="53"/>
        <v>0.5</v>
      </c>
      <c r="AH218" s="13">
        <f t="shared" si="54"/>
        <v>0.5</v>
      </c>
      <c r="AI218" s="10">
        <f t="shared" si="55"/>
        <v>0.25</v>
      </c>
    </row>
    <row r="219" spans="1:35" x14ac:dyDescent="0.3">
      <c r="A219" t="s">
        <v>69</v>
      </c>
      <c r="B219">
        <v>2024</v>
      </c>
      <c r="C219" s="3">
        <v>74284933640</v>
      </c>
      <c r="D219" s="3">
        <v>39628333779</v>
      </c>
      <c r="E219" s="3">
        <v>1194884596467</v>
      </c>
      <c r="F219" s="3">
        <v>731073673312</v>
      </c>
      <c r="G219" s="3">
        <v>769087477074</v>
      </c>
      <c r="H219" s="3">
        <v>658289194257</v>
      </c>
      <c r="I219" s="3">
        <v>433838172069</v>
      </c>
      <c r="J219" s="3">
        <v>281287173062</v>
      </c>
      <c r="K219" s="3">
        <v>72784479055</v>
      </c>
      <c r="M219" s="3">
        <v>1434109952734</v>
      </c>
      <c r="N219" s="3">
        <v>18330954245</v>
      </c>
      <c r="O219" s="3">
        <v>443564084468</v>
      </c>
      <c r="P219">
        <f t="shared" si="56"/>
        <v>2.1771027962474152</v>
      </c>
      <c r="Q219">
        <f t="shared" si="57"/>
        <v>0</v>
      </c>
      <c r="R219" t="str">
        <f t="shared" si="48"/>
        <v>Grey Area</v>
      </c>
      <c r="S219">
        <f t="shared" si="58"/>
        <v>6.0913396381715043E-2</v>
      </c>
      <c r="T219">
        <f t="shared" si="59"/>
        <v>0.2354094896642753</v>
      </c>
      <c r="U219">
        <f t="shared" si="60"/>
        <v>6.216912818161982E-2</v>
      </c>
      <c r="V219">
        <f t="shared" si="61"/>
        <v>0.56409470314032562</v>
      </c>
      <c r="X219" s="13">
        <f t="shared" si="49"/>
        <v>1.4688460413773314</v>
      </c>
      <c r="Y219" s="10"/>
      <c r="Z219" s="10"/>
      <c r="AB219" s="10" t="str">
        <f t="shared" si="50"/>
        <v>Non-Distress</v>
      </c>
      <c r="AC219" s="10">
        <f t="shared" si="51"/>
        <v>0</v>
      </c>
      <c r="AE219" s="10">
        <f t="shared" si="52"/>
        <v>0</v>
      </c>
      <c r="AG219" s="13">
        <f t="shared" si="53"/>
        <v>0.5</v>
      </c>
      <c r="AH219" s="13">
        <f t="shared" si="54"/>
        <v>0.5</v>
      </c>
      <c r="AI219" s="10">
        <f t="shared" si="55"/>
        <v>0.25</v>
      </c>
    </row>
    <row r="220" spans="1:35" x14ac:dyDescent="0.3">
      <c r="A220" t="s">
        <v>69</v>
      </c>
      <c r="B220">
        <v>2023</v>
      </c>
      <c r="C220" s="3">
        <v>62439421982</v>
      </c>
      <c r="D220" s="3">
        <v>33258423726</v>
      </c>
      <c r="E220" s="3">
        <v>1099372271721</v>
      </c>
      <c r="F220" s="3">
        <v>602491907656</v>
      </c>
      <c r="G220" s="3">
        <v>698132657837</v>
      </c>
      <c r="H220" s="3">
        <v>585937147498</v>
      </c>
      <c r="I220" s="3">
        <v>409292202374</v>
      </c>
      <c r="J220" s="3">
        <v>255066122169</v>
      </c>
      <c r="K220" s="3">
        <v>16554760158</v>
      </c>
      <c r="M220" s="3">
        <v>1267990712443</v>
      </c>
      <c r="N220" s="3">
        <v>13637436328</v>
      </c>
      <c r="O220" s="3">
        <v>407477395057</v>
      </c>
      <c r="P220">
        <f t="shared" si="56"/>
        <v>1.8523841520735056</v>
      </c>
      <c r="Q220">
        <f t="shared" si="57"/>
        <v>0</v>
      </c>
      <c r="R220" t="str">
        <f t="shared" si="48"/>
        <v>Grey Area</v>
      </c>
      <c r="S220">
        <f t="shared" si="58"/>
        <v>1.5058375205411118E-2</v>
      </c>
      <c r="T220">
        <f t="shared" si="59"/>
        <v>0.23201069258342272</v>
      </c>
      <c r="U220">
        <f t="shared" si="60"/>
        <v>5.6795521942949234E-2</v>
      </c>
      <c r="V220">
        <f t="shared" si="61"/>
        <v>0.5862670909023161</v>
      </c>
      <c r="X220" s="13">
        <f t="shared" si="49"/>
        <v>1.1524008995040196</v>
      </c>
      <c r="Y220" s="10"/>
      <c r="Z220" s="10"/>
      <c r="AB220" s="10" t="str">
        <f t="shared" si="50"/>
        <v>Non-Distress</v>
      </c>
      <c r="AC220" s="10">
        <f t="shared" si="51"/>
        <v>0</v>
      </c>
      <c r="AE220" s="10">
        <f t="shared" si="52"/>
        <v>0</v>
      </c>
      <c r="AG220" s="13">
        <f t="shared" si="53"/>
        <v>0.5</v>
      </c>
      <c r="AH220" s="13">
        <f t="shared" si="54"/>
        <v>0.5</v>
      </c>
      <c r="AI220" s="10">
        <f t="shared" si="55"/>
        <v>0.25</v>
      </c>
    </row>
    <row r="221" spans="1:35" x14ac:dyDescent="0.3">
      <c r="A221" t="s">
        <v>69</v>
      </c>
      <c r="B221">
        <v>2022</v>
      </c>
      <c r="C221" s="3">
        <v>48625687571</v>
      </c>
      <c r="D221" s="3">
        <v>36395215912</v>
      </c>
      <c r="E221" s="3">
        <v>1094655889281</v>
      </c>
      <c r="F221" s="3">
        <v>593061478723</v>
      </c>
      <c r="G221" s="3">
        <v>703010035980</v>
      </c>
      <c r="H221" s="3">
        <v>590384060167</v>
      </c>
      <c r="I221" s="3">
        <v>399671544394</v>
      </c>
      <c r="J221" s="3">
        <v>232158160985</v>
      </c>
      <c r="K221" s="3">
        <v>2677418556</v>
      </c>
      <c r="M221" s="3">
        <v>1109283319347</v>
      </c>
      <c r="N221" s="3">
        <v>207729560</v>
      </c>
      <c r="O221" s="3">
        <v>385055595911</v>
      </c>
      <c r="P221">
        <f t="shared" si="56"/>
        <v>1.6028858736252802</v>
      </c>
      <c r="Q221">
        <f t="shared" si="57"/>
        <v>0</v>
      </c>
      <c r="R221" t="str">
        <f t="shared" si="48"/>
        <v>Grey Area</v>
      </c>
      <c r="S221">
        <f t="shared" si="58"/>
        <v>2.4458997409300943E-3</v>
      </c>
      <c r="T221">
        <f t="shared" si="59"/>
        <v>0.21208323388045519</v>
      </c>
      <c r="U221">
        <f t="shared" si="60"/>
        <v>4.4420980188521787E-2</v>
      </c>
      <c r="V221">
        <f t="shared" si="61"/>
        <v>0.56851470667393189</v>
      </c>
      <c r="X221" s="13">
        <f t="shared" si="49"/>
        <v>0.94937718495192802</v>
      </c>
      <c r="Y221" s="10"/>
      <c r="Z221" s="10"/>
      <c r="AB221" s="10" t="str">
        <f t="shared" si="50"/>
        <v>Non-Distress</v>
      </c>
      <c r="AC221" s="10">
        <f t="shared" si="51"/>
        <v>0</v>
      </c>
      <c r="AE221" s="10">
        <f t="shared" si="52"/>
        <v>0</v>
      </c>
      <c r="AG221" s="13">
        <f t="shared" si="53"/>
        <v>0.5</v>
      </c>
      <c r="AH221" s="13">
        <f t="shared" si="54"/>
        <v>0.5</v>
      </c>
      <c r="AI221" s="10">
        <f t="shared" si="55"/>
        <v>0.25</v>
      </c>
    </row>
    <row r="222" spans="1:35" x14ac:dyDescent="0.3">
      <c r="A222" t="s">
        <v>70</v>
      </c>
      <c r="B222">
        <v>2025</v>
      </c>
      <c r="C222" s="3">
        <v>2831757000000</v>
      </c>
      <c r="D222" s="3">
        <v>278212000000</v>
      </c>
      <c r="E222" s="3">
        <v>75251653000000</v>
      </c>
      <c r="F222" s="3">
        <v>39438262000000</v>
      </c>
      <c r="G222" s="3">
        <v>12680816000000</v>
      </c>
      <c r="H222" s="3">
        <v>10724952000000</v>
      </c>
      <c r="I222" s="3">
        <v>62567714000000</v>
      </c>
      <c r="J222" s="3">
        <v>61385349000000</v>
      </c>
      <c r="K222" s="3">
        <v>28713310000000</v>
      </c>
      <c r="M222" s="3">
        <v>89369758000000</v>
      </c>
      <c r="N222" s="3">
        <v>1556533000000</v>
      </c>
      <c r="O222" s="3">
        <v>761931000000</v>
      </c>
      <c r="P222">
        <f t="shared" si="56"/>
        <v>10.595976348732464</v>
      </c>
      <c r="Q222">
        <f t="shared" si="57"/>
        <v>0</v>
      </c>
      <c r="R222" t="str">
        <f t="shared" si="48"/>
        <v>Safe</v>
      </c>
      <c r="S222">
        <f t="shared" si="58"/>
        <v>0.38156384418558886</v>
      </c>
      <c r="T222">
        <f t="shared" si="59"/>
        <v>0.81573422712721011</v>
      </c>
      <c r="U222">
        <f t="shared" si="60"/>
        <v>3.7630495638414745E-2</v>
      </c>
      <c r="V222">
        <f t="shared" si="61"/>
        <v>4.9340447807144274</v>
      </c>
      <c r="X222" s="13">
        <f t="shared" si="49"/>
        <v>5.39975275998846</v>
      </c>
      <c r="Y222" s="10"/>
      <c r="Z222" s="10"/>
      <c r="AB222" s="10" t="str">
        <f t="shared" si="50"/>
        <v>Non-Distress</v>
      </c>
      <c r="AC222" s="10">
        <f t="shared" si="51"/>
        <v>0</v>
      </c>
      <c r="AE222" s="10">
        <f t="shared" si="52"/>
        <v>0</v>
      </c>
      <c r="AG222" s="13">
        <f t="shared" si="53"/>
        <v>0.5</v>
      </c>
      <c r="AH222" s="13">
        <f t="shared" si="54"/>
        <v>0.5</v>
      </c>
      <c r="AI222" s="10">
        <f t="shared" si="55"/>
        <v>0.25</v>
      </c>
    </row>
    <row r="223" spans="1:35" x14ac:dyDescent="0.3">
      <c r="A223" t="s">
        <v>70</v>
      </c>
      <c r="B223">
        <v>2024</v>
      </c>
      <c r="C223" s="3">
        <v>1903460000000</v>
      </c>
      <c r="D223" s="3">
        <v>502906000000</v>
      </c>
      <c r="E223" s="3">
        <v>84939276000000</v>
      </c>
      <c r="F223" s="3">
        <v>47590906000000</v>
      </c>
      <c r="G223" s="3">
        <v>23022685000000</v>
      </c>
      <c r="H223" s="3">
        <v>20824215000000</v>
      </c>
      <c r="I223" s="3">
        <v>61916521000000</v>
      </c>
      <c r="J223" s="3">
        <v>60734156000000</v>
      </c>
      <c r="K223" s="3">
        <v>26766691000000</v>
      </c>
      <c r="M223" s="3">
        <v>98655483000000</v>
      </c>
      <c r="N223" s="3">
        <v>980805000000</v>
      </c>
      <c r="O223" s="3">
        <v>9375398000000</v>
      </c>
      <c r="P223">
        <f t="shared" si="56"/>
        <v>7.3726658640682645</v>
      </c>
      <c r="Q223">
        <f t="shared" si="57"/>
        <v>0</v>
      </c>
      <c r="R223" t="str">
        <f t="shared" si="48"/>
        <v>Safe</v>
      </c>
      <c r="S223">
        <f t="shared" si="58"/>
        <v>0.31512737405484831</v>
      </c>
      <c r="T223">
        <f t="shared" si="59"/>
        <v>0.7150302999992606</v>
      </c>
      <c r="U223">
        <f t="shared" si="60"/>
        <v>2.2409656517439588E-2</v>
      </c>
      <c r="V223">
        <f t="shared" si="61"/>
        <v>2.6893701147368345</v>
      </c>
      <c r="X223" s="13">
        <f t="shared" si="49"/>
        <v>4.4935699570920757</v>
      </c>
      <c r="Y223" s="10"/>
      <c r="Z223" s="10"/>
      <c r="AB223" s="10" t="str">
        <f t="shared" si="50"/>
        <v>Non-Distress</v>
      </c>
      <c r="AC223" s="10">
        <f t="shared" si="51"/>
        <v>0</v>
      </c>
      <c r="AE223" s="10">
        <f t="shared" si="52"/>
        <v>0</v>
      </c>
      <c r="AG223" s="13">
        <f t="shared" si="53"/>
        <v>0.5</v>
      </c>
      <c r="AH223" s="13">
        <f t="shared" si="54"/>
        <v>0.5</v>
      </c>
      <c r="AI223" s="10">
        <f t="shared" si="55"/>
        <v>0.25</v>
      </c>
    </row>
    <row r="224" spans="1:35" x14ac:dyDescent="0.3">
      <c r="A224" t="s">
        <v>70</v>
      </c>
      <c r="B224">
        <v>2023</v>
      </c>
      <c r="C224" s="3">
        <v>7439598000000</v>
      </c>
      <c r="D224" s="3">
        <v>578782000000</v>
      </c>
      <c r="E224" s="3">
        <v>92450823000000</v>
      </c>
      <c r="F224" s="3">
        <v>54115182000000</v>
      </c>
      <c r="G224" s="3">
        <v>31587980000000</v>
      </c>
      <c r="H224" s="3">
        <v>29536433000000</v>
      </c>
      <c r="I224" s="3">
        <v>60862772000000</v>
      </c>
      <c r="J224" s="3">
        <v>59680407000000</v>
      </c>
      <c r="K224" s="3">
        <v>24578749000000</v>
      </c>
      <c r="M224" s="3">
        <v>118952997000000</v>
      </c>
      <c r="N224" s="3">
        <v>5324514000000</v>
      </c>
      <c r="O224" s="3">
        <v>13395817000000</v>
      </c>
      <c r="P224">
        <f t="shared" si="56"/>
        <v>6.4123481515472802</v>
      </c>
      <c r="Q224">
        <f t="shared" si="57"/>
        <v>0</v>
      </c>
      <c r="R224" t="str">
        <f t="shared" si="48"/>
        <v>Safe</v>
      </c>
      <c r="S224">
        <f t="shared" si="58"/>
        <v>0.2658575467738129</v>
      </c>
      <c r="T224">
        <f t="shared" si="59"/>
        <v>0.64553678445891172</v>
      </c>
      <c r="U224">
        <f t="shared" si="60"/>
        <v>8.0470868279885407E-2</v>
      </c>
      <c r="V224">
        <f t="shared" si="61"/>
        <v>1.9267699928897004</v>
      </c>
      <c r="X224" s="13">
        <f t="shared" si="49"/>
        <v>4.2127632348932611</v>
      </c>
      <c r="Y224" s="10"/>
      <c r="Z224" s="10"/>
      <c r="AB224" s="10" t="str">
        <f t="shared" si="50"/>
        <v>Non-Distress</v>
      </c>
      <c r="AC224" s="10">
        <f t="shared" si="51"/>
        <v>0</v>
      </c>
      <c r="AE224" s="10">
        <f t="shared" si="52"/>
        <v>0</v>
      </c>
      <c r="AG224" s="13">
        <f t="shared" si="53"/>
        <v>0.5</v>
      </c>
      <c r="AH224" s="13">
        <f t="shared" si="54"/>
        <v>0.5</v>
      </c>
      <c r="AI224" s="10">
        <f t="shared" si="55"/>
        <v>0.25</v>
      </c>
    </row>
    <row r="225" spans="1:35" x14ac:dyDescent="0.3">
      <c r="A225" t="s">
        <v>70</v>
      </c>
      <c r="B225">
        <v>2022</v>
      </c>
      <c r="C225" s="3">
        <v>3908926000000</v>
      </c>
      <c r="D225" s="3">
        <v>262405000000</v>
      </c>
      <c r="E225" s="3">
        <v>88562617000000</v>
      </c>
      <c r="F225" s="3">
        <v>55445127000000</v>
      </c>
      <c r="G225" s="3">
        <v>30706651000000</v>
      </c>
      <c r="H225" s="3">
        <v>29125010000000</v>
      </c>
      <c r="I225" s="3">
        <v>57855897000000</v>
      </c>
      <c r="J225" s="3">
        <v>56673532000000</v>
      </c>
      <c r="K225" s="3">
        <v>26320117000000</v>
      </c>
      <c r="M225" s="3">
        <v>124682692000000</v>
      </c>
      <c r="N225" s="3">
        <v>2779739000000</v>
      </c>
      <c r="O225" s="3">
        <v>10136469000000</v>
      </c>
      <c r="P225">
        <f t="shared" si="56"/>
        <v>6.3106994970235224</v>
      </c>
      <c r="Q225">
        <f t="shared" si="57"/>
        <v>0</v>
      </c>
      <c r="R225" t="str">
        <f t="shared" si="48"/>
        <v>Safe</v>
      </c>
      <c r="S225">
        <f t="shared" si="58"/>
        <v>0.29719217759791355</v>
      </c>
      <c r="T225">
        <f t="shared" si="59"/>
        <v>0.63992612142434768</v>
      </c>
      <c r="U225">
        <f t="shared" si="60"/>
        <v>4.4137426517104839E-2</v>
      </c>
      <c r="V225">
        <f t="shared" si="61"/>
        <v>1.884148714231324</v>
      </c>
      <c r="X225" s="13">
        <f t="shared" si="49"/>
        <v>4.2083014873075086</v>
      </c>
      <c r="Y225" s="10"/>
      <c r="Z225" s="10"/>
      <c r="AB225" s="10" t="str">
        <f t="shared" si="50"/>
        <v>Non-Distress</v>
      </c>
      <c r="AC225" s="10">
        <f t="shared" si="51"/>
        <v>0</v>
      </c>
      <c r="AE225" s="10">
        <f t="shared" si="52"/>
        <v>0</v>
      </c>
      <c r="AG225" s="13">
        <f t="shared" si="53"/>
        <v>0.5</v>
      </c>
      <c r="AH225" s="13">
        <f t="shared" si="54"/>
        <v>0.5</v>
      </c>
      <c r="AI225" s="10">
        <f t="shared" si="55"/>
        <v>0.25</v>
      </c>
    </row>
    <row r="226" spans="1:35" x14ac:dyDescent="0.3">
      <c r="A226" t="s">
        <v>71</v>
      </c>
      <c r="B226">
        <v>2025</v>
      </c>
      <c r="C226" s="3">
        <v>-44492863</v>
      </c>
      <c r="D226" s="3">
        <v>3456448</v>
      </c>
      <c r="E226" s="3">
        <v>724626441</v>
      </c>
      <c r="F226" s="3">
        <v>182674289</v>
      </c>
      <c r="G226" s="3">
        <v>71131262</v>
      </c>
      <c r="H226" s="3">
        <v>38277658</v>
      </c>
      <c r="I226" s="3">
        <v>653495179</v>
      </c>
      <c r="J226" s="3">
        <v>254280007</v>
      </c>
      <c r="K226" s="3">
        <v>144396631</v>
      </c>
      <c r="M226" s="3">
        <v>187351680</v>
      </c>
      <c r="N226" s="3">
        <v>-36836112</v>
      </c>
      <c r="O226" s="3">
        <v>30185824</v>
      </c>
      <c r="P226">
        <f t="shared" si="56"/>
        <v>11.685102520216992</v>
      </c>
      <c r="Q226">
        <f t="shared" si="57"/>
        <v>0</v>
      </c>
      <c r="R226" t="str">
        <f t="shared" si="48"/>
        <v>Safe</v>
      </c>
      <c r="S226">
        <f t="shared" si="58"/>
        <v>0.19927044174751554</v>
      </c>
      <c r="T226">
        <f t="shared" si="59"/>
        <v>0.3509118528011318</v>
      </c>
      <c r="U226">
        <f t="shared" si="60"/>
        <v>-6.1401103358302657E-2</v>
      </c>
      <c r="V226">
        <f t="shared" si="61"/>
        <v>9.1871725683708529</v>
      </c>
      <c r="X226" s="13">
        <f t="shared" si="49"/>
        <v>2.4657408391835456</v>
      </c>
      <c r="Y226" s="10"/>
      <c r="Z226" s="10"/>
      <c r="AB226" s="10" t="str">
        <f t="shared" si="50"/>
        <v>Non-Distress</v>
      </c>
      <c r="AC226" s="10">
        <f t="shared" si="51"/>
        <v>0</v>
      </c>
      <c r="AE226" s="10">
        <f t="shared" si="52"/>
        <v>0</v>
      </c>
      <c r="AG226" s="13">
        <f t="shared" si="53"/>
        <v>0.5</v>
      </c>
      <c r="AH226" s="13">
        <f t="shared" si="54"/>
        <v>0.5</v>
      </c>
      <c r="AI226" s="10">
        <f t="shared" si="55"/>
        <v>0.25</v>
      </c>
    </row>
    <row r="227" spans="1:35" x14ac:dyDescent="0.3">
      <c r="A227" t="s">
        <v>71</v>
      </c>
      <c r="B227">
        <v>2024</v>
      </c>
      <c r="C227" s="3">
        <v>23416781</v>
      </c>
      <c r="D227" s="3">
        <v>5417796</v>
      </c>
      <c r="E227" s="3">
        <v>792729173</v>
      </c>
      <c r="F227" s="3">
        <v>237413511</v>
      </c>
      <c r="G227" s="3">
        <v>102208206</v>
      </c>
      <c r="H227" s="3">
        <v>67689092</v>
      </c>
      <c r="I227" s="3">
        <v>690520967</v>
      </c>
      <c r="J227" s="3">
        <v>291116119</v>
      </c>
      <c r="K227" s="3">
        <v>169724419</v>
      </c>
      <c r="M227" s="3">
        <v>351799326</v>
      </c>
      <c r="N227" s="3">
        <v>122279248</v>
      </c>
      <c r="O227" s="3">
        <v>46996323</v>
      </c>
      <c r="P227">
        <f t="shared" si="56"/>
        <v>9.8940129016238494</v>
      </c>
      <c r="Q227">
        <f t="shared" si="57"/>
        <v>0</v>
      </c>
      <c r="R227" t="str">
        <f t="shared" si="48"/>
        <v>Safe</v>
      </c>
      <c r="S227">
        <f t="shared" si="58"/>
        <v>0.21410139147231813</v>
      </c>
      <c r="T227">
        <f t="shared" si="59"/>
        <v>0.36723275604744271</v>
      </c>
      <c r="U227">
        <f t="shared" si="60"/>
        <v>2.9539446506530925E-2</v>
      </c>
      <c r="V227">
        <f t="shared" si="61"/>
        <v>6.7560227698351341</v>
      </c>
      <c r="X227" s="13">
        <f t="shared" si="49"/>
        <v>2.9453497153912362</v>
      </c>
      <c r="Y227" s="10"/>
      <c r="Z227" s="10"/>
      <c r="AB227" s="10" t="str">
        <f t="shared" si="50"/>
        <v>Non-Distress</v>
      </c>
      <c r="AC227" s="10">
        <f t="shared" si="51"/>
        <v>0</v>
      </c>
      <c r="AE227" s="10">
        <f t="shared" si="52"/>
        <v>0</v>
      </c>
      <c r="AG227" s="13">
        <f t="shared" si="53"/>
        <v>0.5</v>
      </c>
      <c r="AH227" s="13">
        <f t="shared" si="54"/>
        <v>0.5</v>
      </c>
      <c r="AI227" s="10">
        <f t="shared" si="55"/>
        <v>0.25</v>
      </c>
    </row>
    <row r="228" spans="1:35" x14ac:dyDescent="0.3">
      <c r="A228" t="s">
        <v>71</v>
      </c>
      <c r="B228">
        <v>2023</v>
      </c>
      <c r="C228" s="3">
        <v>19360623</v>
      </c>
      <c r="D228" s="3">
        <v>7702754</v>
      </c>
      <c r="E228" s="3">
        <v>1228574394</v>
      </c>
      <c r="F228" s="3">
        <v>355916500</v>
      </c>
      <c r="G228" s="3">
        <v>304123933</v>
      </c>
      <c r="H228" s="3">
        <v>217322064</v>
      </c>
      <c r="I228" s="3">
        <v>843562894</v>
      </c>
      <c r="J228" s="3">
        <v>168836871</v>
      </c>
      <c r="K228" s="3">
        <v>138594436</v>
      </c>
      <c r="M228" s="3">
        <v>463873187</v>
      </c>
      <c r="N228" s="3">
        <v>37270196</v>
      </c>
      <c r="O228" s="3">
        <v>125983917</v>
      </c>
      <c r="P228">
        <f t="shared" si="56"/>
        <v>4.2063659948456653</v>
      </c>
      <c r="Q228">
        <f t="shared" si="57"/>
        <v>0</v>
      </c>
      <c r="R228" t="str">
        <f t="shared" si="48"/>
        <v>Safe</v>
      </c>
      <c r="S228">
        <f t="shared" si="58"/>
        <v>0.11280915236135061</v>
      </c>
      <c r="T228">
        <f t="shared" si="59"/>
        <v>0.13742502841061166</v>
      </c>
      <c r="U228">
        <f t="shared" si="60"/>
        <v>1.5758608591023588E-2</v>
      </c>
      <c r="V228">
        <f t="shared" si="61"/>
        <v>2.7737471552427939</v>
      </c>
      <c r="X228" s="13">
        <f t="shared" si="49"/>
        <v>1.335297892990559</v>
      </c>
      <c r="Y228" s="10"/>
      <c r="Z228" s="10"/>
      <c r="AB228" s="10" t="str">
        <f t="shared" si="50"/>
        <v>Non-Distress</v>
      </c>
      <c r="AC228" s="10">
        <f t="shared" si="51"/>
        <v>0</v>
      </c>
      <c r="AE228" s="10">
        <f t="shared" si="52"/>
        <v>0</v>
      </c>
      <c r="AG228" s="13">
        <f t="shared" si="53"/>
        <v>0.5</v>
      </c>
      <c r="AH228" s="13">
        <f t="shared" si="54"/>
        <v>0.5</v>
      </c>
      <c r="AI228" s="10">
        <f t="shared" si="55"/>
        <v>0.25</v>
      </c>
    </row>
    <row r="229" spans="1:35" x14ac:dyDescent="0.3">
      <c r="A229" t="s">
        <v>71</v>
      </c>
      <c r="B229">
        <v>2022</v>
      </c>
      <c r="C229" s="3">
        <v>85399038</v>
      </c>
      <c r="D229" s="3">
        <v>10997974</v>
      </c>
      <c r="E229" s="3">
        <v>1186322555</v>
      </c>
      <c r="F229" s="3">
        <v>386729154</v>
      </c>
      <c r="G229" s="3">
        <v>380103825</v>
      </c>
      <c r="H229" s="3">
        <v>265334188</v>
      </c>
      <c r="I229" s="3">
        <v>806218730</v>
      </c>
      <c r="J229" s="3">
        <v>132566675</v>
      </c>
      <c r="K229" s="3">
        <v>121394966</v>
      </c>
      <c r="M229" s="3">
        <v>945497149</v>
      </c>
      <c r="N229" s="3">
        <v>58400098</v>
      </c>
      <c r="O229" s="3">
        <v>194926018</v>
      </c>
      <c r="P229">
        <f t="shared" si="56"/>
        <v>3.7464180233749937</v>
      </c>
      <c r="Q229">
        <f t="shared" si="57"/>
        <v>0</v>
      </c>
      <c r="R229" t="str">
        <f t="shared" si="48"/>
        <v>Safe</v>
      </c>
      <c r="S229">
        <f t="shared" si="58"/>
        <v>0.10232880213594185</v>
      </c>
      <c r="T229">
        <f t="shared" si="59"/>
        <v>0.11174589443762198</v>
      </c>
      <c r="U229">
        <f t="shared" si="60"/>
        <v>7.1986356189611522E-2</v>
      </c>
      <c r="V229">
        <f t="shared" si="61"/>
        <v>2.1210487160975031</v>
      </c>
      <c r="X229" s="13">
        <f t="shared" si="49"/>
        <v>1.4310292843346375</v>
      </c>
      <c r="Y229" s="10"/>
      <c r="Z229" s="10"/>
      <c r="AB229" s="10" t="str">
        <f t="shared" si="50"/>
        <v>Non-Distress</v>
      </c>
      <c r="AC229" s="10">
        <f t="shared" si="51"/>
        <v>0</v>
      </c>
      <c r="AE229" s="10">
        <f t="shared" si="52"/>
        <v>0</v>
      </c>
      <c r="AG229" s="13">
        <f t="shared" si="53"/>
        <v>0.5</v>
      </c>
      <c r="AH229" s="13">
        <f t="shared" si="54"/>
        <v>0.5</v>
      </c>
      <c r="AI229" s="10">
        <f t="shared" si="55"/>
        <v>0.25</v>
      </c>
    </row>
    <row r="230" spans="1:35" x14ac:dyDescent="0.3">
      <c r="A230" t="s">
        <v>72</v>
      </c>
      <c r="B230">
        <v>2025</v>
      </c>
      <c r="C230" s="3">
        <v>2042614000000</v>
      </c>
      <c r="D230" s="3">
        <v>415519000000</v>
      </c>
      <c r="E230" s="3">
        <v>21670885000000</v>
      </c>
      <c r="F230" s="3">
        <v>8790954000000</v>
      </c>
      <c r="G230" s="3">
        <v>11212871000000</v>
      </c>
      <c r="H230" s="3">
        <v>5312143000000</v>
      </c>
      <c r="I230" s="3">
        <v>10458014000000</v>
      </c>
      <c r="J230" s="3">
        <v>8147568000000</v>
      </c>
      <c r="K230" s="3">
        <v>3478811000000</v>
      </c>
      <c r="M230" s="3">
        <v>17664196000000</v>
      </c>
      <c r="N230" s="3">
        <v>1243223000000</v>
      </c>
      <c r="O230" s="3">
        <v>5205695000000</v>
      </c>
      <c r="P230">
        <f t="shared" si="56"/>
        <v>3.891443554477874</v>
      </c>
      <c r="Q230">
        <f t="shared" si="57"/>
        <v>0</v>
      </c>
      <c r="R230" t="str">
        <f t="shared" si="48"/>
        <v>Safe</v>
      </c>
      <c r="S230">
        <f t="shared" si="58"/>
        <v>0.16052925388141739</v>
      </c>
      <c r="T230">
        <f t="shared" si="59"/>
        <v>0.37596840184422559</v>
      </c>
      <c r="U230">
        <f t="shared" si="60"/>
        <v>9.4256141362016363E-2</v>
      </c>
      <c r="V230">
        <f t="shared" si="61"/>
        <v>0.93267941814366717</v>
      </c>
      <c r="X230" s="13">
        <f t="shared" si="49"/>
        <v>2.7094404620573709</v>
      </c>
      <c r="Y230" s="10"/>
      <c r="Z230" s="10"/>
      <c r="AB230" s="10" t="str">
        <f t="shared" si="50"/>
        <v>Non-Distress</v>
      </c>
      <c r="AC230" s="10">
        <f t="shared" si="51"/>
        <v>0</v>
      </c>
      <c r="AE230" s="10">
        <f t="shared" si="52"/>
        <v>0</v>
      </c>
      <c r="AG230" s="13">
        <f t="shared" si="53"/>
        <v>0.5</v>
      </c>
      <c r="AH230" s="13">
        <f t="shared" si="54"/>
        <v>0.5</v>
      </c>
      <c r="AI230" s="10">
        <f t="shared" si="55"/>
        <v>0.25</v>
      </c>
    </row>
    <row r="231" spans="1:35" x14ac:dyDescent="0.3">
      <c r="A231" t="s">
        <v>72</v>
      </c>
      <c r="B231">
        <v>2024</v>
      </c>
      <c r="C231" s="3">
        <v>2204890000000</v>
      </c>
      <c r="D231" s="3">
        <v>644767000000</v>
      </c>
      <c r="E231" s="3">
        <v>20563695000000</v>
      </c>
      <c r="F231" s="3">
        <v>9346553000000</v>
      </c>
      <c r="G231" s="3">
        <v>11107152000000</v>
      </c>
      <c r="H231" s="3">
        <v>8038028000000</v>
      </c>
      <c r="I231" s="3">
        <v>9456543000000</v>
      </c>
      <c r="J231" s="3">
        <v>7103565000000</v>
      </c>
      <c r="K231" s="3">
        <v>1308525000000</v>
      </c>
      <c r="M231" s="3">
        <v>18029150000000</v>
      </c>
      <c r="N231" s="3">
        <v>1186922000000</v>
      </c>
      <c r="O231" s="3">
        <v>5092947000000</v>
      </c>
      <c r="P231">
        <f t="shared" si="56"/>
        <v>3.1580688939782378</v>
      </c>
      <c r="Q231">
        <f t="shared" si="57"/>
        <v>0</v>
      </c>
      <c r="R231" t="str">
        <f t="shared" si="48"/>
        <v>Safe</v>
      </c>
      <c r="S231">
        <f t="shared" si="58"/>
        <v>6.3632776113436818E-2</v>
      </c>
      <c r="T231">
        <f t="shared" si="59"/>
        <v>0.34544205212146939</v>
      </c>
      <c r="U231">
        <f t="shared" si="60"/>
        <v>0.10722246172198138</v>
      </c>
      <c r="V231">
        <f t="shared" si="61"/>
        <v>0.85139223808227349</v>
      </c>
      <c r="X231" s="13">
        <f t="shared" si="49"/>
        <v>2.0763905977213852</v>
      </c>
      <c r="Y231" s="10"/>
      <c r="Z231" s="10"/>
      <c r="AB231" s="10" t="str">
        <f t="shared" si="50"/>
        <v>Non-Distress</v>
      </c>
      <c r="AC231" s="10">
        <f t="shared" si="51"/>
        <v>0</v>
      </c>
      <c r="AE231" s="10">
        <f t="shared" si="52"/>
        <v>0</v>
      </c>
      <c r="AG231" s="13">
        <f t="shared" si="53"/>
        <v>0.5</v>
      </c>
      <c r="AH231" s="13">
        <f t="shared" si="54"/>
        <v>0.5</v>
      </c>
      <c r="AI231" s="10">
        <f t="shared" si="55"/>
        <v>0.25</v>
      </c>
    </row>
    <row r="232" spans="1:35" x14ac:dyDescent="0.3">
      <c r="A232" t="s">
        <v>72</v>
      </c>
      <c r="B232">
        <v>2023</v>
      </c>
      <c r="C232" s="3">
        <v>2168511000000</v>
      </c>
      <c r="D232" s="3">
        <v>632774000000</v>
      </c>
      <c r="E232" s="3">
        <v>18975738000000</v>
      </c>
      <c r="F232" s="3">
        <v>8508113000000</v>
      </c>
      <c r="G232" s="3">
        <v>10623835000000</v>
      </c>
      <c r="H232" s="3">
        <v>4590964000000</v>
      </c>
      <c r="I232" s="3">
        <v>8351903000000</v>
      </c>
      <c r="J232" s="3">
        <v>6115863000000</v>
      </c>
      <c r="K232" s="3">
        <v>3917149000000</v>
      </c>
      <c r="M232" s="3">
        <v>16970663000000</v>
      </c>
      <c r="N232" s="3">
        <v>1181200000000</v>
      </c>
      <c r="O232" s="3">
        <v>4971724000000</v>
      </c>
      <c r="P232">
        <f t="shared" si="56"/>
        <v>3.9982752354067843</v>
      </c>
      <c r="Q232">
        <f t="shared" si="57"/>
        <v>0</v>
      </c>
      <c r="R232" t="str">
        <f t="shared" si="48"/>
        <v>Safe</v>
      </c>
      <c r="S232">
        <f t="shared" si="58"/>
        <v>0.20642933623978155</v>
      </c>
      <c r="T232">
        <f t="shared" si="59"/>
        <v>0.32229908528458812</v>
      </c>
      <c r="U232">
        <f t="shared" si="60"/>
        <v>0.11427808499463894</v>
      </c>
      <c r="V232">
        <f t="shared" si="61"/>
        <v>0.78614765760198646</v>
      </c>
      <c r="X232" s="13">
        <f t="shared" si="49"/>
        <v>2.9046306173173524</v>
      </c>
      <c r="Y232" s="10"/>
      <c r="Z232" s="10"/>
      <c r="AB232" s="10" t="str">
        <f t="shared" si="50"/>
        <v>Non-Distress</v>
      </c>
      <c r="AC232" s="10">
        <f t="shared" si="51"/>
        <v>0</v>
      </c>
      <c r="AE232" s="10">
        <f t="shared" si="52"/>
        <v>0</v>
      </c>
      <c r="AG232" s="13">
        <f t="shared" si="53"/>
        <v>0.5</v>
      </c>
      <c r="AH232" s="13">
        <f t="shared" si="54"/>
        <v>0.5</v>
      </c>
      <c r="AI232" s="10">
        <f t="shared" si="55"/>
        <v>0.25</v>
      </c>
    </row>
    <row r="233" spans="1:35" x14ac:dyDescent="0.3">
      <c r="A233" t="s">
        <v>72</v>
      </c>
      <c r="B233">
        <v>2022</v>
      </c>
      <c r="C233" s="3">
        <v>394391000000</v>
      </c>
      <c r="D233" s="3">
        <v>582681000000</v>
      </c>
      <c r="E233" s="3">
        <v>19016012000000</v>
      </c>
      <c r="F233" s="3">
        <v>8902756000000</v>
      </c>
      <c r="G233" s="3">
        <v>11790337000000</v>
      </c>
      <c r="H233" s="3">
        <v>5344228000000</v>
      </c>
      <c r="I233" s="3">
        <v>7237968000000</v>
      </c>
      <c r="J233" s="3">
        <v>4933513000000</v>
      </c>
      <c r="K233" s="3">
        <v>3558528000000</v>
      </c>
      <c r="M233" s="3">
        <v>17170492000000</v>
      </c>
      <c r="N233" s="3">
        <v>-181389000000</v>
      </c>
      <c r="O233" s="3">
        <v>5870681000000</v>
      </c>
      <c r="P233">
        <f t="shared" si="56"/>
        <v>2.8573250170608713</v>
      </c>
      <c r="Q233">
        <f t="shared" si="57"/>
        <v>0</v>
      </c>
      <c r="R233" t="str">
        <f t="shared" si="48"/>
        <v>Safe</v>
      </c>
      <c r="S233">
        <f t="shared" si="58"/>
        <v>0.18713324328991798</v>
      </c>
      <c r="T233">
        <f t="shared" si="59"/>
        <v>0.25943993935216281</v>
      </c>
      <c r="U233">
        <f t="shared" si="60"/>
        <v>2.0739942738782453E-2</v>
      </c>
      <c r="V233">
        <f t="shared" si="61"/>
        <v>0.61388983198699065</v>
      </c>
      <c r="X233" s="13">
        <f t="shared" si="49"/>
        <v>2.1207906816037427</v>
      </c>
      <c r="Y233" s="10"/>
      <c r="Z233" s="10"/>
      <c r="AB233" s="10" t="str">
        <f t="shared" si="50"/>
        <v>Non-Distress</v>
      </c>
      <c r="AC233" s="10">
        <f t="shared" si="51"/>
        <v>0</v>
      </c>
      <c r="AE233" s="10">
        <f t="shared" si="52"/>
        <v>0</v>
      </c>
      <c r="AG233" s="13">
        <f t="shared" si="53"/>
        <v>0.5</v>
      </c>
      <c r="AH233" s="13">
        <f t="shared" si="54"/>
        <v>0.5</v>
      </c>
      <c r="AI233" s="10">
        <f t="shared" si="55"/>
        <v>0.25</v>
      </c>
    </row>
    <row r="234" spans="1:35" x14ac:dyDescent="0.3">
      <c r="A234" t="s">
        <v>73</v>
      </c>
      <c r="B234">
        <v>2025</v>
      </c>
      <c r="C234" s="3">
        <v>60942673</v>
      </c>
      <c r="D234" s="3">
        <v>20210871</v>
      </c>
      <c r="E234" s="3">
        <v>812980121</v>
      </c>
      <c r="F234" s="3">
        <v>303892171</v>
      </c>
      <c r="G234" s="3">
        <v>698413061</v>
      </c>
      <c r="H234" s="3">
        <v>305224989</v>
      </c>
      <c r="I234" s="3">
        <v>114386092</v>
      </c>
      <c r="J234" s="3">
        <v>-523052882</v>
      </c>
      <c r="K234" s="3">
        <v>-1332818</v>
      </c>
      <c r="M234" s="3">
        <v>491882794</v>
      </c>
      <c r="N234" s="3">
        <v>33949155</v>
      </c>
      <c r="O234" s="3">
        <v>384761285</v>
      </c>
      <c r="P234">
        <f t="shared" si="56"/>
        <v>-1.4324502029848649</v>
      </c>
      <c r="Q234">
        <f t="shared" si="57"/>
        <v>1</v>
      </c>
      <c r="R234" t="str">
        <f t="shared" si="48"/>
        <v>Distress</v>
      </c>
      <c r="S234">
        <f t="shared" si="58"/>
        <v>-1.6394226200273844E-3</v>
      </c>
      <c r="T234">
        <f t="shared" si="59"/>
        <v>-0.64337720995763437</v>
      </c>
      <c r="U234">
        <f t="shared" si="60"/>
        <v>7.4962070321028182E-2</v>
      </c>
      <c r="V234">
        <f t="shared" si="61"/>
        <v>0.1637800012448507</v>
      </c>
      <c r="X234" s="13">
        <f t="shared" si="49"/>
        <v>-1.7491059429966729</v>
      </c>
      <c r="Y234" s="10"/>
      <c r="Z234" s="10"/>
      <c r="AB234" s="10" t="str">
        <f t="shared" si="50"/>
        <v>Distress</v>
      </c>
      <c r="AC234" s="10">
        <f t="shared" si="51"/>
        <v>1</v>
      </c>
      <c r="AE234" s="10">
        <f t="shared" si="52"/>
        <v>1</v>
      </c>
      <c r="AG234" s="13">
        <f t="shared" si="53"/>
        <v>0.7310585786300049</v>
      </c>
      <c r="AH234" s="13">
        <f t="shared" si="54"/>
        <v>-0.2689414213699951</v>
      </c>
      <c r="AI234" s="10">
        <f t="shared" si="55"/>
        <v>0.19661193324148185</v>
      </c>
    </row>
    <row r="235" spans="1:35" x14ac:dyDescent="0.3">
      <c r="A235" t="s">
        <v>73</v>
      </c>
      <c r="B235">
        <v>2024</v>
      </c>
      <c r="C235" s="3">
        <v>44910579</v>
      </c>
      <c r="D235" s="3">
        <v>20166464</v>
      </c>
      <c r="E235" s="3">
        <v>424630203</v>
      </c>
      <c r="F235" s="3">
        <v>206103485</v>
      </c>
      <c r="G235" s="3">
        <v>682531506</v>
      </c>
      <c r="H235" s="3">
        <v>237508591</v>
      </c>
      <c r="I235" s="3">
        <v>-258067606</v>
      </c>
      <c r="J235" s="3">
        <v>-557002037</v>
      </c>
      <c r="K235" s="3">
        <v>-31405106</v>
      </c>
      <c r="M235" s="3">
        <v>421223186</v>
      </c>
      <c r="N235" s="3">
        <v>26891116</v>
      </c>
      <c r="O235" s="3">
        <v>436493574</v>
      </c>
      <c r="P235">
        <f t="shared" si="56"/>
        <v>-4.447698118883995</v>
      </c>
      <c r="Q235">
        <f t="shared" si="57"/>
        <v>1</v>
      </c>
      <c r="R235" t="str">
        <f t="shared" si="48"/>
        <v>Distress</v>
      </c>
      <c r="S235">
        <f t="shared" si="58"/>
        <v>-7.395871932359932E-2</v>
      </c>
      <c r="T235">
        <f t="shared" si="59"/>
        <v>-1.3117343822102074</v>
      </c>
      <c r="U235">
        <f t="shared" si="60"/>
        <v>0.10576397694442852</v>
      </c>
      <c r="V235">
        <f t="shared" si="61"/>
        <v>-0.37810358017377738</v>
      </c>
      <c r="X235" s="13">
        <f t="shared" si="49"/>
        <v>-4.2560109579891714</v>
      </c>
      <c r="Y235" s="10"/>
      <c r="Z235" s="10"/>
      <c r="AB235" s="10" t="str">
        <f t="shared" si="50"/>
        <v>Distress</v>
      </c>
      <c r="AC235" s="10">
        <f t="shared" si="51"/>
        <v>1</v>
      </c>
      <c r="AE235" s="10">
        <f t="shared" si="52"/>
        <v>1</v>
      </c>
      <c r="AG235" s="13">
        <f t="shared" si="53"/>
        <v>0.7310585786300049</v>
      </c>
      <c r="AH235" s="13">
        <f t="shared" si="54"/>
        <v>-0.2689414213699951</v>
      </c>
      <c r="AI235" s="10">
        <f t="shared" si="55"/>
        <v>0.19661193324148185</v>
      </c>
    </row>
    <row r="236" spans="1:35" x14ac:dyDescent="0.3">
      <c r="A236" t="s">
        <v>73</v>
      </c>
      <c r="B236">
        <v>2023</v>
      </c>
      <c r="C236" s="3">
        <v>43349082</v>
      </c>
      <c r="D236" s="3">
        <v>23619058</v>
      </c>
      <c r="E236" s="3">
        <v>450021103</v>
      </c>
      <c r="F236" s="3">
        <v>246615548</v>
      </c>
      <c r="G236" s="3">
        <v>761183005</v>
      </c>
      <c r="H236" s="3">
        <v>279717345</v>
      </c>
      <c r="I236" s="3">
        <v>-311321415</v>
      </c>
      <c r="J236" s="3">
        <v>-583893153</v>
      </c>
      <c r="K236" s="3">
        <v>-33101797</v>
      </c>
      <c r="M236" s="3">
        <v>373206984</v>
      </c>
      <c r="N236" s="3">
        <v>20276463</v>
      </c>
      <c r="O236" s="3">
        <v>452801733</v>
      </c>
      <c r="P236">
        <f t="shared" si="56"/>
        <v>-4.4944418701026381</v>
      </c>
      <c r="Q236">
        <f t="shared" si="57"/>
        <v>1</v>
      </c>
      <c r="R236" t="str">
        <f t="shared" si="48"/>
        <v>Distress</v>
      </c>
      <c r="S236">
        <f t="shared" si="58"/>
        <v>-7.3556099434741395E-2</v>
      </c>
      <c r="T236">
        <f t="shared" si="59"/>
        <v>-1.2974794939783079</v>
      </c>
      <c r="U236">
        <f t="shared" si="60"/>
        <v>9.6326776035656272E-2</v>
      </c>
      <c r="V236">
        <f t="shared" si="61"/>
        <v>-0.40899680228672475</v>
      </c>
      <c r="X236" s="13">
        <f t="shared" si="49"/>
        <v>-4.2538062835053125</v>
      </c>
      <c r="Y236" s="10"/>
      <c r="Z236" s="10"/>
      <c r="AB236" s="10" t="str">
        <f t="shared" si="50"/>
        <v>Distress</v>
      </c>
      <c r="AC236" s="10">
        <f t="shared" si="51"/>
        <v>1</v>
      </c>
      <c r="AE236" s="10">
        <f t="shared" si="52"/>
        <v>1</v>
      </c>
      <c r="AG236" s="13">
        <f t="shared" si="53"/>
        <v>0.7310585786300049</v>
      </c>
      <c r="AH236" s="13">
        <f t="shared" si="54"/>
        <v>-0.2689414213699951</v>
      </c>
      <c r="AI236" s="10">
        <f t="shared" si="55"/>
        <v>0.19661193324148185</v>
      </c>
    </row>
    <row r="237" spans="1:35" x14ac:dyDescent="0.3">
      <c r="A237" t="s">
        <v>73</v>
      </c>
      <c r="B237">
        <v>2022</v>
      </c>
      <c r="C237" s="3">
        <v>27591093</v>
      </c>
      <c r="D237" s="3">
        <v>22087788</v>
      </c>
      <c r="E237" s="3">
        <v>390658710</v>
      </c>
      <c r="F237" s="3">
        <v>200965297</v>
      </c>
      <c r="G237" s="3">
        <v>721680030</v>
      </c>
      <c r="H237" s="3">
        <v>248830982</v>
      </c>
      <c r="I237" s="3">
        <v>-331362712</v>
      </c>
      <c r="J237" s="3">
        <v>-604169616</v>
      </c>
      <c r="K237" s="3">
        <v>-47865685</v>
      </c>
      <c r="M237" s="3">
        <v>238703893</v>
      </c>
      <c r="N237" s="3">
        <v>3571764</v>
      </c>
      <c r="O237" s="3">
        <v>466836883</v>
      </c>
      <c r="P237">
        <f t="shared" si="56"/>
        <v>-5.852988869506822</v>
      </c>
      <c r="Q237">
        <f t="shared" si="57"/>
        <v>1</v>
      </c>
      <c r="R237" t="str">
        <f t="shared" si="48"/>
        <v>Distress</v>
      </c>
      <c r="S237">
        <f t="shared" si="58"/>
        <v>-0.12252557993651288</v>
      </c>
      <c r="T237">
        <f t="shared" si="59"/>
        <v>-1.5465407542046099</v>
      </c>
      <c r="U237">
        <f t="shared" si="60"/>
        <v>7.0627103130504881E-2</v>
      </c>
      <c r="V237">
        <f t="shared" si="61"/>
        <v>-0.45915460900310628</v>
      </c>
      <c r="X237" s="13">
        <f t="shared" si="49"/>
        <v>-5.4959034225204038</v>
      </c>
      <c r="Y237" s="10"/>
      <c r="Z237" s="10"/>
      <c r="AB237" s="10" t="str">
        <f t="shared" si="50"/>
        <v>Distress</v>
      </c>
      <c r="AC237" s="10">
        <f t="shared" si="51"/>
        <v>1</v>
      </c>
      <c r="AE237" s="10">
        <f t="shared" si="52"/>
        <v>1</v>
      </c>
      <c r="AG237" s="13">
        <f t="shared" si="53"/>
        <v>0.7310585786300049</v>
      </c>
      <c r="AH237" s="13">
        <f t="shared" si="54"/>
        <v>-0.2689414213699951</v>
      </c>
      <c r="AI237" s="10">
        <f t="shared" si="55"/>
        <v>0.19661193324148185</v>
      </c>
    </row>
    <row r="238" spans="1:35" x14ac:dyDescent="0.3">
      <c r="A238" t="s">
        <v>74</v>
      </c>
      <c r="B238">
        <v>2025</v>
      </c>
      <c r="C238" s="3">
        <v>1109497246002</v>
      </c>
      <c r="D238" s="3">
        <v>155756654656</v>
      </c>
      <c r="E238" s="3">
        <v>9333162124802</v>
      </c>
      <c r="F238" s="3">
        <v>4102027649070</v>
      </c>
      <c r="G238" s="3">
        <v>4973032837569</v>
      </c>
      <c r="H238" s="3">
        <v>2981386517184</v>
      </c>
      <c r="I238" s="3">
        <v>3953302772297</v>
      </c>
      <c r="J238" s="3">
        <v>2596479412034</v>
      </c>
      <c r="K238" s="3">
        <v>1120641131886</v>
      </c>
      <c r="M238" s="3">
        <v>13119632631326</v>
      </c>
      <c r="N238" s="3">
        <v>688650503307</v>
      </c>
      <c r="O238" s="3">
        <v>2213432503570</v>
      </c>
      <c r="P238">
        <f t="shared" si="56"/>
        <v>3.3281430023084058</v>
      </c>
      <c r="Q238">
        <f t="shared" si="57"/>
        <v>0</v>
      </c>
      <c r="R238" t="str">
        <f t="shared" si="48"/>
        <v>Safe</v>
      </c>
      <c r="S238">
        <f t="shared" si="58"/>
        <v>0.12007089525510348</v>
      </c>
      <c r="T238">
        <f t="shared" si="59"/>
        <v>0.27819932594271563</v>
      </c>
      <c r="U238">
        <f t="shared" si="60"/>
        <v>0.11887688557917744</v>
      </c>
      <c r="V238">
        <f t="shared" si="61"/>
        <v>0.79494805311390604</v>
      </c>
      <c r="X238" s="13">
        <f t="shared" si="49"/>
        <v>2.2548940403016156</v>
      </c>
      <c r="Y238" s="10"/>
      <c r="Z238" s="10"/>
      <c r="AB238" s="10" t="str">
        <f t="shared" si="50"/>
        <v>Non-Distress</v>
      </c>
      <c r="AC238" s="10">
        <f t="shared" si="51"/>
        <v>0</v>
      </c>
      <c r="AE238" s="10">
        <f t="shared" si="52"/>
        <v>0</v>
      </c>
      <c r="AG238" s="13">
        <f t="shared" si="53"/>
        <v>0.5</v>
      </c>
      <c r="AH238" s="13">
        <f t="shared" si="54"/>
        <v>0.5</v>
      </c>
      <c r="AI238" s="10">
        <f t="shared" si="55"/>
        <v>0.25</v>
      </c>
    </row>
    <row r="239" spans="1:35" x14ac:dyDescent="0.3">
      <c r="A239" t="s">
        <v>74</v>
      </c>
      <c r="B239">
        <v>2024</v>
      </c>
      <c r="C239" s="3">
        <v>1042079454073</v>
      </c>
      <c r="D239" s="3">
        <v>183200444803</v>
      </c>
      <c r="E239" s="3">
        <v>8431726766692</v>
      </c>
      <c r="F239" s="3">
        <v>3629900334132</v>
      </c>
      <c r="G239" s="3">
        <v>4425889971924</v>
      </c>
      <c r="H239" s="3">
        <v>2652170175224</v>
      </c>
      <c r="I239" s="3">
        <v>3633365819826</v>
      </c>
      <c r="J239" s="3">
        <v>2260166116850</v>
      </c>
      <c r="K239" s="3">
        <v>977730158908</v>
      </c>
      <c r="M239" s="3">
        <v>12235369422252</v>
      </c>
      <c r="N239" s="3">
        <v>624470577279</v>
      </c>
      <c r="O239" s="3">
        <v>2022922867963</v>
      </c>
      <c r="P239">
        <f t="shared" si="56"/>
        <v>3.3270546301535777</v>
      </c>
      <c r="Q239">
        <f t="shared" si="57"/>
        <v>0</v>
      </c>
      <c r="R239" t="str">
        <f t="shared" si="48"/>
        <v>Safe</v>
      </c>
      <c r="S239">
        <f t="shared" si="58"/>
        <v>0.11595847279709594</v>
      </c>
      <c r="T239">
        <f t="shared" si="59"/>
        <v>0.26805495237089211</v>
      </c>
      <c r="U239">
        <f t="shared" si="60"/>
        <v>0.12359027787635921</v>
      </c>
      <c r="V239">
        <f t="shared" si="61"/>
        <v>0.82093451099655823</v>
      </c>
      <c r="X239" s="13">
        <f t="shared" si="49"/>
        <v>2.2204264410167278</v>
      </c>
      <c r="Y239" s="10"/>
      <c r="Z239" s="10"/>
      <c r="AB239" s="10" t="str">
        <f t="shared" si="50"/>
        <v>Non-Distress</v>
      </c>
      <c r="AC239" s="10">
        <f t="shared" si="51"/>
        <v>0</v>
      </c>
      <c r="AE239" s="10">
        <f t="shared" si="52"/>
        <v>0</v>
      </c>
      <c r="AG239" s="13">
        <f t="shared" si="53"/>
        <v>0.5</v>
      </c>
      <c r="AH239" s="13">
        <f t="shared" si="54"/>
        <v>0.5</v>
      </c>
      <c r="AI239" s="10">
        <f t="shared" si="55"/>
        <v>0.25</v>
      </c>
    </row>
    <row r="240" spans="1:35" x14ac:dyDescent="0.3">
      <c r="A240" t="s">
        <v>74</v>
      </c>
      <c r="B240">
        <v>2023</v>
      </c>
      <c r="C240" s="3">
        <v>948920548404</v>
      </c>
      <c r="D240" s="3">
        <v>165903919856</v>
      </c>
      <c r="E240" s="3">
        <v>7427707902688</v>
      </c>
      <c r="F240" s="3">
        <v>3325304800609</v>
      </c>
      <c r="G240" s="3">
        <v>3518496516469</v>
      </c>
      <c r="H240" s="3">
        <v>1872541607518</v>
      </c>
      <c r="I240" s="3">
        <v>3433755441728</v>
      </c>
      <c r="J240" s="3">
        <v>1970611813166</v>
      </c>
      <c r="K240" s="3">
        <v>1452763193091</v>
      </c>
      <c r="M240" s="3">
        <v>10543572559649</v>
      </c>
      <c r="N240" s="3">
        <v>580412724554</v>
      </c>
      <c r="O240" s="3">
        <v>1914930805687</v>
      </c>
      <c r="P240">
        <f t="shared" si="56"/>
        <v>4.0311659953720387</v>
      </c>
      <c r="Q240">
        <f t="shared" si="57"/>
        <v>0</v>
      </c>
      <c r="R240" t="str">
        <f t="shared" si="48"/>
        <v>Safe</v>
      </c>
      <c r="S240">
        <f t="shared" si="58"/>
        <v>0.19558701178398011</v>
      </c>
      <c r="T240">
        <f t="shared" si="59"/>
        <v>0.26530550729557617</v>
      </c>
      <c r="U240">
        <f t="shared" si="60"/>
        <v>0.1277541552301211</v>
      </c>
      <c r="V240">
        <f t="shared" si="61"/>
        <v>0.97591554394203517</v>
      </c>
      <c r="X240" s="13">
        <f t="shared" si="49"/>
        <v>2.7249007865138584</v>
      </c>
      <c r="Y240" s="10"/>
      <c r="Z240" s="10"/>
      <c r="AB240" s="10" t="str">
        <f t="shared" si="50"/>
        <v>Non-Distress</v>
      </c>
      <c r="AC240" s="10">
        <f t="shared" si="51"/>
        <v>0</v>
      </c>
      <c r="AE240" s="10">
        <f t="shared" si="52"/>
        <v>0</v>
      </c>
      <c r="AG240" s="13">
        <f t="shared" si="53"/>
        <v>0.5</v>
      </c>
      <c r="AH240" s="13">
        <f t="shared" si="54"/>
        <v>0.5</v>
      </c>
      <c r="AI240" s="10">
        <f t="shared" si="55"/>
        <v>0.25</v>
      </c>
    </row>
    <row r="241" spans="1:35" x14ac:dyDescent="0.3">
      <c r="A241" t="s">
        <v>74</v>
      </c>
      <c r="B241">
        <v>2022</v>
      </c>
      <c r="C241" s="3">
        <v>830934107818</v>
      </c>
      <c r="D241" s="3">
        <v>156682643155</v>
      </c>
      <c r="E241" s="3">
        <v>7327371934290</v>
      </c>
      <c r="F241" s="3">
        <v>3194327374948</v>
      </c>
      <c r="G241" s="3">
        <v>3975927432106</v>
      </c>
      <c r="H241" s="3">
        <v>1835096804319</v>
      </c>
      <c r="I241" s="3">
        <v>2848755782556</v>
      </c>
      <c r="J241" s="3">
        <v>1614260960871</v>
      </c>
      <c r="K241" s="3">
        <v>1359230570629</v>
      </c>
      <c r="M241" s="3">
        <v>10510942813705</v>
      </c>
      <c r="N241" s="3">
        <v>425208267424</v>
      </c>
      <c r="O241" s="3">
        <v>2319470348063</v>
      </c>
      <c r="P241">
        <f t="shared" si="56"/>
        <v>3.4494622501909546</v>
      </c>
      <c r="Q241">
        <f t="shared" si="57"/>
        <v>0</v>
      </c>
      <c r="R241" t="str">
        <f t="shared" si="48"/>
        <v>Safe</v>
      </c>
      <c r="S241">
        <f t="shared" si="58"/>
        <v>0.18550041990746924</v>
      </c>
      <c r="T241">
        <f t="shared" si="59"/>
        <v>0.22030558505113157</v>
      </c>
      <c r="U241">
        <f t="shared" si="60"/>
        <v>0.11340138255156212</v>
      </c>
      <c r="V241">
        <f t="shared" si="61"/>
        <v>0.71650095008073345</v>
      </c>
      <c r="X241" s="13">
        <f t="shared" si="49"/>
        <v>2.4351864217357448</v>
      </c>
      <c r="Y241" s="10"/>
      <c r="Z241" s="10"/>
      <c r="AB241" s="10" t="str">
        <f t="shared" si="50"/>
        <v>Non-Distress</v>
      </c>
      <c r="AC241" s="10">
        <f t="shared" si="51"/>
        <v>0</v>
      </c>
      <c r="AE241" s="10">
        <f t="shared" si="52"/>
        <v>0</v>
      </c>
      <c r="AG241" s="13">
        <f t="shared" si="53"/>
        <v>0.5</v>
      </c>
      <c r="AH241" s="13">
        <f t="shared" si="54"/>
        <v>0.5</v>
      </c>
      <c r="AI241" s="10">
        <f t="shared" si="55"/>
        <v>0.25</v>
      </c>
    </row>
    <row r="242" spans="1:35" x14ac:dyDescent="0.3">
      <c r="A242" t="s">
        <v>75</v>
      </c>
      <c r="B242">
        <v>2025</v>
      </c>
      <c r="C242" s="3">
        <v>157409000000</v>
      </c>
      <c r="D242" s="3">
        <v>19726000000</v>
      </c>
      <c r="E242" s="3">
        <v>2191904000000</v>
      </c>
      <c r="F242" s="3">
        <v>292313000000</v>
      </c>
      <c r="G242" s="3">
        <v>960344000000</v>
      </c>
      <c r="H242" s="3">
        <v>509104000000</v>
      </c>
      <c r="I242" s="3">
        <v>1181917000000</v>
      </c>
      <c r="J242" s="3">
        <v>-750468000000</v>
      </c>
      <c r="K242" s="3">
        <v>-216791000000</v>
      </c>
      <c r="M242" s="3">
        <v>872987000000</v>
      </c>
      <c r="N242" s="3">
        <v>105363000000</v>
      </c>
      <c r="O242" s="3">
        <v>375235000000</v>
      </c>
      <c r="P242">
        <f t="shared" si="56"/>
        <v>9.8639194814325037E-3</v>
      </c>
      <c r="Q242">
        <f t="shared" si="57"/>
        <v>1</v>
      </c>
      <c r="R242" t="str">
        <f t="shared" si="48"/>
        <v>Distress</v>
      </c>
      <c r="S242">
        <f t="shared" si="58"/>
        <v>-9.8905335270157824E-2</v>
      </c>
      <c r="T242">
        <f t="shared" si="59"/>
        <v>-0.34238178314378731</v>
      </c>
      <c r="U242">
        <f t="shared" si="60"/>
        <v>7.1813820313298388E-2</v>
      </c>
      <c r="V242">
        <f t="shared" si="61"/>
        <v>1.2307225327590947</v>
      </c>
      <c r="X242" s="13">
        <f t="shared" si="49"/>
        <v>-1.3264396344803597</v>
      </c>
      <c r="Y242" s="10"/>
      <c r="Z242" s="10"/>
      <c r="AB242" s="10" t="str">
        <f t="shared" si="50"/>
        <v>Distress</v>
      </c>
      <c r="AC242" s="10">
        <f t="shared" si="51"/>
        <v>1</v>
      </c>
      <c r="AE242" s="10">
        <f t="shared" si="52"/>
        <v>1</v>
      </c>
      <c r="AG242" s="13">
        <f t="shared" si="53"/>
        <v>0.7310585786300049</v>
      </c>
      <c r="AH242" s="13">
        <f t="shared" si="54"/>
        <v>-0.2689414213699951</v>
      </c>
      <c r="AI242" s="10">
        <f t="shared" si="55"/>
        <v>0.19661193324148185</v>
      </c>
    </row>
    <row r="243" spans="1:35" x14ac:dyDescent="0.3">
      <c r="A243" t="s">
        <v>75</v>
      </c>
      <c r="B243">
        <v>2024</v>
      </c>
      <c r="C243" s="3">
        <v>115522000000</v>
      </c>
      <c r="D243" s="3">
        <v>34551000000</v>
      </c>
      <c r="E243" s="3">
        <v>2321244000000</v>
      </c>
      <c r="F243" s="3">
        <v>286221000000</v>
      </c>
      <c r="G243" s="3">
        <v>1089263000000</v>
      </c>
      <c r="H243" s="3">
        <v>510870000000</v>
      </c>
      <c r="I243" s="3">
        <v>1184174000000</v>
      </c>
      <c r="J243" s="3">
        <v>-1107731000000</v>
      </c>
      <c r="K243" s="3">
        <v>-224649000000</v>
      </c>
      <c r="M243" s="3">
        <v>804647000000</v>
      </c>
      <c r="N243" s="3">
        <v>60542000000</v>
      </c>
      <c r="O243" s="3">
        <v>391652000000</v>
      </c>
      <c r="P243">
        <f t="shared" si="56"/>
        <v>-0.71466683646687579</v>
      </c>
      <c r="Q243">
        <f t="shared" si="57"/>
        <v>1</v>
      </c>
      <c r="R243" t="str">
        <f t="shared" si="48"/>
        <v>Distress</v>
      </c>
      <c r="S243">
        <f t="shared" si="58"/>
        <v>-9.6779571643480819E-2</v>
      </c>
      <c r="T243">
        <f t="shared" si="59"/>
        <v>-0.4772143729827627</v>
      </c>
      <c r="U243">
        <f t="shared" si="60"/>
        <v>4.9767279958505009E-2</v>
      </c>
      <c r="V243">
        <f t="shared" si="61"/>
        <v>1.087133226778106</v>
      </c>
      <c r="X243" s="13">
        <f t="shared" si="49"/>
        <v>-1.8681904812564927</v>
      </c>
      <c r="Y243" s="10"/>
      <c r="Z243" s="10"/>
      <c r="AB243" s="10" t="str">
        <f t="shared" si="50"/>
        <v>Distress</v>
      </c>
      <c r="AC243" s="10">
        <f t="shared" si="51"/>
        <v>1</v>
      </c>
      <c r="AE243" s="10">
        <f t="shared" si="52"/>
        <v>1</v>
      </c>
      <c r="AG243" s="13">
        <f t="shared" si="53"/>
        <v>0.7310585786300049</v>
      </c>
      <c r="AH243" s="13">
        <f t="shared" si="54"/>
        <v>-0.2689414213699951</v>
      </c>
      <c r="AI243" s="10">
        <f t="shared" si="55"/>
        <v>0.19661193324148185</v>
      </c>
    </row>
    <row r="244" spans="1:35" x14ac:dyDescent="0.3">
      <c r="A244" t="s">
        <v>75</v>
      </c>
      <c r="B244">
        <v>2023</v>
      </c>
      <c r="C244" s="3">
        <v>44427000000</v>
      </c>
      <c r="D244" s="3">
        <v>32356000000</v>
      </c>
      <c r="E244" s="3">
        <v>2118200000000</v>
      </c>
      <c r="F244" s="3">
        <v>572320000000</v>
      </c>
      <c r="G244" s="3">
        <v>949928000000</v>
      </c>
      <c r="H244" s="3">
        <v>345365000000</v>
      </c>
      <c r="I244" s="3">
        <v>1122546000000</v>
      </c>
      <c r="J244" s="3">
        <v>-1169285000000</v>
      </c>
      <c r="K244" s="3">
        <v>226955000000</v>
      </c>
      <c r="M244" s="3">
        <v>744266000000</v>
      </c>
      <c r="N244" s="3">
        <v>2141000000</v>
      </c>
      <c r="O244" s="3">
        <v>466633000000</v>
      </c>
      <c r="P244">
        <f t="shared" si="56"/>
        <v>0.28504087501691366</v>
      </c>
      <c r="Q244">
        <f t="shared" si="57"/>
        <v>1</v>
      </c>
      <c r="R244" t="str">
        <f t="shared" si="48"/>
        <v>Distress</v>
      </c>
      <c r="S244">
        <f t="shared" si="58"/>
        <v>0.10714521763761685</v>
      </c>
      <c r="T244">
        <f t="shared" si="59"/>
        <v>-0.55201822301954495</v>
      </c>
      <c r="U244">
        <f t="shared" si="60"/>
        <v>2.0973940137852892E-2</v>
      </c>
      <c r="V244">
        <f t="shared" si="61"/>
        <v>1.1817169301252306</v>
      </c>
      <c r="X244" s="13">
        <f t="shared" si="49"/>
        <v>-1.0022089856700074</v>
      </c>
      <c r="Y244" s="10"/>
      <c r="Z244" s="10"/>
      <c r="AB244" s="10" t="str">
        <f t="shared" si="50"/>
        <v>Distress</v>
      </c>
      <c r="AC244" s="10">
        <f t="shared" si="51"/>
        <v>1</v>
      </c>
      <c r="AE244" s="10">
        <f t="shared" si="52"/>
        <v>1</v>
      </c>
      <c r="AG244" s="13">
        <f t="shared" si="53"/>
        <v>0.7310585786300049</v>
      </c>
      <c r="AH244" s="13">
        <f t="shared" si="54"/>
        <v>-0.2689414213699951</v>
      </c>
      <c r="AI244" s="10">
        <f t="shared" si="55"/>
        <v>0.19661193324148185</v>
      </c>
    </row>
    <row r="245" spans="1:35" x14ac:dyDescent="0.3">
      <c r="A245" t="s">
        <v>75</v>
      </c>
      <c r="B245">
        <v>2022</v>
      </c>
      <c r="C245" s="3">
        <v>136889000000</v>
      </c>
      <c r="D245" s="3">
        <v>43632000000</v>
      </c>
      <c r="E245" s="3">
        <v>2045406000000</v>
      </c>
      <c r="F245" s="3">
        <v>456869000000</v>
      </c>
      <c r="G245" s="3">
        <v>892864000000</v>
      </c>
      <c r="H245" s="3">
        <v>455883000000</v>
      </c>
      <c r="I245" s="3">
        <v>1107139000000</v>
      </c>
      <c r="J245" s="3">
        <v>-1169606000000</v>
      </c>
      <c r="K245" s="3">
        <v>986000000</v>
      </c>
      <c r="M245" s="3">
        <v>554721000000</v>
      </c>
      <c r="N245" s="3">
        <v>75634000000</v>
      </c>
      <c r="O245" s="3">
        <v>356743000000</v>
      </c>
      <c r="P245">
        <f t="shared" si="56"/>
        <v>-0.10925187394787428</v>
      </c>
      <c r="Q245">
        <f t="shared" si="57"/>
        <v>1</v>
      </c>
      <c r="R245" t="str">
        <f t="shared" si="48"/>
        <v>Distress</v>
      </c>
      <c r="S245">
        <f t="shared" si="58"/>
        <v>4.8205588523745409E-4</v>
      </c>
      <c r="T245">
        <f t="shared" si="59"/>
        <v>-0.57182094899496727</v>
      </c>
      <c r="U245">
        <f t="shared" si="60"/>
        <v>6.6925099466805124E-2</v>
      </c>
      <c r="V245">
        <f t="shared" si="61"/>
        <v>1.2399861569063149</v>
      </c>
      <c r="X245" s="13">
        <f t="shared" si="49"/>
        <v>-1.4942505574776634</v>
      </c>
      <c r="Y245" s="10"/>
      <c r="Z245" s="10"/>
      <c r="AB245" s="10" t="str">
        <f t="shared" si="50"/>
        <v>Distress</v>
      </c>
      <c r="AC245" s="10">
        <f t="shared" si="51"/>
        <v>1</v>
      </c>
      <c r="AE245" s="10">
        <f t="shared" si="52"/>
        <v>1</v>
      </c>
      <c r="AG245" s="13">
        <f t="shared" si="53"/>
        <v>0.7310585786300049</v>
      </c>
      <c r="AH245" s="13">
        <f t="shared" si="54"/>
        <v>-0.2689414213699951</v>
      </c>
      <c r="AI245" s="10">
        <f t="shared" si="55"/>
        <v>0.19661193324148185</v>
      </c>
    </row>
    <row r="246" spans="1:35" x14ac:dyDescent="0.3">
      <c r="A246" t="s">
        <v>76</v>
      </c>
      <c r="B246">
        <v>2025</v>
      </c>
      <c r="C246" s="3">
        <v>9453935000000</v>
      </c>
      <c r="D246" s="3">
        <v>27848000000</v>
      </c>
      <c r="E246" s="3">
        <v>51562512000000</v>
      </c>
      <c r="F246" s="3">
        <v>36362100000000</v>
      </c>
      <c r="G246" s="3">
        <v>23211748000000</v>
      </c>
      <c r="H246" s="3">
        <v>20628207000000</v>
      </c>
      <c r="I246" s="3">
        <v>28350764000000</v>
      </c>
      <c r="J246" s="3">
        <v>6551839000000</v>
      </c>
      <c r="K246" s="3">
        <v>15733893000000</v>
      </c>
      <c r="M246" s="3">
        <v>112171993000000</v>
      </c>
      <c r="N246" s="3">
        <v>6609456000000</v>
      </c>
      <c r="O246" s="3">
        <v>342871000000</v>
      </c>
      <c r="P246">
        <f t="shared" si="56"/>
        <v>4.9305394500075437</v>
      </c>
      <c r="Q246">
        <f t="shared" si="57"/>
        <v>0</v>
      </c>
      <c r="R246" t="str">
        <f t="shared" si="48"/>
        <v>Safe</v>
      </c>
      <c r="S246">
        <f t="shared" si="58"/>
        <v>0.30514209625783939</v>
      </c>
      <c r="T246">
        <f t="shared" si="59"/>
        <v>0.12706593891313905</v>
      </c>
      <c r="U246">
        <f t="shared" si="60"/>
        <v>0.18334899975392976</v>
      </c>
      <c r="V246">
        <f t="shared" si="61"/>
        <v>1.2213971993836914</v>
      </c>
      <c r="X246" s="13">
        <f t="shared" si="49"/>
        <v>3.2208779531649911</v>
      </c>
      <c r="Y246" s="10"/>
      <c r="Z246" s="10"/>
      <c r="AB246" s="10" t="str">
        <f t="shared" si="50"/>
        <v>Non-Distress</v>
      </c>
      <c r="AC246" s="10">
        <f t="shared" si="51"/>
        <v>0</v>
      </c>
      <c r="AE246" s="10">
        <f t="shared" si="52"/>
        <v>0</v>
      </c>
      <c r="AG246" s="13">
        <f t="shared" si="53"/>
        <v>0.5</v>
      </c>
      <c r="AH246" s="13">
        <f t="shared" si="54"/>
        <v>0.5</v>
      </c>
      <c r="AI246" s="10">
        <f t="shared" si="55"/>
        <v>0.25</v>
      </c>
    </row>
    <row r="247" spans="1:35" x14ac:dyDescent="0.3">
      <c r="A247" t="s">
        <v>76</v>
      </c>
      <c r="B247">
        <v>2024</v>
      </c>
      <c r="C247" s="3">
        <v>8713117000000</v>
      </c>
      <c r="D247" s="3">
        <v>27500000000</v>
      </c>
      <c r="E247" s="3">
        <v>54290706000000</v>
      </c>
      <c r="F247" s="3">
        <v>38517929000000</v>
      </c>
      <c r="G247" s="3">
        <v>25934279000000</v>
      </c>
      <c r="H247" s="3">
        <v>23669887000000</v>
      </c>
      <c r="I247" s="3">
        <v>28356427000000</v>
      </c>
      <c r="J247" s="3">
        <v>6543087000000</v>
      </c>
      <c r="K247" s="3">
        <v>14848042000000</v>
      </c>
      <c r="M247" s="3">
        <v>117880017000000</v>
      </c>
      <c r="N247" s="3">
        <v>6645774000000</v>
      </c>
      <c r="O247" s="3">
        <v>378460000000</v>
      </c>
      <c r="P247">
        <f t="shared" si="56"/>
        <v>4.413555542791876</v>
      </c>
      <c r="Q247">
        <f t="shared" si="57"/>
        <v>0</v>
      </c>
      <c r="R247" t="str">
        <f t="shared" si="48"/>
        <v>Safe</v>
      </c>
      <c r="S247">
        <f t="shared" si="58"/>
        <v>0.27349141490258022</v>
      </c>
      <c r="T247">
        <f t="shared" si="59"/>
        <v>0.12051946791776846</v>
      </c>
      <c r="U247">
        <f t="shared" si="60"/>
        <v>0.16049002936156329</v>
      </c>
      <c r="V247">
        <f t="shared" si="61"/>
        <v>1.0933956174374464</v>
      </c>
      <c r="X247" s="13">
        <f t="shared" si="49"/>
        <v>2.8898982964999624</v>
      </c>
      <c r="Y247" s="10"/>
      <c r="Z247" s="10"/>
      <c r="AB247" s="10" t="str">
        <f t="shared" si="50"/>
        <v>Non-Distress</v>
      </c>
      <c r="AC247" s="10">
        <f t="shared" si="51"/>
        <v>0</v>
      </c>
      <c r="AE247" s="10">
        <f t="shared" si="52"/>
        <v>0</v>
      </c>
      <c r="AG247" s="13">
        <f t="shared" si="53"/>
        <v>0.5</v>
      </c>
      <c r="AH247" s="13">
        <f t="shared" si="54"/>
        <v>0.5</v>
      </c>
      <c r="AI247" s="10">
        <f t="shared" si="55"/>
        <v>0.25</v>
      </c>
    </row>
    <row r="248" spans="1:35" x14ac:dyDescent="0.3">
      <c r="A248" t="s">
        <v>76</v>
      </c>
      <c r="B248">
        <v>2023</v>
      </c>
      <c r="C248" s="3">
        <v>10335945000000</v>
      </c>
      <c r="D248" s="3">
        <v>24732000000</v>
      </c>
      <c r="E248" s="3">
        <v>55316264000000</v>
      </c>
      <c r="F248" s="3">
        <v>40066044000000</v>
      </c>
      <c r="G248" s="3">
        <v>25446411000000</v>
      </c>
      <c r="H248" s="3">
        <v>23302684000000</v>
      </c>
      <c r="I248" s="3">
        <v>29869853000000</v>
      </c>
      <c r="J248" s="3">
        <v>8071928000000</v>
      </c>
      <c r="K248" s="3">
        <v>16763360000000</v>
      </c>
      <c r="M248" s="3">
        <v>115983384000000</v>
      </c>
      <c r="N248" s="3">
        <v>8096811000000</v>
      </c>
      <c r="O248" s="3">
        <v>445289000000</v>
      </c>
      <c r="P248">
        <f t="shared" si="56"/>
        <v>4.9518595979283315</v>
      </c>
      <c r="Q248">
        <f t="shared" si="57"/>
        <v>0</v>
      </c>
      <c r="R248" t="str">
        <f t="shared" si="48"/>
        <v>Safe</v>
      </c>
      <c r="S248">
        <f t="shared" si="58"/>
        <v>0.303045773300959</v>
      </c>
      <c r="T248">
        <f t="shared" si="59"/>
        <v>0.14592323154723535</v>
      </c>
      <c r="U248">
        <f t="shared" si="60"/>
        <v>0.1868518271588262</v>
      </c>
      <c r="V248">
        <f t="shared" si="61"/>
        <v>1.1738336302121348</v>
      </c>
      <c r="X248" s="13">
        <f t="shared" si="49"/>
        <v>3.2847731896990564</v>
      </c>
      <c r="Y248" s="10"/>
      <c r="Z248" s="10"/>
      <c r="AB248" s="10" t="str">
        <f t="shared" si="50"/>
        <v>Non-Distress</v>
      </c>
      <c r="AC248" s="10">
        <f t="shared" si="51"/>
        <v>0</v>
      </c>
      <c r="AE248" s="10">
        <f t="shared" si="52"/>
        <v>0</v>
      </c>
      <c r="AG248" s="13">
        <f t="shared" si="53"/>
        <v>0.5</v>
      </c>
      <c r="AH248" s="13">
        <f t="shared" si="54"/>
        <v>0.5</v>
      </c>
      <c r="AI248" s="10">
        <f t="shared" si="55"/>
        <v>0.25</v>
      </c>
    </row>
    <row r="249" spans="1:35" x14ac:dyDescent="0.3">
      <c r="A249" t="s">
        <v>76</v>
      </c>
      <c r="B249">
        <v>2022</v>
      </c>
      <c r="C249" s="3">
        <v>8295105000000</v>
      </c>
      <c r="D249" s="3">
        <v>22046000000</v>
      </c>
      <c r="E249" s="3">
        <v>54786992000000</v>
      </c>
      <c r="F249" s="3">
        <v>41362998000000</v>
      </c>
      <c r="G249" s="3">
        <v>26616824000000</v>
      </c>
      <c r="H249" s="3">
        <v>24545594000000</v>
      </c>
      <c r="I249" s="3">
        <v>28170168000000</v>
      </c>
      <c r="J249" s="3">
        <v>6370419000000</v>
      </c>
      <c r="K249" s="3">
        <v>16817404000000</v>
      </c>
      <c r="M249" s="3">
        <v>111211321000000</v>
      </c>
      <c r="N249" s="3">
        <v>6323744000000</v>
      </c>
      <c r="O249" s="3">
        <v>484627000000</v>
      </c>
      <c r="P249">
        <f t="shared" si="56"/>
        <v>4.5214453596032902</v>
      </c>
      <c r="Q249">
        <f t="shared" si="57"/>
        <v>0</v>
      </c>
      <c r="R249" t="str">
        <f t="shared" si="48"/>
        <v>Safe</v>
      </c>
      <c r="S249">
        <f t="shared" si="58"/>
        <v>0.30695979804841267</v>
      </c>
      <c r="T249">
        <f t="shared" si="59"/>
        <v>0.11627612262414407</v>
      </c>
      <c r="U249">
        <f t="shared" si="60"/>
        <v>0.15140646889320006</v>
      </c>
      <c r="V249">
        <f t="shared" si="61"/>
        <v>1.0583594797035139</v>
      </c>
      <c r="X249" s="13">
        <f t="shared" si="49"/>
        <v>3.0351021429453469</v>
      </c>
      <c r="Y249" s="10"/>
      <c r="Z249" s="10"/>
      <c r="AB249" s="10" t="str">
        <f t="shared" si="50"/>
        <v>Non-Distress</v>
      </c>
      <c r="AC249" s="10">
        <f t="shared" si="51"/>
        <v>0</v>
      </c>
      <c r="AE249" s="10">
        <f t="shared" si="52"/>
        <v>0</v>
      </c>
      <c r="AG249" s="13">
        <f t="shared" si="53"/>
        <v>0.5</v>
      </c>
      <c r="AH249" s="13">
        <f t="shared" si="54"/>
        <v>0.5</v>
      </c>
      <c r="AI249" s="10">
        <f t="shared" si="55"/>
        <v>0.25</v>
      </c>
    </row>
    <row r="250" spans="1:35" x14ac:dyDescent="0.3">
      <c r="A250" t="s">
        <v>77</v>
      </c>
      <c r="B250">
        <v>2025</v>
      </c>
      <c r="C250" s="3">
        <v>-9829265938</v>
      </c>
      <c r="D250" s="3">
        <v>24286948743</v>
      </c>
      <c r="E250" s="3">
        <v>989189108533</v>
      </c>
      <c r="F250" s="3">
        <v>620780126328</v>
      </c>
      <c r="G250" s="3">
        <v>387130959100</v>
      </c>
      <c r="H250" s="3">
        <v>353841911808</v>
      </c>
      <c r="I250" s="3">
        <v>591169957197</v>
      </c>
      <c r="J250" s="3">
        <v>198837054145</v>
      </c>
      <c r="K250" s="3">
        <v>266938214520</v>
      </c>
      <c r="M250" s="3">
        <v>1211043057867</v>
      </c>
      <c r="N250" s="3">
        <v>-34242899318</v>
      </c>
      <c r="O250" s="3">
        <v>345161106047</v>
      </c>
      <c r="P250">
        <f t="shared" si="56"/>
        <v>3.96217814690959</v>
      </c>
      <c r="Q250">
        <f t="shared" si="57"/>
        <v>0</v>
      </c>
      <c r="R250" t="str">
        <f t="shared" si="48"/>
        <v>Safe</v>
      </c>
      <c r="S250">
        <f t="shared" si="58"/>
        <v>0.26985559405913612</v>
      </c>
      <c r="T250">
        <f t="shared" si="59"/>
        <v>0.2010101530938628</v>
      </c>
      <c r="U250">
        <f t="shared" si="60"/>
        <v>-9.9366904196682114E-3</v>
      </c>
      <c r="V250">
        <f t="shared" si="61"/>
        <v>1.5270542003960335</v>
      </c>
      <c r="X250" s="13">
        <f t="shared" si="49"/>
        <v>2.3257117689698261</v>
      </c>
      <c r="Y250" s="10"/>
      <c r="Z250" s="10"/>
      <c r="AB250" s="10" t="str">
        <f t="shared" si="50"/>
        <v>Non-Distress</v>
      </c>
      <c r="AC250" s="10">
        <f t="shared" si="51"/>
        <v>0</v>
      </c>
      <c r="AE250" s="10">
        <f t="shared" si="52"/>
        <v>0</v>
      </c>
      <c r="AG250" s="13">
        <f t="shared" si="53"/>
        <v>0.5</v>
      </c>
      <c r="AH250" s="13">
        <f t="shared" si="54"/>
        <v>0.5</v>
      </c>
      <c r="AI250" s="10">
        <f t="shared" si="55"/>
        <v>0.25</v>
      </c>
    </row>
    <row r="251" spans="1:35" x14ac:dyDescent="0.3">
      <c r="A251" t="s">
        <v>77</v>
      </c>
      <c r="B251">
        <v>2024</v>
      </c>
      <c r="C251" s="3">
        <v>23222329051</v>
      </c>
      <c r="D251" s="3">
        <v>27807426863</v>
      </c>
      <c r="E251" s="3">
        <v>1124071397658</v>
      </c>
      <c r="F251" s="3">
        <v>730730404531</v>
      </c>
      <c r="G251" s="3">
        <v>476342774032</v>
      </c>
      <c r="H251" s="3">
        <v>432851967189</v>
      </c>
      <c r="I251" s="3">
        <v>636204462250</v>
      </c>
      <c r="J251" s="3">
        <v>243921559198</v>
      </c>
      <c r="K251" s="3">
        <v>297878437342</v>
      </c>
      <c r="M251" s="3">
        <v>1298675060004</v>
      </c>
      <c r="N251" s="3">
        <v>-3000946555</v>
      </c>
      <c r="O251" s="3">
        <v>407483826722</v>
      </c>
      <c r="P251">
        <f t="shared" si="56"/>
        <v>3.9870231987852955</v>
      </c>
      <c r="Q251">
        <f t="shared" si="57"/>
        <v>0</v>
      </c>
      <c r="R251" t="str">
        <f t="shared" si="48"/>
        <v>Safe</v>
      </c>
      <c r="S251">
        <f t="shared" si="58"/>
        <v>0.26499957027874654</v>
      </c>
      <c r="T251">
        <f t="shared" si="59"/>
        <v>0.21699827938528635</v>
      </c>
      <c r="U251">
        <f t="shared" si="60"/>
        <v>2.0659122809621937E-2</v>
      </c>
      <c r="V251">
        <f t="shared" si="61"/>
        <v>1.3356022111238339</v>
      </c>
      <c r="X251" s="13">
        <f t="shared" si="49"/>
        <v>2.4882123375371381</v>
      </c>
      <c r="Y251" s="10"/>
      <c r="Z251" s="10"/>
      <c r="AB251" s="10" t="str">
        <f t="shared" si="50"/>
        <v>Non-Distress</v>
      </c>
      <c r="AC251" s="10">
        <f t="shared" si="51"/>
        <v>0</v>
      </c>
      <c r="AE251" s="10">
        <f t="shared" si="52"/>
        <v>0</v>
      </c>
      <c r="AG251" s="13">
        <f t="shared" si="53"/>
        <v>0.5</v>
      </c>
      <c r="AH251" s="13">
        <f t="shared" si="54"/>
        <v>0.5</v>
      </c>
      <c r="AI251" s="10">
        <f t="shared" si="55"/>
        <v>0.25</v>
      </c>
    </row>
    <row r="252" spans="1:35" x14ac:dyDescent="0.3">
      <c r="A252" t="s">
        <v>77</v>
      </c>
      <c r="B252">
        <v>2023</v>
      </c>
      <c r="C252" s="3">
        <v>13897273768</v>
      </c>
      <c r="D252" s="3">
        <v>16209563554</v>
      </c>
      <c r="E252" s="3">
        <v>1046190979746</v>
      </c>
      <c r="F252" s="3">
        <v>637958259902</v>
      </c>
      <c r="G252" s="3">
        <v>384617373377</v>
      </c>
      <c r="H252" s="3">
        <v>364553821477</v>
      </c>
      <c r="I252" s="3">
        <v>660118944912</v>
      </c>
      <c r="J252" s="3">
        <v>254731759666</v>
      </c>
      <c r="K252" s="3">
        <v>273404438425</v>
      </c>
      <c r="M252" s="3">
        <v>1284510497729</v>
      </c>
      <c r="N252" s="3">
        <v>-1465736323</v>
      </c>
      <c r="O252" s="3">
        <v>293918494103</v>
      </c>
      <c r="P252">
        <f t="shared" si="56"/>
        <v>4.3994885242507049</v>
      </c>
      <c r="Q252">
        <f t="shared" si="57"/>
        <v>0</v>
      </c>
      <c r="R252" t="str">
        <f t="shared" si="48"/>
        <v>Safe</v>
      </c>
      <c r="S252">
        <f t="shared" si="58"/>
        <v>0.26133320179397707</v>
      </c>
      <c r="T252">
        <f t="shared" si="59"/>
        <v>0.24348495121592922</v>
      </c>
      <c r="U252">
        <f t="shared" si="60"/>
        <v>1.3283687239756222E-2</v>
      </c>
      <c r="V252">
        <f t="shared" si="61"/>
        <v>1.7163003821591667</v>
      </c>
      <c r="X252" s="13">
        <f t="shared" si="49"/>
        <v>2.5332936934034724</v>
      </c>
      <c r="Y252" s="10"/>
      <c r="Z252" s="10"/>
      <c r="AB252" s="10" t="str">
        <f t="shared" si="50"/>
        <v>Non-Distress</v>
      </c>
      <c r="AC252" s="10">
        <f t="shared" si="51"/>
        <v>0</v>
      </c>
      <c r="AE252" s="10">
        <f t="shared" si="52"/>
        <v>0</v>
      </c>
      <c r="AG252" s="13">
        <f t="shared" si="53"/>
        <v>0.5</v>
      </c>
      <c r="AH252" s="13">
        <f t="shared" si="54"/>
        <v>0.5</v>
      </c>
      <c r="AI252" s="10">
        <f t="shared" si="55"/>
        <v>0.25</v>
      </c>
    </row>
    <row r="253" spans="1:35" x14ac:dyDescent="0.3">
      <c r="A253" t="s">
        <v>77</v>
      </c>
      <c r="B253">
        <v>2022</v>
      </c>
      <c r="C253" s="3">
        <v>21875976950</v>
      </c>
      <c r="D253" s="3">
        <v>21213995865</v>
      </c>
      <c r="E253" s="3">
        <v>811603660216</v>
      </c>
      <c r="F253" s="3">
        <v>389697575028</v>
      </c>
      <c r="G253" s="3">
        <v>142744113133</v>
      </c>
      <c r="H253" s="3">
        <v>119206775342</v>
      </c>
      <c r="I253" s="3">
        <v>670666799840</v>
      </c>
      <c r="J253" s="3">
        <v>265931060025</v>
      </c>
      <c r="K253" s="3">
        <v>270490799686</v>
      </c>
      <c r="M253" s="3">
        <v>925708985640</v>
      </c>
      <c r="N253" s="3">
        <v>1797143563</v>
      </c>
      <c r="O253" s="3">
        <v>104115762043</v>
      </c>
      <c r="P253">
        <f t="shared" si="56"/>
        <v>8.3689238788389027</v>
      </c>
      <c r="Q253">
        <f t="shared" si="57"/>
        <v>0</v>
      </c>
      <c r="R253" t="str">
        <f t="shared" si="48"/>
        <v>Safe</v>
      </c>
      <c r="S253">
        <f t="shared" si="58"/>
        <v>0.33327942312878633</v>
      </c>
      <c r="T253">
        <f t="shared" si="59"/>
        <v>0.32766123794245233</v>
      </c>
      <c r="U253">
        <f t="shared" si="60"/>
        <v>2.6954014653134923E-2</v>
      </c>
      <c r="V253">
        <f t="shared" si="61"/>
        <v>4.6983849990024797</v>
      </c>
      <c r="X253" s="13">
        <f t="shared" si="49"/>
        <v>3.4431590374853491</v>
      </c>
      <c r="Y253" s="10"/>
      <c r="Z253" s="10"/>
      <c r="AB253" s="10" t="str">
        <f t="shared" si="50"/>
        <v>Non-Distress</v>
      </c>
      <c r="AC253" s="10">
        <f t="shared" si="51"/>
        <v>0</v>
      </c>
      <c r="AE253" s="10">
        <f t="shared" si="52"/>
        <v>0</v>
      </c>
      <c r="AG253" s="13">
        <f t="shared" si="53"/>
        <v>0.5</v>
      </c>
      <c r="AH253" s="13">
        <f t="shared" si="54"/>
        <v>0.5</v>
      </c>
      <c r="AI253" s="10">
        <f t="shared" si="55"/>
        <v>0.25</v>
      </c>
    </row>
    <row r="254" spans="1:35" x14ac:dyDescent="0.3">
      <c r="A254" t="s">
        <v>78</v>
      </c>
      <c r="B254">
        <v>2025</v>
      </c>
      <c r="C254" s="3">
        <v>15874334000000</v>
      </c>
      <c r="D254" s="3">
        <v>2153025000000</v>
      </c>
      <c r="E254" s="3">
        <v>135544351000000</v>
      </c>
      <c r="F254" s="3">
        <v>51153716000000</v>
      </c>
      <c r="G254" s="3">
        <v>61861347000000</v>
      </c>
      <c r="H254" s="3">
        <v>12316000000000</v>
      </c>
      <c r="I254" s="3">
        <v>51519743000000</v>
      </c>
      <c r="J254" s="3">
        <v>45113381000000</v>
      </c>
      <c r="K254" s="3">
        <v>38837716000000</v>
      </c>
      <c r="M254" s="3">
        <v>74850923000000</v>
      </c>
      <c r="N254" s="3">
        <v>9224927000000</v>
      </c>
      <c r="O254" s="3">
        <v>47431527000000</v>
      </c>
      <c r="P254">
        <f t="shared" si="56"/>
        <v>4.6261586899047327</v>
      </c>
      <c r="Q254">
        <f t="shared" si="57"/>
        <v>0</v>
      </c>
      <c r="R254" t="str">
        <f t="shared" si="48"/>
        <v>Safe</v>
      </c>
      <c r="S254">
        <f t="shared" si="58"/>
        <v>0.28653142468475135</v>
      </c>
      <c r="T254">
        <f t="shared" si="59"/>
        <v>0.33283114100417216</v>
      </c>
      <c r="U254">
        <f t="shared" si="60"/>
        <v>0.11711542298063016</v>
      </c>
      <c r="V254">
        <f t="shared" si="61"/>
        <v>0.83282607797078845</v>
      </c>
      <c r="X254" s="13">
        <f t="shared" si="49"/>
        <v>3.4444613034842191</v>
      </c>
      <c r="Y254" s="10"/>
      <c r="Z254" s="10"/>
      <c r="AB254" s="10" t="str">
        <f t="shared" si="50"/>
        <v>Non-Distress</v>
      </c>
      <c r="AC254" s="10">
        <f t="shared" si="51"/>
        <v>0</v>
      </c>
      <c r="AE254" s="10">
        <f t="shared" si="52"/>
        <v>0</v>
      </c>
      <c r="AG254" s="13">
        <f t="shared" si="53"/>
        <v>0.5</v>
      </c>
      <c r="AH254" s="13">
        <f t="shared" si="54"/>
        <v>0.5</v>
      </c>
      <c r="AI254" s="10">
        <f t="shared" si="55"/>
        <v>0.25</v>
      </c>
    </row>
    <row r="255" spans="1:35" x14ac:dyDescent="0.3">
      <c r="A255" t="s">
        <v>78</v>
      </c>
      <c r="B255">
        <v>2024</v>
      </c>
      <c r="C255" s="3">
        <v>13641685000000</v>
      </c>
      <c r="D255" s="3">
        <v>2142348000000</v>
      </c>
      <c r="E255" s="3">
        <v>126040905000000</v>
      </c>
      <c r="F255" s="3">
        <v>44667549000000</v>
      </c>
      <c r="G255" s="3">
        <v>58997020000000</v>
      </c>
      <c r="H255" s="3">
        <v>10924773000000</v>
      </c>
      <c r="I255" s="3">
        <v>45217376000000</v>
      </c>
      <c r="J255" s="3">
        <v>38890520000000</v>
      </c>
      <c r="K255" s="3">
        <v>33742776000000</v>
      </c>
      <c r="M255" s="3">
        <v>72597188000000</v>
      </c>
      <c r="N255" s="3">
        <v>7079369000000</v>
      </c>
      <c r="O255" s="3">
        <v>45624652000000</v>
      </c>
      <c r="P255">
        <f t="shared" si="56"/>
        <v>4.2941621750940602</v>
      </c>
      <c r="Q255">
        <f t="shared" si="57"/>
        <v>0</v>
      </c>
      <c r="R255" t="str">
        <f t="shared" si="48"/>
        <v>Safe</v>
      </c>
      <c r="S255">
        <f t="shared" si="58"/>
        <v>0.26771289844356483</v>
      </c>
      <c r="T255">
        <f t="shared" si="59"/>
        <v>0.30855475053912063</v>
      </c>
      <c r="U255">
        <f t="shared" si="60"/>
        <v>0.10823220445775124</v>
      </c>
      <c r="V255">
        <f t="shared" si="61"/>
        <v>0.76643491484824144</v>
      </c>
      <c r="X255" s="13">
        <f t="shared" si="49"/>
        <v>3.2040516055433255</v>
      </c>
      <c r="Y255" s="10"/>
      <c r="Z255" s="10"/>
      <c r="AB255" s="10" t="str">
        <f t="shared" si="50"/>
        <v>Non-Distress</v>
      </c>
      <c r="AC255" s="10">
        <f t="shared" si="51"/>
        <v>0</v>
      </c>
      <c r="AE255" s="10">
        <f t="shared" si="52"/>
        <v>0</v>
      </c>
      <c r="AG255" s="13">
        <f t="shared" si="53"/>
        <v>0.5</v>
      </c>
      <c r="AH255" s="13">
        <f t="shared" si="54"/>
        <v>0.5</v>
      </c>
      <c r="AI255" s="10">
        <f t="shared" si="55"/>
        <v>0.25</v>
      </c>
    </row>
    <row r="256" spans="1:35" x14ac:dyDescent="0.3">
      <c r="A256" t="s">
        <v>78</v>
      </c>
      <c r="B256">
        <v>2023</v>
      </c>
      <c r="C256" s="3">
        <v>13469406000000</v>
      </c>
      <c r="D256" s="3">
        <v>2024713000000</v>
      </c>
      <c r="E256" s="3">
        <v>119267076000000</v>
      </c>
      <c r="F256" s="3">
        <v>36773465000000</v>
      </c>
      <c r="G256" s="3">
        <v>57163043000000</v>
      </c>
      <c r="H256" s="3">
        <v>10464225000000</v>
      </c>
      <c r="I256" s="3">
        <v>40750169000000</v>
      </c>
      <c r="J256" s="3">
        <v>34046051000000</v>
      </c>
      <c r="K256" s="3">
        <v>26309240000000</v>
      </c>
      <c r="M256" s="3">
        <v>67909901000000</v>
      </c>
      <c r="N256" s="3">
        <v>6990572000000</v>
      </c>
      <c r="O256" s="3">
        <v>43990332000000</v>
      </c>
      <c r="P256">
        <f t="shared" si="56"/>
        <v>3.8851202607883657</v>
      </c>
      <c r="Q256">
        <f t="shared" si="57"/>
        <v>0</v>
      </c>
      <c r="R256" t="str">
        <f t="shared" si="48"/>
        <v>Safe</v>
      </c>
      <c r="S256">
        <f t="shared" si="58"/>
        <v>0.22059097013495996</v>
      </c>
      <c r="T256">
        <f t="shared" si="59"/>
        <v>0.28546059936943535</v>
      </c>
      <c r="U256">
        <f t="shared" si="60"/>
        <v>0.11293482201240516</v>
      </c>
      <c r="V256">
        <f t="shared" si="61"/>
        <v>0.71287613222410151</v>
      </c>
      <c r="X256" s="13">
        <f t="shared" si="49"/>
        <v>2.8607982405385921</v>
      </c>
      <c r="Y256" s="10"/>
      <c r="Z256" s="10"/>
      <c r="AB256" s="10" t="str">
        <f t="shared" si="50"/>
        <v>Non-Distress</v>
      </c>
      <c r="AC256" s="10">
        <f t="shared" si="51"/>
        <v>0</v>
      </c>
      <c r="AE256" s="10">
        <f t="shared" si="52"/>
        <v>0</v>
      </c>
      <c r="AG256" s="13">
        <f t="shared" si="53"/>
        <v>0.5</v>
      </c>
      <c r="AH256" s="13">
        <f t="shared" si="54"/>
        <v>0.5</v>
      </c>
      <c r="AI256" s="10">
        <f t="shared" si="55"/>
        <v>0.25</v>
      </c>
    </row>
    <row r="257" spans="1:35" x14ac:dyDescent="0.3">
      <c r="A257" t="s">
        <v>78</v>
      </c>
      <c r="B257">
        <v>2022</v>
      </c>
      <c r="C257" s="3">
        <v>9674042000000</v>
      </c>
      <c r="D257" s="3">
        <v>2148657000000</v>
      </c>
      <c r="E257" s="3">
        <v>115305536000000</v>
      </c>
      <c r="F257" s="3">
        <v>31070365000000</v>
      </c>
      <c r="G257" s="3">
        <v>57832529000000</v>
      </c>
      <c r="H257" s="3">
        <v>10033935000000</v>
      </c>
      <c r="I257" s="3">
        <v>36518511000000</v>
      </c>
      <c r="J257" s="3">
        <v>29282631000000</v>
      </c>
      <c r="K257" s="3">
        <v>21036430000000</v>
      </c>
      <c r="M257" s="3">
        <v>64797516000000</v>
      </c>
      <c r="N257" s="3">
        <v>4587367000000</v>
      </c>
      <c r="O257" s="3">
        <v>46006051000000</v>
      </c>
      <c r="P257">
        <f t="shared" si="56"/>
        <v>3.2515387724028333</v>
      </c>
      <c r="Q257">
        <f t="shared" si="57"/>
        <v>0</v>
      </c>
      <c r="R257" t="str">
        <f t="shared" si="48"/>
        <v>Safe</v>
      </c>
      <c r="S257">
        <f t="shared" si="58"/>
        <v>0.18244076329518125</v>
      </c>
      <c r="T257">
        <f t="shared" si="59"/>
        <v>0.25395685251400246</v>
      </c>
      <c r="U257">
        <f t="shared" si="60"/>
        <v>8.3899198040239806E-2</v>
      </c>
      <c r="V257">
        <f t="shared" si="61"/>
        <v>0.63145277634322372</v>
      </c>
      <c r="X257" s="13">
        <f t="shared" si="49"/>
        <v>2.3804160360591098</v>
      </c>
      <c r="Y257" s="10"/>
      <c r="Z257" s="10"/>
      <c r="AB257" s="10" t="str">
        <f t="shared" si="50"/>
        <v>Non-Distress</v>
      </c>
      <c r="AC257" s="10">
        <f t="shared" si="51"/>
        <v>0</v>
      </c>
      <c r="AE257" s="10">
        <f t="shared" si="52"/>
        <v>0</v>
      </c>
      <c r="AG257" s="13">
        <f t="shared" si="53"/>
        <v>0.5</v>
      </c>
      <c r="AH257" s="13">
        <f t="shared" si="54"/>
        <v>0.5</v>
      </c>
      <c r="AI257" s="10">
        <f t="shared" si="55"/>
        <v>0.25</v>
      </c>
    </row>
    <row r="258" spans="1:35" x14ac:dyDescent="0.3">
      <c r="A258" t="s">
        <v>79</v>
      </c>
      <c r="B258">
        <v>2025</v>
      </c>
      <c r="C258" s="3">
        <v>258390352554</v>
      </c>
      <c r="D258" s="3">
        <v>23480913426</v>
      </c>
      <c r="E258" s="3">
        <v>1705951146396</v>
      </c>
      <c r="F258" s="3">
        <v>465761250222</v>
      </c>
      <c r="G258" s="3">
        <v>320992714335</v>
      </c>
      <c r="H258" s="3">
        <v>152352499946</v>
      </c>
      <c r="I258" s="3">
        <v>1384958432061</v>
      </c>
      <c r="J258" s="3">
        <v>433073728885</v>
      </c>
      <c r="K258" s="3">
        <v>313408750276</v>
      </c>
      <c r="M258" s="3">
        <v>1282905047095</v>
      </c>
      <c r="N258" s="3">
        <v>183450503516</v>
      </c>
      <c r="O258" s="3">
        <v>239463041281</v>
      </c>
      <c r="P258">
        <f t="shared" si="56"/>
        <v>7.5809350351681033</v>
      </c>
      <c r="Q258">
        <f t="shared" si="57"/>
        <v>0</v>
      </c>
      <c r="R258" t="str">
        <f t="shared" ref="R258:R321" si="62">IF(P258&lt;1.1, "Distress", IF(P258&lt;=2.6, "Grey Area", "Safe"))</f>
        <v>Safe</v>
      </c>
      <c r="S258">
        <f t="shared" si="58"/>
        <v>0.18371496214185776</v>
      </c>
      <c r="T258">
        <f t="shared" si="59"/>
        <v>0.25386056910241156</v>
      </c>
      <c r="U258">
        <f t="shared" si="60"/>
        <v>0.15146409854694645</v>
      </c>
      <c r="V258">
        <f t="shared" si="61"/>
        <v>4.3146101771506427</v>
      </c>
      <c r="X258" s="13">
        <f t="shared" ref="X258:X321" si="63">(S258 * $T$729) + (T258 * $T$730) + (U258 * $T$731) + (V258 * $T$732)</f>
        <v>2.8729485092034888</v>
      </c>
      <c r="Y258" s="10"/>
      <c r="Z258" s="10"/>
      <c r="AB258" s="10" t="str">
        <f t="shared" si="50"/>
        <v>Non-Distress</v>
      </c>
      <c r="AC258" s="10">
        <f t="shared" si="51"/>
        <v>0</v>
      </c>
      <c r="AE258" s="10">
        <f t="shared" si="52"/>
        <v>0</v>
      </c>
      <c r="AG258" s="13">
        <f t="shared" si="53"/>
        <v>0.5</v>
      </c>
      <c r="AH258" s="13">
        <f t="shared" si="54"/>
        <v>0.5</v>
      </c>
      <c r="AI258" s="10">
        <f t="shared" si="55"/>
        <v>0.25</v>
      </c>
    </row>
    <row r="259" spans="1:35" x14ac:dyDescent="0.3">
      <c r="A259" t="s">
        <v>79</v>
      </c>
      <c r="B259">
        <v>2024</v>
      </c>
      <c r="C259" s="3">
        <v>263335547709</v>
      </c>
      <c r="D259" s="3">
        <v>33513930585</v>
      </c>
      <c r="E259" s="3">
        <v>1753404635182</v>
      </c>
      <c r="F259" s="3">
        <v>439587607224</v>
      </c>
      <c r="G259" s="3">
        <v>447462972579</v>
      </c>
      <c r="H259" s="3">
        <v>191650061012</v>
      </c>
      <c r="I259" s="3">
        <v>1305941662603</v>
      </c>
      <c r="J259" s="3">
        <v>354155225369</v>
      </c>
      <c r="K259" s="3">
        <v>247937546212</v>
      </c>
      <c r="M259" s="3">
        <v>1243651017803</v>
      </c>
      <c r="N259" s="3">
        <v>179025233782</v>
      </c>
      <c r="O259" s="3">
        <v>345440934665</v>
      </c>
      <c r="P259">
        <f t="shared" si="56"/>
        <v>5.6597857267904583</v>
      </c>
      <c r="Q259">
        <f t="shared" si="57"/>
        <v>0</v>
      </c>
      <c r="R259" t="str">
        <f t="shared" si="62"/>
        <v>Safe</v>
      </c>
      <c r="S259">
        <f t="shared" si="58"/>
        <v>0.14140349651024195</v>
      </c>
      <c r="T259">
        <f t="shared" si="59"/>
        <v>0.20198145839407991</v>
      </c>
      <c r="U259">
        <f t="shared" si="60"/>
        <v>0.15018526951804612</v>
      </c>
      <c r="V259">
        <f t="shared" si="61"/>
        <v>2.9185468801498091</v>
      </c>
      <c r="X259" s="13">
        <f t="shared" si="63"/>
        <v>2.3781432390053912</v>
      </c>
      <c r="Y259" s="10"/>
      <c r="Z259" s="10"/>
      <c r="AB259" s="10" t="str">
        <f t="shared" ref="AB259:AB322" si="64">IF(X259 &lt; AA259, "Distress", "Non-Distress")</f>
        <v>Non-Distress</v>
      </c>
      <c r="AC259" s="10">
        <f t="shared" ref="AC259:AC322" si="65">IF(X259 &lt; AA259, 1, 0)</f>
        <v>0</v>
      </c>
      <c r="AE259" s="10">
        <f t="shared" ref="AE259:AE322" si="66">IF(VALUE(TRIM(P259))&lt;=1.1, 1, 0)</f>
        <v>0</v>
      </c>
      <c r="AG259" s="13">
        <f t="shared" ref="AG259:AG322" si="67">1/(1+EXP(-Q259))</f>
        <v>0.5</v>
      </c>
      <c r="AH259" s="13">
        <f t="shared" ref="AH259:AH322" si="68">AG259-Q259</f>
        <v>0.5</v>
      </c>
      <c r="AI259" s="10">
        <f t="shared" ref="AI259:AI322" si="69">AG259*(1-AG259)</f>
        <v>0.25</v>
      </c>
    </row>
    <row r="260" spans="1:35" x14ac:dyDescent="0.3">
      <c r="A260" t="s">
        <v>79</v>
      </c>
      <c r="B260">
        <v>2023</v>
      </c>
      <c r="C260" s="3">
        <v>158994261584</v>
      </c>
      <c r="D260" s="3">
        <v>29177173485</v>
      </c>
      <c r="E260" s="3">
        <v>1894388459807</v>
      </c>
      <c r="F260" s="3">
        <v>487932573085</v>
      </c>
      <c r="G260" s="3">
        <v>673472085858</v>
      </c>
      <c r="H260" s="3">
        <v>327700986884</v>
      </c>
      <c r="I260" s="3">
        <v>1220916373949</v>
      </c>
      <c r="J260" s="3">
        <v>270249991587</v>
      </c>
      <c r="K260" s="3">
        <v>160231586201</v>
      </c>
      <c r="M260" s="3">
        <v>986989741727</v>
      </c>
      <c r="N260" s="3">
        <v>100902985814</v>
      </c>
      <c r="O260" s="3">
        <v>563308040821</v>
      </c>
      <c r="P260">
        <f t="shared" si="56"/>
        <v>3.4874403584355811</v>
      </c>
      <c r="Q260">
        <f t="shared" si="57"/>
        <v>0</v>
      </c>
      <c r="R260" t="str">
        <f t="shared" si="62"/>
        <v>Safe</v>
      </c>
      <c r="S260">
        <f t="shared" si="58"/>
        <v>8.4582222495867804E-2</v>
      </c>
      <c r="T260">
        <f t="shared" si="59"/>
        <v>0.14265817033879791</v>
      </c>
      <c r="U260">
        <f t="shared" si="60"/>
        <v>8.3929069964984004E-2</v>
      </c>
      <c r="V260">
        <f t="shared" si="61"/>
        <v>1.8128685651366809</v>
      </c>
      <c r="X260" s="13">
        <f t="shared" si="63"/>
        <v>1.46841301498542</v>
      </c>
      <c r="Y260" s="10"/>
      <c r="Z260" s="10"/>
      <c r="AB260" s="10" t="str">
        <f t="shared" si="64"/>
        <v>Non-Distress</v>
      </c>
      <c r="AC260" s="10">
        <f t="shared" si="65"/>
        <v>0</v>
      </c>
      <c r="AE260" s="10">
        <f t="shared" si="66"/>
        <v>0</v>
      </c>
      <c r="AG260" s="13">
        <f t="shared" si="67"/>
        <v>0.5</v>
      </c>
      <c r="AH260" s="13">
        <f t="shared" si="68"/>
        <v>0.5</v>
      </c>
      <c r="AI260" s="10">
        <f t="shared" si="69"/>
        <v>0.25</v>
      </c>
    </row>
    <row r="261" spans="1:35" x14ac:dyDescent="0.3">
      <c r="A261" t="s">
        <v>79</v>
      </c>
      <c r="B261">
        <v>2022</v>
      </c>
      <c r="C261" s="3">
        <v>128151862013</v>
      </c>
      <c r="D261" s="3">
        <v>3318939986</v>
      </c>
      <c r="E261" s="3">
        <v>1746807361866</v>
      </c>
      <c r="F261" s="3">
        <v>408596864963</v>
      </c>
      <c r="G261" s="3">
        <v>604327481288</v>
      </c>
      <c r="H261" s="3">
        <v>145976858453</v>
      </c>
      <c r="I261" s="3">
        <v>1142479880578</v>
      </c>
      <c r="J261" s="3">
        <v>189171005773</v>
      </c>
      <c r="K261" s="3">
        <v>262620006510</v>
      </c>
      <c r="M261" s="3">
        <v>867146336664</v>
      </c>
      <c r="N261" s="3">
        <v>97118215205</v>
      </c>
      <c r="O261" s="3">
        <v>528553030714</v>
      </c>
      <c r="P261">
        <f t="shared" ref="P261:P311" si="70">6.56*(F261-H261)/E261+3.26*J261/E261+6.72*C261/E261+1.05*I261/G261</f>
        <v>3.8173172108692772</v>
      </c>
      <c r="Q261">
        <f t="shared" ref="Q261:Q311" si="71">IF(VALUE(TRIM(P261))&lt;=1.1, 1, 0)</f>
        <v>0</v>
      </c>
      <c r="R261" t="str">
        <f t="shared" si="62"/>
        <v>Safe</v>
      </c>
      <c r="S261">
        <f t="shared" ref="S261:S311" si="72">MAX(-2,MIN(K261/E261,2))</f>
        <v>0.15034285533893116</v>
      </c>
      <c r="T261">
        <f t="shared" ref="T261:T311" si="73" xml:space="preserve"> J261/E261</f>
        <v>0.10829528767895791</v>
      </c>
      <c r="U261">
        <f t="shared" ref="U261:U311" si="74">C261/E261</f>
        <v>7.3363477170203681E-2</v>
      </c>
      <c r="V261">
        <f t="shared" ref="V261:V311" si="75">I261/G261</f>
        <v>1.8904979765987782</v>
      </c>
      <c r="X261" s="13">
        <f t="shared" si="63"/>
        <v>1.7099365266964848</v>
      </c>
      <c r="Y261" s="10"/>
      <c r="Z261" s="10"/>
      <c r="AB261" s="10" t="str">
        <f t="shared" si="64"/>
        <v>Non-Distress</v>
      </c>
      <c r="AC261" s="10">
        <f t="shared" si="65"/>
        <v>0</v>
      </c>
      <c r="AE261" s="10">
        <f t="shared" si="66"/>
        <v>0</v>
      </c>
      <c r="AG261" s="13">
        <f t="shared" si="67"/>
        <v>0.5</v>
      </c>
      <c r="AH261" s="13">
        <f t="shared" si="68"/>
        <v>0.5</v>
      </c>
      <c r="AI261" s="10">
        <f t="shared" si="69"/>
        <v>0.25</v>
      </c>
    </row>
    <row r="262" spans="1:35" x14ac:dyDescent="0.3">
      <c r="A262" t="s">
        <v>80</v>
      </c>
      <c r="B262">
        <v>2025</v>
      </c>
      <c r="C262" s="3">
        <v>107765547346</v>
      </c>
      <c r="D262" s="3">
        <v>582380136</v>
      </c>
      <c r="E262" s="3">
        <v>1006967419168</v>
      </c>
      <c r="F262" s="3">
        <v>779017180585</v>
      </c>
      <c r="G262" s="3">
        <v>114347474211</v>
      </c>
      <c r="H262" s="3">
        <v>84290866454</v>
      </c>
      <c r="I262" s="3">
        <v>681631453690</v>
      </c>
      <c r="J262" s="3">
        <v>595399927967</v>
      </c>
      <c r="K262" s="3">
        <v>694726314131</v>
      </c>
      <c r="M262" s="3">
        <v>917317232890</v>
      </c>
      <c r="N262" s="3">
        <v>59462535097</v>
      </c>
      <c r="O262" s="3">
        <v>1640690791</v>
      </c>
      <c r="P262">
        <f t="shared" si="70"/>
        <v>13.431724790003829</v>
      </c>
      <c r="Q262">
        <f t="shared" si="71"/>
        <v>0</v>
      </c>
      <c r="R262" t="str">
        <f t="shared" si="62"/>
        <v>Safe</v>
      </c>
      <c r="S262">
        <f t="shared" si="72"/>
        <v>0.68991935678019545</v>
      </c>
      <c r="T262">
        <f t="shared" si="73"/>
        <v>0.59128023075358804</v>
      </c>
      <c r="U262">
        <f t="shared" si="74"/>
        <v>0.10701989487906227</v>
      </c>
      <c r="V262">
        <f t="shared" si="75"/>
        <v>5.9610538701730977</v>
      </c>
      <c r="X262" s="13">
        <f t="shared" si="63"/>
        <v>6.9285147539543805</v>
      </c>
      <c r="Y262" s="10"/>
      <c r="Z262" s="10"/>
      <c r="AB262" s="10" t="str">
        <f t="shared" si="64"/>
        <v>Non-Distress</v>
      </c>
      <c r="AC262" s="10">
        <f t="shared" si="65"/>
        <v>0</v>
      </c>
      <c r="AE262" s="10">
        <f t="shared" si="66"/>
        <v>0</v>
      </c>
      <c r="AG262" s="13">
        <f t="shared" si="67"/>
        <v>0.5</v>
      </c>
      <c r="AH262" s="13">
        <f t="shared" si="68"/>
        <v>0.5</v>
      </c>
      <c r="AI262" s="10">
        <f t="shared" si="69"/>
        <v>0.25</v>
      </c>
    </row>
    <row r="263" spans="1:35" x14ac:dyDescent="0.3">
      <c r="A263" t="s">
        <v>80</v>
      </c>
      <c r="B263">
        <v>2024</v>
      </c>
      <c r="C263" s="3">
        <v>96736937631</v>
      </c>
      <c r="D263" s="3">
        <v>5740484892</v>
      </c>
      <c r="E263" s="3">
        <v>971684549297</v>
      </c>
      <c r="F263" s="3">
        <v>776607406985</v>
      </c>
      <c r="G263" s="3">
        <v>77831461593</v>
      </c>
      <c r="H263" s="3">
        <v>52975130174</v>
      </c>
      <c r="I263" s="3">
        <v>636422146769</v>
      </c>
      <c r="J263" s="3">
        <v>560982262350</v>
      </c>
      <c r="K263" s="3">
        <v>723632276811</v>
      </c>
      <c r="M263" s="3">
        <v>869134742614</v>
      </c>
      <c r="N263" s="3">
        <v>50021161727</v>
      </c>
      <c r="O263" s="3">
        <v>63188178</v>
      </c>
      <c r="P263">
        <f t="shared" si="70"/>
        <v>16.022242011481893</v>
      </c>
      <c r="Q263">
        <f t="shared" si="71"/>
        <v>0</v>
      </c>
      <c r="R263" t="str">
        <f t="shared" si="62"/>
        <v>Safe</v>
      </c>
      <c r="S263">
        <f t="shared" si="72"/>
        <v>0.74471934058696077</v>
      </c>
      <c r="T263">
        <f t="shared" si="73"/>
        <v>0.57732961047478082</v>
      </c>
      <c r="U263">
        <f t="shared" si="74"/>
        <v>9.9555908037220309E-2</v>
      </c>
      <c r="V263">
        <f t="shared" si="75"/>
        <v>8.1769265762604988</v>
      </c>
      <c r="X263" s="13">
        <f t="shared" si="63"/>
        <v>7.2768117756746307</v>
      </c>
      <c r="Y263" s="10"/>
      <c r="Z263" s="10"/>
      <c r="AB263" s="10" t="str">
        <f t="shared" si="64"/>
        <v>Non-Distress</v>
      </c>
      <c r="AC263" s="10">
        <f t="shared" si="65"/>
        <v>0</v>
      </c>
      <c r="AE263" s="10">
        <f t="shared" si="66"/>
        <v>0</v>
      </c>
      <c r="AG263" s="13">
        <f t="shared" si="67"/>
        <v>0.5</v>
      </c>
      <c r="AH263" s="13">
        <f t="shared" si="68"/>
        <v>0.5</v>
      </c>
      <c r="AI263" s="10">
        <f t="shared" si="69"/>
        <v>0.25</v>
      </c>
    </row>
    <row r="264" spans="1:35" x14ac:dyDescent="0.3">
      <c r="A264" t="s">
        <v>80</v>
      </c>
      <c r="B264">
        <v>2023</v>
      </c>
      <c r="C264" s="3">
        <v>71911571490</v>
      </c>
      <c r="D264" s="3">
        <v>370591094</v>
      </c>
      <c r="E264" s="3">
        <v>908807798500</v>
      </c>
      <c r="F264" s="3">
        <v>731232794172</v>
      </c>
      <c r="G264" s="3">
        <v>76971400620</v>
      </c>
      <c r="H264" s="3">
        <v>53737264052</v>
      </c>
      <c r="I264" s="3">
        <v>596991454912</v>
      </c>
      <c r="J264" s="3">
        <v>511345131058</v>
      </c>
      <c r="K264" s="3">
        <v>677495530120</v>
      </c>
      <c r="M264" s="3">
        <v>857775074318</v>
      </c>
      <c r="N264" s="3">
        <v>38403043500</v>
      </c>
      <c r="O264" s="3">
        <v>1589122764</v>
      </c>
      <c r="P264">
        <f t="shared" si="70"/>
        <v>15.400138845239347</v>
      </c>
      <c r="Q264">
        <f t="shared" si="71"/>
        <v>0</v>
      </c>
      <c r="R264" t="str">
        <f t="shared" si="62"/>
        <v>Safe</v>
      </c>
      <c r="S264">
        <f t="shared" si="72"/>
        <v>0.74547724088439371</v>
      </c>
      <c r="T264">
        <f t="shared" si="73"/>
        <v>0.56265486707088375</v>
      </c>
      <c r="U264">
        <f t="shared" si="74"/>
        <v>7.9127370615317189E-2</v>
      </c>
      <c r="V264">
        <f t="shared" si="75"/>
        <v>7.7560165217635353</v>
      </c>
      <c r="X264" s="13">
        <f t="shared" si="63"/>
        <v>7.1164442514823358</v>
      </c>
      <c r="Y264" s="10"/>
      <c r="Z264" s="10"/>
      <c r="AB264" s="10" t="str">
        <f t="shared" si="64"/>
        <v>Non-Distress</v>
      </c>
      <c r="AC264" s="10">
        <f t="shared" si="65"/>
        <v>0</v>
      </c>
      <c r="AE264" s="10">
        <f t="shared" si="66"/>
        <v>0</v>
      </c>
      <c r="AG264" s="13">
        <f t="shared" si="67"/>
        <v>0.5</v>
      </c>
      <c r="AH264" s="13">
        <f t="shared" si="68"/>
        <v>0.5</v>
      </c>
      <c r="AI264" s="10">
        <f t="shared" si="69"/>
        <v>0.25</v>
      </c>
    </row>
    <row r="265" spans="1:35" x14ac:dyDescent="0.3">
      <c r="A265" t="s">
        <v>80</v>
      </c>
      <c r="B265">
        <v>2022</v>
      </c>
      <c r="C265" s="3">
        <v>133672221086</v>
      </c>
      <c r="D265" s="3">
        <v>292933346</v>
      </c>
      <c r="E265" s="3">
        <v>863638556466</v>
      </c>
      <c r="F265" s="3">
        <v>707960865488</v>
      </c>
      <c r="G265" s="3">
        <v>76709432048</v>
      </c>
      <c r="H265" s="3">
        <v>53843373583</v>
      </c>
      <c r="I265" s="3">
        <v>562323230374</v>
      </c>
      <c r="J265" s="3">
        <v>473656809963</v>
      </c>
      <c r="K265" s="3">
        <v>654117491905</v>
      </c>
      <c r="M265" s="3">
        <v>1083672730660</v>
      </c>
      <c r="N265" s="3">
        <v>71472240510</v>
      </c>
      <c r="O265" s="3">
        <v>0</v>
      </c>
      <c r="P265">
        <f t="shared" si="70"/>
        <v>15.493649226355409</v>
      </c>
      <c r="Q265">
        <f t="shared" si="71"/>
        <v>0</v>
      </c>
      <c r="R265" t="str">
        <f t="shared" si="62"/>
        <v>Safe</v>
      </c>
      <c r="S265">
        <f t="shared" si="72"/>
        <v>0.75739727807156043</v>
      </c>
      <c r="T265">
        <f t="shared" si="73"/>
        <v>0.5484433347918124</v>
      </c>
      <c r="U265">
        <f t="shared" si="74"/>
        <v>0.1547779682660132</v>
      </c>
      <c r="V265">
        <f t="shared" si="75"/>
        <v>7.3305617752733854</v>
      </c>
      <c r="X265" s="13">
        <f t="shared" si="63"/>
        <v>7.4903891766470538</v>
      </c>
      <c r="Y265" s="10"/>
      <c r="Z265" s="10"/>
      <c r="AB265" s="10" t="str">
        <f t="shared" si="64"/>
        <v>Non-Distress</v>
      </c>
      <c r="AC265" s="10">
        <f t="shared" si="65"/>
        <v>0</v>
      </c>
      <c r="AE265" s="10">
        <f t="shared" si="66"/>
        <v>0</v>
      </c>
      <c r="AG265" s="13">
        <f t="shared" si="67"/>
        <v>0.5</v>
      </c>
      <c r="AH265" s="13">
        <f t="shared" si="68"/>
        <v>0.5</v>
      </c>
      <c r="AI265" s="10">
        <f t="shared" si="69"/>
        <v>0.25</v>
      </c>
    </row>
    <row r="266" spans="1:35" x14ac:dyDescent="0.3">
      <c r="A266" t="s">
        <v>81</v>
      </c>
      <c r="B266">
        <v>2025</v>
      </c>
      <c r="C266" s="3">
        <v>-60010907396</v>
      </c>
      <c r="D266" s="3">
        <v>14195546157</v>
      </c>
      <c r="E266" s="3">
        <v>1082906567922</v>
      </c>
      <c r="F266" s="3">
        <v>107709231309</v>
      </c>
      <c r="G266" s="3">
        <v>472218842498</v>
      </c>
      <c r="H266" s="3">
        <v>241259040623</v>
      </c>
      <c r="I266" s="3">
        <v>617571279036</v>
      </c>
      <c r="J266" s="3">
        <v>-789958515127</v>
      </c>
      <c r="K266" s="3">
        <v>-133549809314</v>
      </c>
      <c r="M266" s="3">
        <v>148972508003</v>
      </c>
      <c r="N266" s="3">
        <v>-64498805360</v>
      </c>
      <c r="O266" s="3">
        <v>202893349530</v>
      </c>
      <c r="P266">
        <f t="shared" si="70"/>
        <v>-2.1863197014806075</v>
      </c>
      <c r="Q266">
        <f t="shared" si="71"/>
        <v>1</v>
      </c>
      <c r="R266" t="str">
        <f t="shared" si="62"/>
        <v>Distress</v>
      </c>
      <c r="S266">
        <f t="shared" si="72"/>
        <v>-0.12332532950674593</v>
      </c>
      <c r="T266">
        <f t="shared" si="73"/>
        <v>-0.72947984482434081</v>
      </c>
      <c r="U266">
        <f t="shared" si="74"/>
        <v>-5.5416514382358506E-2</v>
      </c>
      <c r="V266">
        <f t="shared" si="75"/>
        <v>1.3078073627242344</v>
      </c>
      <c r="X266" s="13">
        <f t="shared" si="63"/>
        <v>-3.3565935787815504</v>
      </c>
      <c r="Y266" s="10"/>
      <c r="Z266" s="10"/>
      <c r="AB266" s="10" t="str">
        <f t="shared" si="64"/>
        <v>Distress</v>
      </c>
      <c r="AC266" s="10">
        <f t="shared" si="65"/>
        <v>1</v>
      </c>
      <c r="AE266" s="10">
        <f t="shared" si="66"/>
        <v>1</v>
      </c>
      <c r="AG266" s="13">
        <f t="shared" si="67"/>
        <v>0.7310585786300049</v>
      </c>
      <c r="AH266" s="13">
        <f t="shared" si="68"/>
        <v>-0.2689414213699951</v>
      </c>
      <c r="AI266" s="10">
        <f t="shared" si="69"/>
        <v>0.19661193324148185</v>
      </c>
    </row>
    <row r="267" spans="1:35" x14ac:dyDescent="0.3">
      <c r="A267" t="s">
        <v>81</v>
      </c>
      <c r="B267">
        <v>2024</v>
      </c>
      <c r="C267" s="3">
        <v>-53171175166</v>
      </c>
      <c r="D267" s="3">
        <v>17413122177</v>
      </c>
      <c r="E267" s="3">
        <v>1116039407898</v>
      </c>
      <c r="F267" s="3">
        <v>104569224497</v>
      </c>
      <c r="G267" s="3">
        <v>436214177274</v>
      </c>
      <c r="H267" s="3">
        <v>242172168774</v>
      </c>
      <c r="I267" s="3">
        <v>683258823145</v>
      </c>
      <c r="J267" s="3">
        <v>-725459709767</v>
      </c>
      <c r="K267" s="3">
        <v>-137602944277</v>
      </c>
      <c r="M267" s="3">
        <v>176801284046</v>
      </c>
      <c r="N267" s="3">
        <v>-62303104000</v>
      </c>
      <c r="O267" s="3">
        <v>205714347056</v>
      </c>
      <c r="P267">
        <f t="shared" si="70"/>
        <v>-1.6034242362918543</v>
      </c>
      <c r="Q267">
        <f t="shared" si="71"/>
        <v>1</v>
      </c>
      <c r="R267" t="str">
        <f t="shared" si="62"/>
        <v>Distress</v>
      </c>
      <c r="S267">
        <f t="shared" si="72"/>
        <v>-0.12329577549252291</v>
      </c>
      <c r="T267">
        <f t="shared" si="73"/>
        <v>-0.65003054966792273</v>
      </c>
      <c r="U267">
        <f t="shared" si="74"/>
        <v>-4.764273984387795E-2</v>
      </c>
      <c r="V267">
        <f t="shared" si="75"/>
        <v>1.5663379567689368</v>
      </c>
      <c r="X267" s="13">
        <f t="shared" si="63"/>
        <v>-3.0472986184341204</v>
      </c>
      <c r="Y267" s="10"/>
      <c r="Z267" s="10"/>
      <c r="AB267" s="10" t="str">
        <f t="shared" si="64"/>
        <v>Distress</v>
      </c>
      <c r="AC267" s="10">
        <f t="shared" si="65"/>
        <v>1</v>
      </c>
      <c r="AE267" s="10">
        <f t="shared" si="66"/>
        <v>1</v>
      </c>
      <c r="AG267" s="13">
        <f t="shared" si="67"/>
        <v>0.7310585786300049</v>
      </c>
      <c r="AH267" s="13">
        <f t="shared" si="68"/>
        <v>-0.2689414213699951</v>
      </c>
      <c r="AI267" s="10">
        <f t="shared" si="69"/>
        <v>0.19661193324148185</v>
      </c>
    </row>
    <row r="268" spans="1:35" x14ac:dyDescent="0.3">
      <c r="A268" t="s">
        <v>81</v>
      </c>
      <c r="B268">
        <v>2023</v>
      </c>
      <c r="C268" s="3">
        <v>22416968000</v>
      </c>
      <c r="D268" s="3">
        <v>4906857000</v>
      </c>
      <c r="E268" s="3">
        <v>1184309226000</v>
      </c>
      <c r="F268" s="3">
        <v>118684029000</v>
      </c>
      <c r="G268" s="3">
        <v>430136161000</v>
      </c>
      <c r="H268" s="3">
        <v>250847480000</v>
      </c>
      <c r="I268" s="3">
        <v>733837933000</v>
      </c>
      <c r="J268" s="3">
        <v>-663156603000</v>
      </c>
      <c r="K268" s="3">
        <v>-132163451000</v>
      </c>
      <c r="M268" s="3">
        <v>208393296000</v>
      </c>
      <c r="N268" s="3">
        <v>9074153000</v>
      </c>
      <c r="O268" s="3">
        <v>222653341000</v>
      </c>
      <c r="P268">
        <f t="shared" si="70"/>
        <v>-0.63894924921935736</v>
      </c>
      <c r="Q268">
        <f t="shared" si="71"/>
        <v>1</v>
      </c>
      <c r="R268" t="str">
        <f t="shared" si="62"/>
        <v>Distress</v>
      </c>
      <c r="S268">
        <f t="shared" si="72"/>
        <v>-0.111595390881469</v>
      </c>
      <c r="T268">
        <f t="shared" si="73"/>
        <v>-0.55995223919669102</v>
      </c>
      <c r="U268">
        <f t="shared" si="74"/>
        <v>1.892830648268546E-2</v>
      </c>
      <c r="V268">
        <f t="shared" si="75"/>
        <v>1.7060596144577578</v>
      </c>
      <c r="X268" s="13">
        <f t="shared" si="63"/>
        <v>-2.3525161662431402</v>
      </c>
      <c r="Y268" s="10"/>
      <c r="Z268" s="10"/>
      <c r="AB268" s="10" t="str">
        <f t="shared" si="64"/>
        <v>Distress</v>
      </c>
      <c r="AC268" s="10">
        <f t="shared" si="65"/>
        <v>1</v>
      </c>
      <c r="AE268" s="10">
        <f t="shared" si="66"/>
        <v>1</v>
      </c>
      <c r="AG268" s="13">
        <f t="shared" si="67"/>
        <v>0.7310585786300049</v>
      </c>
      <c r="AH268" s="13">
        <f t="shared" si="68"/>
        <v>-0.2689414213699951</v>
      </c>
      <c r="AI268" s="10">
        <f t="shared" si="69"/>
        <v>0.19661193324148185</v>
      </c>
    </row>
    <row r="269" spans="1:35" x14ac:dyDescent="0.3">
      <c r="A269" t="s">
        <v>81</v>
      </c>
      <c r="B269">
        <v>2022</v>
      </c>
      <c r="C269" s="3">
        <v>-16682582000</v>
      </c>
      <c r="D269" s="3">
        <v>17344800000</v>
      </c>
      <c r="E269" s="3">
        <v>1212168912000</v>
      </c>
      <c r="F269" s="3">
        <v>141446706000</v>
      </c>
      <c r="G269" s="3">
        <v>464984177000</v>
      </c>
      <c r="H269" s="3">
        <v>406221489000</v>
      </c>
      <c r="I269" s="3">
        <v>724565180000</v>
      </c>
      <c r="J269" s="3">
        <v>-672230756000</v>
      </c>
      <c r="K269" s="3">
        <v>-264774783000</v>
      </c>
      <c r="M269" s="3">
        <v>227978382000</v>
      </c>
      <c r="N269" s="3">
        <v>-37361338000</v>
      </c>
      <c r="O269" s="3">
        <v>269848472000</v>
      </c>
      <c r="P269">
        <f t="shared" si="70"/>
        <v>-1.6971122076643284</v>
      </c>
      <c r="Q269">
        <f t="shared" si="71"/>
        <v>1</v>
      </c>
      <c r="R269" t="str">
        <f t="shared" si="62"/>
        <v>Distress</v>
      </c>
      <c r="S269">
        <f t="shared" si="72"/>
        <v>-0.21843060020664842</v>
      </c>
      <c r="T269">
        <f t="shared" si="73"/>
        <v>-0.55456855009658923</v>
      </c>
      <c r="U269">
        <f t="shared" si="74"/>
        <v>-1.3762588559109987E-2</v>
      </c>
      <c r="V269">
        <f t="shared" si="75"/>
        <v>1.558257712498462</v>
      </c>
      <c r="X269" s="13">
        <f t="shared" si="63"/>
        <v>-3.1523287560412543</v>
      </c>
      <c r="Y269" s="10"/>
      <c r="Z269" s="10"/>
      <c r="AB269" s="10" t="str">
        <f t="shared" si="64"/>
        <v>Distress</v>
      </c>
      <c r="AC269" s="10">
        <f t="shared" si="65"/>
        <v>1</v>
      </c>
      <c r="AE269" s="10">
        <f t="shared" si="66"/>
        <v>1</v>
      </c>
      <c r="AG269" s="13">
        <f t="shared" si="67"/>
        <v>0.7310585786300049</v>
      </c>
      <c r="AH269" s="13">
        <f t="shared" si="68"/>
        <v>-0.2689414213699951</v>
      </c>
      <c r="AI269" s="10">
        <f t="shared" si="69"/>
        <v>0.19661193324148185</v>
      </c>
    </row>
    <row r="270" spans="1:35" x14ac:dyDescent="0.3">
      <c r="A270" t="s">
        <v>82</v>
      </c>
      <c r="B270">
        <v>2026</v>
      </c>
      <c r="C270" s="3">
        <v>10917227</v>
      </c>
      <c r="D270" s="3">
        <v>369229</v>
      </c>
      <c r="E270" s="3">
        <v>111535388</v>
      </c>
      <c r="F270" s="3">
        <v>69040338</v>
      </c>
      <c r="G270" s="3">
        <v>25337513</v>
      </c>
      <c r="H270" s="3">
        <v>19828188</v>
      </c>
      <c r="I270" s="3">
        <v>86197875</v>
      </c>
      <c r="J270" s="3">
        <v>31536364</v>
      </c>
      <c r="K270" s="3">
        <v>49212150</v>
      </c>
      <c r="M270" s="3">
        <v>230498385</v>
      </c>
      <c r="N270" s="3">
        <v>8270024</v>
      </c>
      <c r="O270" s="3">
        <v>0</v>
      </c>
      <c r="P270">
        <f t="shared" si="70"/>
        <v>8.0460381283894922</v>
      </c>
      <c r="Q270">
        <f t="shared" si="71"/>
        <v>0</v>
      </c>
      <c r="R270" t="str">
        <f t="shared" si="62"/>
        <v>Safe</v>
      </c>
      <c r="S270">
        <f t="shared" si="72"/>
        <v>0.4412245376328453</v>
      </c>
      <c r="T270">
        <f t="shared" si="73"/>
        <v>0.28274760652645958</v>
      </c>
      <c r="U270">
        <f t="shared" si="74"/>
        <v>9.7881284099715513E-2</v>
      </c>
      <c r="V270">
        <f t="shared" si="75"/>
        <v>3.4019864143730287</v>
      </c>
      <c r="X270" s="13">
        <f t="shared" si="63"/>
        <v>4.2431118712458415</v>
      </c>
      <c r="Y270" s="10"/>
      <c r="Z270" s="10"/>
      <c r="AB270" s="10" t="str">
        <f t="shared" si="64"/>
        <v>Non-Distress</v>
      </c>
      <c r="AC270" s="10">
        <f t="shared" si="65"/>
        <v>0</v>
      </c>
      <c r="AE270" s="10">
        <f t="shared" si="66"/>
        <v>0</v>
      </c>
      <c r="AG270" s="13">
        <f t="shared" si="67"/>
        <v>0.5</v>
      </c>
      <c r="AH270" s="13">
        <f t="shared" si="68"/>
        <v>0.5</v>
      </c>
      <c r="AI270" s="10">
        <f t="shared" si="69"/>
        <v>0.25</v>
      </c>
    </row>
    <row r="271" spans="1:35" x14ac:dyDescent="0.3">
      <c r="A271" t="s">
        <v>82</v>
      </c>
      <c r="B271">
        <v>2025</v>
      </c>
      <c r="C271" s="3">
        <v>7697640</v>
      </c>
      <c r="D271" s="3">
        <v>419154</v>
      </c>
      <c r="E271" s="3">
        <v>123750530</v>
      </c>
      <c r="F271" s="3">
        <v>79703861</v>
      </c>
      <c r="G271" s="3">
        <v>44245042</v>
      </c>
      <c r="H271" s="3">
        <v>38362552</v>
      </c>
      <c r="I271" s="3">
        <v>79505488</v>
      </c>
      <c r="J271" s="3">
        <v>24943977</v>
      </c>
      <c r="K271" s="3">
        <v>41341309</v>
      </c>
      <c r="M271" s="3">
        <v>262333332</v>
      </c>
      <c r="N271" s="3">
        <v>5721760</v>
      </c>
      <c r="O271" s="3">
        <v>12200000</v>
      </c>
      <c r="P271">
        <f t="shared" si="70"/>
        <v>5.1533904807949247</v>
      </c>
      <c r="Q271">
        <f t="shared" si="71"/>
        <v>0</v>
      </c>
      <c r="R271" t="str">
        <f t="shared" si="62"/>
        <v>Safe</v>
      </c>
      <c r="S271">
        <f t="shared" si="72"/>
        <v>0.33406975307499692</v>
      </c>
      <c r="T271">
        <f t="shared" si="73"/>
        <v>0.2015666276338372</v>
      </c>
      <c r="U271">
        <f t="shared" si="74"/>
        <v>6.2202885110875891E-2</v>
      </c>
      <c r="V271">
        <f t="shared" si="75"/>
        <v>1.7969355300871903</v>
      </c>
      <c r="X271" s="13">
        <f t="shared" si="63"/>
        <v>3.0805669266900271</v>
      </c>
      <c r="Y271" s="10"/>
      <c r="Z271" s="10"/>
      <c r="AB271" s="10" t="str">
        <f t="shared" si="64"/>
        <v>Non-Distress</v>
      </c>
      <c r="AC271" s="10">
        <f t="shared" si="65"/>
        <v>0</v>
      </c>
      <c r="AE271" s="10">
        <f t="shared" si="66"/>
        <v>0</v>
      </c>
      <c r="AG271" s="13">
        <f t="shared" si="67"/>
        <v>0.5</v>
      </c>
      <c r="AH271" s="13">
        <f t="shared" si="68"/>
        <v>0.5</v>
      </c>
      <c r="AI271" s="10">
        <f t="shared" si="69"/>
        <v>0.25</v>
      </c>
    </row>
    <row r="272" spans="1:35" x14ac:dyDescent="0.3">
      <c r="A272" t="s">
        <v>82</v>
      </c>
      <c r="B272">
        <v>2024</v>
      </c>
      <c r="C272" s="3">
        <v>10441532</v>
      </c>
      <c r="D272" s="3">
        <v>836596</v>
      </c>
      <c r="E272" s="3">
        <v>107067717</v>
      </c>
      <c r="F272" s="3">
        <v>60131546</v>
      </c>
      <c r="G272" s="3">
        <v>30798537</v>
      </c>
      <c r="H272" s="3">
        <v>24482869</v>
      </c>
      <c r="I272" s="3">
        <v>76269180</v>
      </c>
      <c r="J272" s="3">
        <v>21807669</v>
      </c>
      <c r="K272" s="3">
        <v>35648677</v>
      </c>
      <c r="M272" s="3">
        <v>247785585</v>
      </c>
      <c r="N272" s="3">
        <v>7524401</v>
      </c>
      <c r="O272" s="3">
        <v>2100000</v>
      </c>
      <c r="P272">
        <f t="shared" si="70"/>
        <v>6.1037434746423198</v>
      </c>
      <c r="Q272">
        <f t="shared" si="71"/>
        <v>0</v>
      </c>
      <c r="R272" t="str">
        <f t="shared" si="62"/>
        <v>Safe</v>
      </c>
      <c r="S272">
        <f t="shared" si="72"/>
        <v>0.332954488980091</v>
      </c>
      <c r="T272">
        <f t="shared" si="73"/>
        <v>0.20368108717588515</v>
      </c>
      <c r="U272">
        <f t="shared" si="74"/>
        <v>9.7522692110825523E-2</v>
      </c>
      <c r="V272">
        <f t="shared" si="75"/>
        <v>2.4763897064331335</v>
      </c>
      <c r="X272" s="13">
        <f t="shared" si="63"/>
        <v>3.2807235273431958</v>
      </c>
      <c r="Y272" s="10"/>
      <c r="Z272" s="10"/>
      <c r="AB272" s="10" t="str">
        <f t="shared" si="64"/>
        <v>Non-Distress</v>
      </c>
      <c r="AC272" s="10">
        <f t="shared" si="65"/>
        <v>0</v>
      </c>
      <c r="AE272" s="10">
        <f t="shared" si="66"/>
        <v>0</v>
      </c>
      <c r="AG272" s="13">
        <f t="shared" si="67"/>
        <v>0.5</v>
      </c>
      <c r="AH272" s="13">
        <f t="shared" si="68"/>
        <v>0.5</v>
      </c>
      <c r="AI272" s="10">
        <f t="shared" si="69"/>
        <v>0.25</v>
      </c>
    </row>
    <row r="273" spans="1:35" x14ac:dyDescent="0.3">
      <c r="A273" t="s">
        <v>82</v>
      </c>
      <c r="B273">
        <v>2023</v>
      </c>
      <c r="C273" s="3">
        <v>5236950</v>
      </c>
      <c r="D273" s="3">
        <v>833848</v>
      </c>
      <c r="E273" s="3">
        <v>118691279</v>
      </c>
      <c r="F273" s="3">
        <v>62857407</v>
      </c>
      <c r="G273" s="3">
        <v>48693361</v>
      </c>
      <c r="H273" s="3">
        <v>42125516</v>
      </c>
      <c r="I273" s="3">
        <v>69997918</v>
      </c>
      <c r="J273" s="3">
        <v>15636407</v>
      </c>
      <c r="K273" s="3">
        <v>20731891</v>
      </c>
      <c r="M273" s="3">
        <v>226241027</v>
      </c>
      <c r="N273" s="3">
        <v>3487893</v>
      </c>
      <c r="O273" s="3">
        <v>21721597</v>
      </c>
      <c r="P273">
        <f t="shared" si="70"/>
        <v>3.3812167943278393</v>
      </c>
      <c r="Q273">
        <f t="shared" si="71"/>
        <v>0</v>
      </c>
      <c r="R273" t="str">
        <f t="shared" si="62"/>
        <v>Safe</v>
      </c>
      <c r="S273">
        <f t="shared" si="72"/>
        <v>0.17467071864648118</v>
      </c>
      <c r="T273">
        <f t="shared" si="73"/>
        <v>0.13174015084966773</v>
      </c>
      <c r="U273">
        <f t="shared" si="74"/>
        <v>4.4122449805263281E-2</v>
      </c>
      <c r="V273">
        <f t="shared" si="75"/>
        <v>1.4375248814720347</v>
      </c>
      <c r="X273" s="13">
        <f t="shared" si="63"/>
        <v>1.7745622975306099</v>
      </c>
      <c r="Y273" s="10"/>
      <c r="Z273" s="10"/>
      <c r="AB273" s="10" t="str">
        <f t="shared" si="64"/>
        <v>Non-Distress</v>
      </c>
      <c r="AC273" s="10">
        <f t="shared" si="65"/>
        <v>0</v>
      </c>
      <c r="AE273" s="10">
        <f t="shared" si="66"/>
        <v>0</v>
      </c>
      <c r="AG273" s="13">
        <f t="shared" si="67"/>
        <v>0.5</v>
      </c>
      <c r="AH273" s="13">
        <f t="shared" si="68"/>
        <v>0.5</v>
      </c>
      <c r="AI273" s="10">
        <f t="shared" si="69"/>
        <v>0.25</v>
      </c>
    </row>
    <row r="274" spans="1:35" x14ac:dyDescent="0.3">
      <c r="A274" t="s">
        <v>83</v>
      </c>
      <c r="B274">
        <v>2025</v>
      </c>
      <c r="C274" s="3">
        <v>902841915930</v>
      </c>
      <c r="D274" s="3">
        <v>98656147555</v>
      </c>
      <c r="E274" s="3">
        <v>5309672233571</v>
      </c>
      <c r="F274" s="3">
        <v>2850353939685</v>
      </c>
      <c r="G274" s="3">
        <v>1911656727202</v>
      </c>
      <c r="H274" s="3">
        <v>1059412745801</v>
      </c>
      <c r="I274" s="3">
        <v>3141754223674</v>
      </c>
      <c r="J274" s="3">
        <v>2457090228115</v>
      </c>
      <c r="K274" s="3">
        <v>1790941193884</v>
      </c>
      <c r="M274" s="3">
        <v>4271459779365</v>
      </c>
      <c r="N274" s="3">
        <v>620044943361</v>
      </c>
      <c r="O274" s="3">
        <v>1049537477948</v>
      </c>
      <c r="P274">
        <f t="shared" si="70"/>
        <v>6.5895589788323488</v>
      </c>
      <c r="Q274">
        <f t="shared" si="71"/>
        <v>0</v>
      </c>
      <c r="R274" t="str">
        <f t="shared" si="62"/>
        <v>Safe</v>
      </c>
      <c r="S274">
        <f t="shared" si="72"/>
        <v>0.33729788113107489</v>
      </c>
      <c r="T274">
        <f t="shared" si="73"/>
        <v>0.46275742080269489</v>
      </c>
      <c r="U274">
        <f t="shared" si="74"/>
        <v>0.17003722192524059</v>
      </c>
      <c r="V274">
        <f t="shared" si="75"/>
        <v>1.6434719575791386</v>
      </c>
      <c r="X274" s="13">
        <f t="shared" si="63"/>
        <v>4.4714163293539277</v>
      </c>
      <c r="Y274" s="10"/>
      <c r="Z274" s="10"/>
      <c r="AB274" s="10" t="str">
        <f t="shared" si="64"/>
        <v>Non-Distress</v>
      </c>
      <c r="AC274" s="10">
        <f t="shared" si="65"/>
        <v>0</v>
      </c>
      <c r="AE274" s="10">
        <f t="shared" si="66"/>
        <v>0</v>
      </c>
      <c r="AG274" s="13">
        <f t="shared" si="67"/>
        <v>0.5</v>
      </c>
      <c r="AH274" s="13">
        <f t="shared" si="68"/>
        <v>0.5</v>
      </c>
      <c r="AI274" s="10">
        <f t="shared" si="69"/>
        <v>0.25</v>
      </c>
    </row>
    <row r="275" spans="1:35" x14ac:dyDescent="0.3">
      <c r="A275" t="s">
        <v>83</v>
      </c>
      <c r="B275">
        <v>2024</v>
      </c>
      <c r="C275" s="3">
        <v>809309303283</v>
      </c>
      <c r="D275" s="3">
        <v>81103888026</v>
      </c>
      <c r="E275" s="3">
        <v>4467461028990</v>
      </c>
      <c r="F275" s="3">
        <v>2206134862422</v>
      </c>
      <c r="G275" s="3">
        <v>2322550701543</v>
      </c>
      <c r="H275" s="3">
        <v>1218741512266</v>
      </c>
      <c r="I275" s="3">
        <v>1894719541998</v>
      </c>
      <c r="J275" s="3">
        <v>1825276936459</v>
      </c>
      <c r="K275" s="3">
        <v>987393350156</v>
      </c>
      <c r="M275" s="3">
        <v>3877933381099</v>
      </c>
      <c r="N275" s="3">
        <v>539386235478</v>
      </c>
      <c r="O275" s="3">
        <v>1594202816109</v>
      </c>
      <c r="P275">
        <f t="shared" si="70"/>
        <v>4.8557802806345531</v>
      </c>
      <c r="Q275">
        <f t="shared" si="71"/>
        <v>0</v>
      </c>
      <c r="R275" t="str">
        <f t="shared" si="62"/>
        <v>Safe</v>
      </c>
      <c r="S275">
        <f t="shared" si="72"/>
        <v>0.22101890620839487</v>
      </c>
      <c r="T275">
        <f t="shared" si="73"/>
        <v>0.40857142896479998</v>
      </c>
      <c r="U275">
        <f t="shared" si="74"/>
        <v>0.18115643271005052</v>
      </c>
      <c r="V275">
        <f t="shared" si="75"/>
        <v>0.81579254254351996</v>
      </c>
      <c r="X275" s="13">
        <f t="shared" si="63"/>
        <v>3.6013548611872688</v>
      </c>
      <c r="Y275" s="10"/>
      <c r="Z275" s="10"/>
      <c r="AB275" s="10" t="str">
        <f t="shared" si="64"/>
        <v>Non-Distress</v>
      </c>
      <c r="AC275" s="10">
        <f t="shared" si="65"/>
        <v>0</v>
      </c>
      <c r="AE275" s="10">
        <f t="shared" si="66"/>
        <v>0</v>
      </c>
      <c r="AG275" s="13">
        <f t="shared" si="67"/>
        <v>0.5</v>
      </c>
      <c r="AH275" s="13">
        <f t="shared" si="68"/>
        <v>0.5</v>
      </c>
      <c r="AI275" s="10">
        <f t="shared" si="69"/>
        <v>0.25</v>
      </c>
    </row>
    <row r="276" spans="1:35" x14ac:dyDescent="0.3">
      <c r="A276" t="s">
        <v>83</v>
      </c>
      <c r="B276">
        <v>2023</v>
      </c>
      <c r="C276" s="3">
        <v>665457580603</v>
      </c>
      <c r="D276" s="3">
        <v>64237393457</v>
      </c>
      <c r="E276" s="3">
        <v>4105362087706</v>
      </c>
      <c r="F276" s="3">
        <v>2154030401124</v>
      </c>
      <c r="G276" s="3">
        <v>1479667566176</v>
      </c>
      <c r="H276" s="3">
        <v>989347873365</v>
      </c>
      <c r="I276" s="3">
        <v>2411259820354</v>
      </c>
      <c r="J276" s="3">
        <v>1624324913783</v>
      </c>
      <c r="K276" s="3">
        <v>1164682527759</v>
      </c>
      <c r="M276" s="3">
        <v>3630700574969</v>
      </c>
      <c r="N276" s="3">
        <v>447791596863</v>
      </c>
      <c r="O276" s="3">
        <v>692959560127</v>
      </c>
      <c r="P276">
        <f t="shared" si="70"/>
        <v>5.95125964640651</v>
      </c>
      <c r="Q276">
        <f t="shared" si="71"/>
        <v>0</v>
      </c>
      <c r="R276" t="str">
        <f t="shared" si="62"/>
        <v>Safe</v>
      </c>
      <c r="S276">
        <f t="shared" si="72"/>
        <v>0.28369788166719367</v>
      </c>
      <c r="T276">
        <f t="shared" si="73"/>
        <v>0.39565935454201129</v>
      </c>
      <c r="U276">
        <f t="shared" si="74"/>
        <v>0.1620947352234271</v>
      </c>
      <c r="V276">
        <f t="shared" si="75"/>
        <v>1.6295956439631734</v>
      </c>
      <c r="X276" s="13">
        <f t="shared" si="63"/>
        <v>3.8848778212406492</v>
      </c>
      <c r="Y276" s="10"/>
      <c r="Z276" s="10"/>
      <c r="AB276" s="10" t="str">
        <f t="shared" si="64"/>
        <v>Non-Distress</v>
      </c>
      <c r="AC276" s="10">
        <f t="shared" si="65"/>
        <v>0</v>
      </c>
      <c r="AE276" s="10">
        <f t="shared" si="66"/>
        <v>0</v>
      </c>
      <c r="AG276" s="13">
        <f t="shared" si="67"/>
        <v>0.5</v>
      </c>
      <c r="AH276" s="13">
        <f t="shared" si="68"/>
        <v>0.5</v>
      </c>
      <c r="AI276" s="10">
        <f t="shared" si="69"/>
        <v>0.25</v>
      </c>
    </row>
    <row r="277" spans="1:35" x14ac:dyDescent="0.3">
      <c r="A277" t="s">
        <v>83</v>
      </c>
      <c r="B277">
        <v>2022</v>
      </c>
      <c r="C277" s="3">
        <v>460761618628</v>
      </c>
      <c r="D277" s="3">
        <v>46555209916</v>
      </c>
      <c r="E277" s="3">
        <v>3435475875401</v>
      </c>
      <c r="F277" s="3">
        <v>1754894947354</v>
      </c>
      <c r="G277" s="3">
        <v>1210746099447</v>
      </c>
      <c r="H277" s="3">
        <v>716738190188</v>
      </c>
      <c r="I277" s="3">
        <v>2007954842670</v>
      </c>
      <c r="J277" s="3">
        <v>1360105635557</v>
      </c>
      <c r="K277" s="3">
        <v>1038156757166</v>
      </c>
      <c r="M277" s="3">
        <v>2808698656787</v>
      </c>
      <c r="N277" s="3">
        <v>307414788044</v>
      </c>
      <c r="O277" s="3">
        <v>556422814234</v>
      </c>
      <c r="P277">
        <f t="shared" si="70"/>
        <v>5.9156267702519809</v>
      </c>
      <c r="Q277">
        <f t="shared" si="71"/>
        <v>0</v>
      </c>
      <c r="R277" t="str">
        <f t="shared" si="62"/>
        <v>Safe</v>
      </c>
      <c r="S277">
        <f t="shared" si="72"/>
        <v>0.30218717721160621</v>
      </c>
      <c r="T277">
        <f t="shared" si="73"/>
        <v>0.39590021437663103</v>
      </c>
      <c r="U277">
        <f t="shared" si="74"/>
        <v>0.13411871756317265</v>
      </c>
      <c r="V277">
        <f t="shared" si="75"/>
        <v>1.6584441970014354</v>
      </c>
      <c r="X277" s="13">
        <f t="shared" si="63"/>
        <v>3.864582932646941</v>
      </c>
      <c r="Y277" s="10"/>
      <c r="Z277" s="10"/>
      <c r="AB277" s="10" t="str">
        <f t="shared" si="64"/>
        <v>Non-Distress</v>
      </c>
      <c r="AC277" s="10">
        <f t="shared" si="65"/>
        <v>0</v>
      </c>
      <c r="AE277" s="10">
        <f t="shared" si="66"/>
        <v>0</v>
      </c>
      <c r="AG277" s="13">
        <f t="shared" si="67"/>
        <v>0.5</v>
      </c>
      <c r="AH277" s="13">
        <f t="shared" si="68"/>
        <v>0.5</v>
      </c>
      <c r="AI277" s="10">
        <f t="shared" si="69"/>
        <v>0.25</v>
      </c>
    </row>
    <row r="278" spans="1:35" x14ac:dyDescent="0.3">
      <c r="A278" t="s">
        <v>84</v>
      </c>
      <c r="B278">
        <v>2025</v>
      </c>
      <c r="C278" s="3">
        <v>-37915111414</v>
      </c>
      <c r="D278" s="3">
        <v>74019652803</v>
      </c>
      <c r="E278" s="3">
        <v>1198228261692</v>
      </c>
      <c r="F278" s="3">
        <v>782630639174</v>
      </c>
      <c r="G278" s="3">
        <v>1108260861956</v>
      </c>
      <c r="H278" s="3">
        <v>1025566489847</v>
      </c>
      <c r="I278" s="3">
        <v>89967399736</v>
      </c>
      <c r="J278" s="3">
        <v>-277259414013</v>
      </c>
      <c r="K278" s="3">
        <v>-242935850673</v>
      </c>
      <c r="M278" s="3">
        <v>813265224722</v>
      </c>
      <c r="N278" s="3">
        <v>-108355048625</v>
      </c>
      <c r="O278" s="3">
        <v>739453592828</v>
      </c>
      <c r="P278">
        <f t="shared" si="70"/>
        <v>-2.211748884879269</v>
      </c>
      <c r="Q278">
        <f t="shared" si="71"/>
        <v>1</v>
      </c>
      <c r="R278" t="str">
        <f t="shared" si="62"/>
        <v>Distress</v>
      </c>
      <c r="S278">
        <f t="shared" si="72"/>
        <v>-0.20274588610516828</v>
      </c>
      <c r="T278">
        <f t="shared" si="73"/>
        <v>-0.23139114881290329</v>
      </c>
      <c r="U278">
        <f t="shared" si="74"/>
        <v>-3.1642644916804623E-2</v>
      </c>
      <c r="V278">
        <f t="shared" si="75"/>
        <v>8.1178901849167595E-2</v>
      </c>
      <c r="X278" s="13">
        <f t="shared" si="63"/>
        <v>-2.1471618045730825</v>
      </c>
      <c r="Y278" s="10"/>
      <c r="Z278" s="10"/>
      <c r="AB278" s="10" t="str">
        <f t="shared" si="64"/>
        <v>Distress</v>
      </c>
      <c r="AC278" s="10">
        <f t="shared" si="65"/>
        <v>1</v>
      </c>
      <c r="AE278" s="10">
        <f t="shared" si="66"/>
        <v>1</v>
      </c>
      <c r="AG278" s="13">
        <f t="shared" si="67"/>
        <v>0.7310585786300049</v>
      </c>
      <c r="AH278" s="13">
        <f t="shared" si="68"/>
        <v>-0.2689414213699951</v>
      </c>
      <c r="AI278" s="10">
        <f t="shared" si="69"/>
        <v>0.19661193324148185</v>
      </c>
    </row>
    <row r="279" spans="1:35" x14ac:dyDescent="0.3">
      <c r="A279" t="s">
        <v>84</v>
      </c>
      <c r="B279">
        <v>2024</v>
      </c>
      <c r="C279" s="3">
        <v>-16488206276</v>
      </c>
      <c r="D279" s="3">
        <v>82969751274</v>
      </c>
      <c r="E279" s="3">
        <v>1241083094623</v>
      </c>
      <c r="F279" s="3">
        <v>838374529149</v>
      </c>
      <c r="G279" s="3">
        <v>1045017291687</v>
      </c>
      <c r="H279" s="3">
        <v>981036667563</v>
      </c>
      <c r="I279" s="3">
        <v>196065802936</v>
      </c>
      <c r="J279" s="3">
        <v>-163557632979</v>
      </c>
      <c r="K279" s="3">
        <v>-142662138414</v>
      </c>
      <c r="M279" s="3">
        <v>1058875659035</v>
      </c>
      <c r="N279" s="3">
        <v>-98683418057</v>
      </c>
      <c r="O279" s="3">
        <v>727807676198</v>
      </c>
      <c r="P279">
        <f t="shared" si="70"/>
        <v>-1.0759699156187781</v>
      </c>
      <c r="Q279">
        <f t="shared" si="71"/>
        <v>1</v>
      </c>
      <c r="R279" t="str">
        <f t="shared" si="62"/>
        <v>Distress</v>
      </c>
      <c r="S279">
        <f t="shared" si="72"/>
        <v>-0.11494970726141109</v>
      </c>
      <c r="T279">
        <f t="shared" si="73"/>
        <v>-0.13178620648981074</v>
      </c>
      <c r="U279">
        <f t="shared" si="74"/>
        <v>-1.3285336290080215E-2</v>
      </c>
      <c r="V279">
        <f t="shared" si="75"/>
        <v>0.18761967337352439</v>
      </c>
      <c r="X279" s="13">
        <f t="shared" si="63"/>
        <v>-1.190716510821733</v>
      </c>
      <c r="Y279" s="10"/>
      <c r="Z279" s="10"/>
      <c r="AB279" s="10" t="str">
        <f t="shared" si="64"/>
        <v>Distress</v>
      </c>
      <c r="AC279" s="10">
        <f t="shared" si="65"/>
        <v>1</v>
      </c>
      <c r="AE279" s="10">
        <f t="shared" si="66"/>
        <v>1</v>
      </c>
      <c r="AG279" s="13">
        <f t="shared" si="67"/>
        <v>0.7310585786300049</v>
      </c>
      <c r="AH279" s="13">
        <f t="shared" si="68"/>
        <v>-0.2689414213699951</v>
      </c>
      <c r="AI279" s="10">
        <f t="shared" si="69"/>
        <v>0.19661193324148185</v>
      </c>
    </row>
    <row r="280" spans="1:35" x14ac:dyDescent="0.3">
      <c r="A280" t="s">
        <v>84</v>
      </c>
      <c r="B280">
        <v>2023</v>
      </c>
      <c r="C280" s="3">
        <v>28606608848</v>
      </c>
      <c r="D280" s="3">
        <v>69932327830</v>
      </c>
      <c r="E280" s="3">
        <v>1476872833252</v>
      </c>
      <c r="F280" s="3">
        <v>1087226644853</v>
      </c>
      <c r="G280" s="3">
        <v>1202948785324</v>
      </c>
      <c r="H280" s="3">
        <v>1134459582927</v>
      </c>
      <c r="I280" s="3">
        <v>273924047928</v>
      </c>
      <c r="J280" s="3">
        <v>-68584358484</v>
      </c>
      <c r="K280" s="3">
        <v>-47232938074</v>
      </c>
      <c r="M280" s="3">
        <v>1263343722079</v>
      </c>
      <c r="N280" s="3">
        <v>-57836592852</v>
      </c>
      <c r="O280" s="3">
        <v>797787961359</v>
      </c>
      <c r="P280">
        <f t="shared" si="70"/>
        <v>8.0695676524295823E-3</v>
      </c>
      <c r="Q280">
        <f t="shared" si="71"/>
        <v>1</v>
      </c>
      <c r="R280" t="str">
        <f t="shared" si="62"/>
        <v>Distress</v>
      </c>
      <c r="S280">
        <f t="shared" si="72"/>
        <v>-3.1981723145381065E-2</v>
      </c>
      <c r="T280">
        <f t="shared" si="73"/>
        <v>-4.6438905869086021E-2</v>
      </c>
      <c r="U280">
        <f t="shared" si="74"/>
        <v>1.9369717015519664E-2</v>
      </c>
      <c r="V280">
        <f t="shared" si="75"/>
        <v>0.22771048216672152</v>
      </c>
      <c r="X280" s="13">
        <f t="shared" si="63"/>
        <v>-0.24419925369088383</v>
      </c>
      <c r="Y280" s="10"/>
      <c r="Z280" s="10"/>
      <c r="AB280" s="10" t="str">
        <f t="shared" si="64"/>
        <v>Distress</v>
      </c>
      <c r="AC280" s="10">
        <f t="shared" si="65"/>
        <v>1</v>
      </c>
      <c r="AE280" s="10">
        <f t="shared" si="66"/>
        <v>1</v>
      </c>
      <c r="AG280" s="13">
        <f t="shared" si="67"/>
        <v>0.7310585786300049</v>
      </c>
      <c r="AH280" s="13">
        <f t="shared" si="68"/>
        <v>-0.2689414213699951</v>
      </c>
      <c r="AI280" s="10">
        <f t="shared" si="69"/>
        <v>0.19661193324148185</v>
      </c>
    </row>
    <row r="281" spans="1:35" x14ac:dyDescent="0.3">
      <c r="A281" t="s">
        <v>84</v>
      </c>
      <c r="B281">
        <v>2022</v>
      </c>
      <c r="C281" s="3">
        <v>-38333897486</v>
      </c>
      <c r="D281" s="3">
        <v>59737861542</v>
      </c>
      <c r="E281" s="3">
        <v>1554795974228</v>
      </c>
      <c r="F281" s="3">
        <v>1195742475346</v>
      </c>
      <c r="G281" s="3">
        <v>1257313269665</v>
      </c>
      <c r="H281" s="3">
        <v>1193566677089</v>
      </c>
      <c r="I281" s="3">
        <v>297482704563</v>
      </c>
      <c r="J281" s="3">
        <v>-9043486400</v>
      </c>
      <c r="K281" s="3">
        <v>2175798257</v>
      </c>
      <c r="M281" s="3">
        <v>1439149115038</v>
      </c>
      <c r="N281" s="3">
        <v>-113952927004</v>
      </c>
      <c r="O281" s="3">
        <v>835168314280</v>
      </c>
      <c r="P281">
        <f t="shared" si="70"/>
        <v>7.2966963037381455E-2</v>
      </c>
      <c r="Q281">
        <f t="shared" si="71"/>
        <v>1</v>
      </c>
      <c r="R281" t="str">
        <f t="shared" si="62"/>
        <v>Distress</v>
      </c>
      <c r="S281">
        <f t="shared" si="72"/>
        <v>1.3994107864090304E-3</v>
      </c>
      <c r="T281">
        <f t="shared" si="73"/>
        <v>-5.8165100436990431E-3</v>
      </c>
      <c r="U281">
        <f t="shared" si="74"/>
        <v>-2.4655259031677042E-2</v>
      </c>
      <c r="V281">
        <f t="shared" si="75"/>
        <v>0.2366018968703493</v>
      </c>
      <c r="X281" s="13">
        <f t="shared" si="63"/>
        <v>-0.11961259213634934</v>
      </c>
      <c r="Y281" s="10"/>
      <c r="Z281" s="10"/>
      <c r="AB281" s="10" t="str">
        <f t="shared" si="64"/>
        <v>Distress</v>
      </c>
      <c r="AC281" s="10">
        <f t="shared" si="65"/>
        <v>1</v>
      </c>
      <c r="AE281" s="10">
        <f t="shared" si="66"/>
        <v>1</v>
      </c>
      <c r="AG281" s="13">
        <f t="shared" si="67"/>
        <v>0.7310585786300049</v>
      </c>
      <c r="AH281" s="13">
        <f t="shared" si="68"/>
        <v>-0.2689414213699951</v>
      </c>
      <c r="AI281" s="10">
        <f t="shared" si="69"/>
        <v>0.19661193324148185</v>
      </c>
    </row>
    <row r="282" spans="1:35" x14ac:dyDescent="0.3">
      <c r="A282" t="s">
        <v>85</v>
      </c>
      <c r="B282">
        <v>2025</v>
      </c>
      <c r="C282" s="3">
        <v>24106055000000</v>
      </c>
      <c r="D282" s="3">
        <v>4068360000000</v>
      </c>
      <c r="E282" s="3">
        <v>217981765000000</v>
      </c>
      <c r="F282" s="3">
        <v>90391256000000</v>
      </c>
      <c r="G282" s="3">
        <v>97746518000000</v>
      </c>
      <c r="H282" s="3">
        <v>42399644000000</v>
      </c>
      <c r="I282" s="3">
        <v>73147337000000</v>
      </c>
      <c r="J282" s="3">
        <v>61459220000000</v>
      </c>
      <c r="K282" s="3">
        <v>47991612000000</v>
      </c>
      <c r="M282" s="3">
        <v>123493214000000</v>
      </c>
      <c r="N282" s="3">
        <v>10684653000000</v>
      </c>
      <c r="O282" s="3">
        <v>74958517000000</v>
      </c>
      <c r="P282">
        <f t="shared" si="70"/>
        <v>3.8923197765883417</v>
      </c>
      <c r="Q282">
        <f t="shared" si="71"/>
        <v>0</v>
      </c>
      <c r="R282" t="str">
        <f t="shared" si="62"/>
        <v>Safe</v>
      </c>
      <c r="S282">
        <f t="shared" si="72"/>
        <v>0.22016342513787793</v>
      </c>
      <c r="T282">
        <f t="shared" si="73"/>
        <v>0.28194661145165056</v>
      </c>
      <c r="U282">
        <f t="shared" si="74"/>
        <v>0.11058748423291279</v>
      </c>
      <c r="V282">
        <f t="shared" si="75"/>
        <v>0.7483370098155312</v>
      </c>
      <c r="X282" s="13">
        <f t="shared" si="63"/>
        <v>2.8368361465705365</v>
      </c>
      <c r="Y282" s="10"/>
      <c r="Z282" s="10"/>
      <c r="AB282" s="10" t="str">
        <f t="shared" si="64"/>
        <v>Non-Distress</v>
      </c>
      <c r="AC282" s="10">
        <f t="shared" si="65"/>
        <v>0</v>
      </c>
      <c r="AE282" s="10">
        <f t="shared" si="66"/>
        <v>0</v>
      </c>
      <c r="AG282" s="13">
        <f t="shared" si="67"/>
        <v>0.5</v>
      </c>
      <c r="AH282" s="13">
        <f t="shared" si="68"/>
        <v>0.5</v>
      </c>
      <c r="AI282" s="10">
        <f t="shared" si="69"/>
        <v>0.25</v>
      </c>
    </row>
    <row r="283" spans="1:35" x14ac:dyDescent="0.3">
      <c r="A283" t="s">
        <v>85</v>
      </c>
      <c r="B283">
        <v>2024</v>
      </c>
      <c r="C283" s="3">
        <v>20866631000000</v>
      </c>
      <c r="D283" s="3">
        <v>3826849000000</v>
      </c>
      <c r="E283" s="3">
        <v>201713313000000</v>
      </c>
      <c r="F283" s="3">
        <v>79765476000000</v>
      </c>
      <c r="G283" s="3">
        <v>92722030000000</v>
      </c>
      <c r="H283" s="3">
        <v>37094061000000</v>
      </c>
      <c r="I283" s="3">
        <v>65113504000000</v>
      </c>
      <c r="J283" s="3">
        <v>53396455000000</v>
      </c>
      <c r="K283" s="3">
        <v>42671415000000</v>
      </c>
      <c r="M283" s="3">
        <v>115786525000000</v>
      </c>
      <c r="N283" s="3">
        <v>8641612000000</v>
      </c>
      <c r="O283" s="3">
        <v>71025404000000</v>
      </c>
      <c r="P283">
        <f t="shared" si="70"/>
        <v>3.6832238321776067</v>
      </c>
      <c r="Q283">
        <f t="shared" si="71"/>
        <v>0</v>
      </c>
      <c r="R283" t="str">
        <f t="shared" si="62"/>
        <v>Safe</v>
      </c>
      <c r="S283">
        <f t="shared" si="72"/>
        <v>0.21154486218765342</v>
      </c>
      <c r="T283">
        <f t="shared" si="73"/>
        <v>0.2647145803410606</v>
      </c>
      <c r="U283">
        <f t="shared" si="74"/>
        <v>0.1034469698090775</v>
      </c>
      <c r="V283">
        <f t="shared" si="75"/>
        <v>0.7022441592359443</v>
      </c>
      <c r="X283" s="13">
        <f t="shared" si="63"/>
        <v>2.6911588548493821</v>
      </c>
      <c r="Y283" s="10"/>
      <c r="Z283" s="10"/>
      <c r="AB283" s="10" t="str">
        <f t="shared" si="64"/>
        <v>Non-Distress</v>
      </c>
      <c r="AC283" s="10">
        <f t="shared" si="65"/>
        <v>0</v>
      </c>
      <c r="AE283" s="10">
        <f t="shared" si="66"/>
        <v>0</v>
      </c>
      <c r="AG283" s="13">
        <f t="shared" si="67"/>
        <v>0.5</v>
      </c>
      <c r="AH283" s="13">
        <f t="shared" si="68"/>
        <v>0.5</v>
      </c>
      <c r="AI283" s="10">
        <f t="shared" si="69"/>
        <v>0.25</v>
      </c>
    </row>
    <row r="284" spans="1:35" x14ac:dyDescent="0.3">
      <c r="A284" t="s">
        <v>85</v>
      </c>
      <c r="B284">
        <v>2023</v>
      </c>
      <c r="C284" s="3">
        <v>19140009000000</v>
      </c>
      <c r="D284" s="3">
        <v>3524625000000</v>
      </c>
      <c r="E284" s="3">
        <v>186587957000000</v>
      </c>
      <c r="F284" s="3">
        <v>63101797000000</v>
      </c>
      <c r="G284" s="3">
        <v>86123066000000</v>
      </c>
      <c r="H284" s="3">
        <v>32914504000000</v>
      </c>
      <c r="I284" s="3">
        <v>59193013000000</v>
      </c>
      <c r="J284" s="3">
        <v>47029083000000</v>
      </c>
      <c r="K284" s="3">
        <v>30187293000000</v>
      </c>
      <c r="M284" s="3">
        <v>111703611000000</v>
      </c>
      <c r="N284" s="3">
        <v>8147019000000</v>
      </c>
      <c r="O284" s="3">
        <v>64692665000000</v>
      </c>
      <c r="P284">
        <f t="shared" si="70"/>
        <v>3.2939947120516977</v>
      </c>
      <c r="Q284">
        <f t="shared" si="71"/>
        <v>0</v>
      </c>
      <c r="R284" t="str">
        <f t="shared" si="62"/>
        <v>Safe</v>
      </c>
      <c r="S284">
        <f t="shared" si="72"/>
        <v>0.1617858595236133</v>
      </c>
      <c r="T284">
        <f t="shared" si="73"/>
        <v>0.25204779427431107</v>
      </c>
      <c r="U284">
        <f t="shared" si="74"/>
        <v>0.10257901585792056</v>
      </c>
      <c r="V284">
        <f t="shared" si="75"/>
        <v>0.68730731207363194</v>
      </c>
      <c r="X284" s="13">
        <f t="shared" si="63"/>
        <v>2.3406770812563749</v>
      </c>
      <c r="Y284" s="10"/>
      <c r="Z284" s="10"/>
      <c r="AB284" s="10" t="str">
        <f t="shared" si="64"/>
        <v>Non-Distress</v>
      </c>
      <c r="AC284" s="10">
        <f t="shared" si="65"/>
        <v>0</v>
      </c>
      <c r="AE284" s="10">
        <f t="shared" si="66"/>
        <v>0</v>
      </c>
      <c r="AG284" s="13">
        <f t="shared" si="67"/>
        <v>0.5</v>
      </c>
      <c r="AH284" s="13">
        <f t="shared" si="68"/>
        <v>0.5</v>
      </c>
      <c r="AI284" s="10">
        <f t="shared" si="69"/>
        <v>0.25</v>
      </c>
    </row>
    <row r="285" spans="1:35" x14ac:dyDescent="0.3">
      <c r="A285" t="s">
        <v>85</v>
      </c>
      <c r="B285">
        <v>2022</v>
      </c>
      <c r="C285" s="3">
        <v>15524858000000</v>
      </c>
      <c r="D285" s="3">
        <v>3206093000000</v>
      </c>
      <c r="E285" s="3">
        <v>180433300000000</v>
      </c>
      <c r="F285" s="3">
        <v>54876668000000</v>
      </c>
      <c r="G285" s="3">
        <v>86810262000000</v>
      </c>
      <c r="H285" s="3">
        <v>30725942000000</v>
      </c>
      <c r="I285" s="3">
        <v>53843836000000</v>
      </c>
      <c r="J285" s="3">
        <v>41168161000000</v>
      </c>
      <c r="K285" s="3">
        <v>24150726000000</v>
      </c>
      <c r="M285" s="3">
        <v>110830272000000</v>
      </c>
      <c r="N285" s="3">
        <v>6359094000000</v>
      </c>
      <c r="O285" s="3">
        <v>66249057000000</v>
      </c>
      <c r="P285">
        <f t="shared" si="70"/>
        <v>2.8513193265266961</v>
      </c>
      <c r="Q285">
        <f t="shared" si="71"/>
        <v>0</v>
      </c>
      <c r="R285" t="str">
        <f t="shared" si="62"/>
        <v>Safe</v>
      </c>
      <c r="S285">
        <f t="shared" si="72"/>
        <v>0.133848496923794</v>
      </c>
      <c r="T285">
        <f t="shared" si="73"/>
        <v>0.22816276707237523</v>
      </c>
      <c r="U285">
        <f t="shared" si="74"/>
        <v>8.6042088683186524E-2</v>
      </c>
      <c r="V285">
        <f t="shared" si="75"/>
        <v>0.62024736199966779</v>
      </c>
      <c r="X285" s="13">
        <f t="shared" si="63"/>
        <v>2.0087639220689399</v>
      </c>
      <c r="Y285" s="10"/>
      <c r="Z285" s="10"/>
      <c r="AB285" s="10" t="str">
        <f t="shared" si="64"/>
        <v>Non-Distress</v>
      </c>
      <c r="AC285" s="10">
        <f t="shared" si="65"/>
        <v>0</v>
      </c>
      <c r="AE285" s="10">
        <f t="shared" si="66"/>
        <v>0</v>
      </c>
      <c r="AG285" s="13">
        <f t="shared" si="67"/>
        <v>0.5</v>
      </c>
      <c r="AH285" s="13">
        <f t="shared" si="68"/>
        <v>0.5</v>
      </c>
      <c r="AI285" s="10">
        <f t="shared" si="69"/>
        <v>0.25</v>
      </c>
    </row>
    <row r="286" spans="1:35" x14ac:dyDescent="0.3">
      <c r="A286" t="s">
        <v>86</v>
      </c>
      <c r="B286">
        <v>2025</v>
      </c>
      <c r="C286" s="3">
        <v>-10654965</v>
      </c>
      <c r="D286" s="3">
        <v>5453200</v>
      </c>
      <c r="E286" s="3">
        <v>778504329</v>
      </c>
      <c r="F286" s="3">
        <v>291044428</v>
      </c>
      <c r="G286" s="3">
        <v>394996451</v>
      </c>
      <c r="H286" s="3">
        <v>289998849</v>
      </c>
      <c r="I286" s="3">
        <v>375053593</v>
      </c>
      <c r="J286" s="3">
        <v>218510823</v>
      </c>
      <c r="K286" s="3">
        <v>1045579</v>
      </c>
      <c r="M286" s="3">
        <v>778767632</v>
      </c>
      <c r="N286" s="3">
        <v>-16164165</v>
      </c>
      <c r="O286" s="3">
        <v>126060765</v>
      </c>
      <c r="P286">
        <f t="shared" si="70"/>
        <v>1.8288421172829565</v>
      </c>
      <c r="Q286">
        <f t="shared" si="71"/>
        <v>0</v>
      </c>
      <c r="R286" t="str">
        <f t="shared" si="62"/>
        <v>Grey Area</v>
      </c>
      <c r="S286">
        <f t="shared" si="72"/>
        <v>1.3430612535489188E-3</v>
      </c>
      <c r="T286">
        <f t="shared" si="73"/>
        <v>0.28068029278742779</v>
      </c>
      <c r="U286">
        <f t="shared" si="74"/>
        <v>-1.3686455685720406E-2</v>
      </c>
      <c r="V286">
        <f t="shared" si="75"/>
        <v>0.9495112982673356</v>
      </c>
      <c r="X286" s="13">
        <f t="shared" si="63"/>
        <v>0.9027531933143319</v>
      </c>
      <c r="Y286" s="10"/>
      <c r="Z286" s="10"/>
      <c r="AB286" s="10" t="str">
        <f t="shared" si="64"/>
        <v>Non-Distress</v>
      </c>
      <c r="AC286" s="10">
        <f t="shared" si="65"/>
        <v>0</v>
      </c>
      <c r="AE286" s="10">
        <f t="shared" si="66"/>
        <v>0</v>
      </c>
      <c r="AG286" s="13">
        <f t="shared" si="67"/>
        <v>0.5</v>
      </c>
      <c r="AH286" s="13">
        <f t="shared" si="68"/>
        <v>0.5</v>
      </c>
      <c r="AI286" s="10">
        <f t="shared" si="69"/>
        <v>0.25</v>
      </c>
    </row>
    <row r="287" spans="1:35" x14ac:dyDescent="0.3">
      <c r="A287" t="s">
        <v>86</v>
      </c>
      <c r="B287">
        <v>2024</v>
      </c>
      <c r="C287" s="3">
        <v>-15603884</v>
      </c>
      <c r="D287" s="3">
        <v>6745977</v>
      </c>
      <c r="E287" s="3">
        <v>784941331</v>
      </c>
      <c r="F287" s="3">
        <v>290923956</v>
      </c>
      <c r="G287" s="3">
        <v>382681681</v>
      </c>
      <c r="H287" s="3">
        <v>272504562</v>
      </c>
      <c r="I287" s="3">
        <v>395617248</v>
      </c>
      <c r="J287" s="3">
        <v>236396803</v>
      </c>
      <c r="K287" s="3">
        <v>18419394</v>
      </c>
      <c r="M287" s="3">
        <v>877660037</v>
      </c>
      <c r="N287" s="3">
        <v>-16242999</v>
      </c>
      <c r="O287" s="3">
        <v>118233377</v>
      </c>
      <c r="P287">
        <f t="shared" si="70"/>
        <v>2.0876396710754932</v>
      </c>
      <c r="Q287">
        <f t="shared" si="71"/>
        <v>0</v>
      </c>
      <c r="R287" t="str">
        <f t="shared" si="62"/>
        <v>Grey Area</v>
      </c>
      <c r="S287">
        <f t="shared" si="72"/>
        <v>2.346594996664789E-2</v>
      </c>
      <c r="T287">
        <f t="shared" si="73"/>
        <v>0.3011649325419456</v>
      </c>
      <c r="U287">
        <f t="shared" si="74"/>
        <v>-1.9879044947373272E-2</v>
      </c>
      <c r="V287">
        <f t="shared" si="75"/>
        <v>1.0338024202417988</v>
      </c>
      <c r="X287" s="13">
        <f t="shared" si="63"/>
        <v>1.0787733642634327</v>
      </c>
      <c r="Y287" s="10"/>
      <c r="Z287" s="10"/>
      <c r="AB287" s="10" t="str">
        <f t="shared" si="64"/>
        <v>Non-Distress</v>
      </c>
      <c r="AC287" s="10">
        <f t="shared" si="65"/>
        <v>0</v>
      </c>
      <c r="AE287" s="10">
        <f t="shared" si="66"/>
        <v>0</v>
      </c>
      <c r="AG287" s="13">
        <f t="shared" si="67"/>
        <v>0.5</v>
      </c>
      <c r="AH287" s="13">
        <f t="shared" si="68"/>
        <v>0.5</v>
      </c>
      <c r="AI287" s="10">
        <f t="shared" si="69"/>
        <v>0.25</v>
      </c>
    </row>
    <row r="288" spans="1:35" x14ac:dyDescent="0.3">
      <c r="A288" t="s">
        <v>86</v>
      </c>
      <c r="B288">
        <v>2023</v>
      </c>
      <c r="C288" s="3">
        <v>-44747753</v>
      </c>
      <c r="D288" s="3">
        <v>6343601</v>
      </c>
      <c r="E288" s="3">
        <v>830622828</v>
      </c>
      <c r="F288" s="3">
        <v>315979195</v>
      </c>
      <c r="G288" s="3">
        <v>411848044</v>
      </c>
      <c r="H288" s="3">
        <v>311032243</v>
      </c>
      <c r="I288" s="3">
        <v>412767282</v>
      </c>
      <c r="J288" s="3">
        <v>255196627</v>
      </c>
      <c r="K288" s="3">
        <v>4946952</v>
      </c>
      <c r="M288" s="3">
        <v>785598037</v>
      </c>
      <c r="N288" s="3">
        <v>-40806535</v>
      </c>
      <c r="O288" s="3">
        <v>117787802</v>
      </c>
      <c r="P288">
        <f t="shared" si="70"/>
        <v>1.7309766395767472</v>
      </c>
      <c r="Q288">
        <f t="shared" si="71"/>
        <v>0</v>
      </c>
      <c r="R288" t="str">
        <f t="shared" si="62"/>
        <v>Grey Area</v>
      </c>
      <c r="S288">
        <f t="shared" si="72"/>
        <v>5.9557139934516704E-3</v>
      </c>
      <c r="T288">
        <f t="shared" si="73"/>
        <v>0.30723526779834659</v>
      </c>
      <c r="U288">
        <f t="shared" si="74"/>
        <v>-5.387252973500025E-2</v>
      </c>
      <c r="V288">
        <f t="shared" si="75"/>
        <v>1.0022319834059963</v>
      </c>
      <c r="X288" s="13">
        <f t="shared" si="63"/>
        <v>0.82585365303338498</v>
      </c>
      <c r="Y288" s="10"/>
      <c r="Z288" s="10"/>
      <c r="AB288" s="10" t="str">
        <f t="shared" si="64"/>
        <v>Non-Distress</v>
      </c>
      <c r="AC288" s="10">
        <f t="shared" si="65"/>
        <v>0</v>
      </c>
      <c r="AE288" s="10">
        <f t="shared" si="66"/>
        <v>0</v>
      </c>
      <c r="AG288" s="13">
        <f t="shared" si="67"/>
        <v>0.5</v>
      </c>
      <c r="AH288" s="13">
        <f t="shared" si="68"/>
        <v>0.5</v>
      </c>
      <c r="AI288" s="10">
        <f t="shared" si="69"/>
        <v>0.25</v>
      </c>
    </row>
    <row r="289" spans="1:35" x14ac:dyDescent="0.3">
      <c r="A289" t="s">
        <v>86</v>
      </c>
      <c r="B289">
        <v>2022</v>
      </c>
      <c r="C289" s="3">
        <v>53377032</v>
      </c>
      <c r="D289" s="3">
        <v>1391938</v>
      </c>
      <c r="E289" s="3">
        <v>869800216</v>
      </c>
      <c r="F289" s="3">
        <v>362709546</v>
      </c>
      <c r="G289" s="3">
        <v>404643537</v>
      </c>
      <c r="H289" s="3">
        <v>261592898</v>
      </c>
      <c r="I289" s="3">
        <v>461009205</v>
      </c>
      <c r="J289" s="3">
        <v>306455673</v>
      </c>
      <c r="K289" s="3">
        <v>101116648</v>
      </c>
      <c r="M289" s="3">
        <v>936141382</v>
      </c>
      <c r="N289" s="3">
        <v>42537982</v>
      </c>
      <c r="O289" s="3">
        <v>131671127</v>
      </c>
      <c r="P289">
        <f t="shared" si="70"/>
        <v>3.5198580123641783</v>
      </c>
      <c r="Q289">
        <f t="shared" si="71"/>
        <v>0</v>
      </c>
      <c r="R289" t="str">
        <f t="shared" si="62"/>
        <v>Safe</v>
      </c>
      <c r="S289">
        <f t="shared" si="72"/>
        <v>0.11625272808623906</v>
      </c>
      <c r="T289">
        <f t="shared" si="73"/>
        <v>0.35232880765345775</v>
      </c>
      <c r="U289">
        <f t="shared" si="74"/>
        <v>6.1367002465770829E-2</v>
      </c>
      <c r="V289">
        <f t="shared" si="75"/>
        <v>1.1392970919982839</v>
      </c>
      <c r="X289" s="13">
        <f t="shared" si="63"/>
        <v>2.2111234054590692</v>
      </c>
      <c r="Y289" s="10"/>
      <c r="Z289" s="10"/>
      <c r="AB289" s="10" t="str">
        <f t="shared" si="64"/>
        <v>Non-Distress</v>
      </c>
      <c r="AC289" s="10">
        <f t="shared" si="65"/>
        <v>0</v>
      </c>
      <c r="AE289" s="10">
        <f t="shared" si="66"/>
        <v>0</v>
      </c>
      <c r="AG289" s="13">
        <f t="shared" si="67"/>
        <v>0.5</v>
      </c>
      <c r="AH289" s="13">
        <f t="shared" si="68"/>
        <v>0.5</v>
      </c>
      <c r="AI289" s="10">
        <f t="shared" si="69"/>
        <v>0.25</v>
      </c>
    </row>
    <row r="290" spans="1:35" x14ac:dyDescent="0.3">
      <c r="A290" t="s">
        <v>87</v>
      </c>
      <c r="B290">
        <v>2025</v>
      </c>
      <c r="C290" s="3">
        <v>159222046055</v>
      </c>
      <c r="D290" s="3">
        <v>13502105546</v>
      </c>
      <c r="E290" s="3">
        <v>4461919696546</v>
      </c>
      <c r="F290" s="3">
        <v>1853141305658</v>
      </c>
      <c r="G290" s="3">
        <v>894558167685</v>
      </c>
      <c r="H290" s="3">
        <v>640899091657</v>
      </c>
      <c r="I290" s="3">
        <v>3390174417938</v>
      </c>
      <c r="J290" s="3">
        <v>1139938819742</v>
      </c>
      <c r="K290" s="3">
        <v>1212242214001</v>
      </c>
      <c r="M290" s="3">
        <v>3303153475980</v>
      </c>
      <c r="N290" s="3">
        <v>77237333131</v>
      </c>
      <c r="O290" s="3">
        <v>270664670506</v>
      </c>
      <c r="P290">
        <f t="shared" si="70"/>
        <v>6.8341969936477742</v>
      </c>
      <c r="Q290">
        <f t="shared" si="71"/>
        <v>0</v>
      </c>
      <c r="R290" t="str">
        <f t="shared" si="62"/>
        <v>Safe</v>
      </c>
      <c r="S290">
        <f t="shared" si="72"/>
        <v>0.27168624637942368</v>
      </c>
      <c r="T290">
        <f t="shared" si="73"/>
        <v>0.2554816978495677</v>
      </c>
      <c r="U290">
        <f t="shared" si="74"/>
        <v>3.5684650752064138E-2</v>
      </c>
      <c r="V290">
        <f t="shared" si="75"/>
        <v>3.7897752660526591</v>
      </c>
      <c r="X290" s="13">
        <f t="shared" si="63"/>
        <v>2.8333278144113834</v>
      </c>
      <c r="Y290" s="10"/>
      <c r="Z290" s="10"/>
      <c r="AB290" s="10" t="str">
        <f t="shared" si="64"/>
        <v>Non-Distress</v>
      </c>
      <c r="AC290" s="10">
        <f t="shared" si="65"/>
        <v>0</v>
      </c>
      <c r="AE290" s="10">
        <f t="shared" si="66"/>
        <v>0</v>
      </c>
      <c r="AG290" s="13">
        <f t="shared" si="67"/>
        <v>0.5</v>
      </c>
      <c r="AH290" s="13">
        <f t="shared" si="68"/>
        <v>0.5</v>
      </c>
      <c r="AI290" s="10">
        <f t="shared" si="69"/>
        <v>0.25</v>
      </c>
    </row>
    <row r="291" spans="1:35" x14ac:dyDescent="0.3">
      <c r="A291" t="s">
        <v>87</v>
      </c>
      <c r="B291">
        <v>2024</v>
      </c>
      <c r="C291" s="3">
        <v>130528184810</v>
      </c>
      <c r="D291" s="3">
        <v>19288492844</v>
      </c>
      <c r="E291" s="3">
        <v>4255811894871</v>
      </c>
      <c r="F291" s="3">
        <v>1594628645319</v>
      </c>
      <c r="G291" s="3">
        <v>739038995061</v>
      </c>
      <c r="H291" s="3">
        <v>465366653800</v>
      </c>
      <c r="I291" s="3">
        <v>3360495963892</v>
      </c>
      <c r="J291" s="3">
        <v>1110226847518</v>
      </c>
      <c r="K291" s="3">
        <v>1129261991519</v>
      </c>
      <c r="M291" s="3">
        <v>3165028322638</v>
      </c>
      <c r="N291" s="3">
        <v>69599052255</v>
      </c>
      <c r="O291" s="3">
        <v>206813780383</v>
      </c>
      <c r="P291">
        <f t="shared" si="70"/>
        <v>7.5716929715947305</v>
      </c>
      <c r="Q291">
        <f t="shared" si="71"/>
        <v>0</v>
      </c>
      <c r="R291" t="str">
        <f t="shared" si="62"/>
        <v>Safe</v>
      </c>
      <c r="S291">
        <f t="shared" si="72"/>
        <v>0.26534584220697321</v>
      </c>
      <c r="T291">
        <f t="shared" si="73"/>
        <v>0.26087310128909086</v>
      </c>
      <c r="U291">
        <f t="shared" si="74"/>
        <v>3.0670571922436083E-2</v>
      </c>
      <c r="V291">
        <f t="shared" si="75"/>
        <v>4.547115898281695</v>
      </c>
      <c r="X291" s="13">
        <f t="shared" si="63"/>
        <v>2.8205265595845166</v>
      </c>
      <c r="Y291" s="10"/>
      <c r="Z291" s="10"/>
      <c r="AB291" s="10" t="str">
        <f t="shared" si="64"/>
        <v>Non-Distress</v>
      </c>
      <c r="AC291" s="10">
        <f t="shared" si="65"/>
        <v>0</v>
      </c>
      <c r="AE291" s="10">
        <f t="shared" si="66"/>
        <v>0</v>
      </c>
      <c r="AG291" s="13">
        <f t="shared" si="67"/>
        <v>0.5</v>
      </c>
      <c r="AH291" s="13">
        <f t="shared" si="68"/>
        <v>0.5</v>
      </c>
      <c r="AI291" s="10">
        <f t="shared" si="69"/>
        <v>0.25</v>
      </c>
    </row>
    <row r="292" spans="1:35" x14ac:dyDescent="0.3">
      <c r="A292" t="s">
        <v>87</v>
      </c>
      <c r="B292">
        <v>2023</v>
      </c>
      <c r="C292" s="3">
        <v>279907294252</v>
      </c>
      <c r="D292" s="3">
        <v>27065870938</v>
      </c>
      <c r="E292" s="3">
        <v>4459381724679</v>
      </c>
      <c r="F292" s="3">
        <v>1739751164675</v>
      </c>
      <c r="G292" s="3">
        <v>968594117624</v>
      </c>
      <c r="H292" s="3">
        <v>665187653343</v>
      </c>
      <c r="I292" s="3">
        <v>3348925349593</v>
      </c>
      <c r="J292" s="3">
        <v>1097460429115</v>
      </c>
      <c r="K292" s="3">
        <v>1074563511332</v>
      </c>
      <c r="M292" s="3">
        <v>3802563221254</v>
      </c>
      <c r="N292" s="3">
        <v>182929383432</v>
      </c>
      <c r="O292" s="3">
        <v>396260656889</v>
      </c>
      <c r="P292">
        <f t="shared" si="70"/>
        <v>6.4352231845992165</v>
      </c>
      <c r="Q292">
        <f t="shared" si="71"/>
        <v>0</v>
      </c>
      <c r="R292" t="str">
        <f t="shared" si="62"/>
        <v>Safe</v>
      </c>
      <c r="S292">
        <f t="shared" si="72"/>
        <v>0.24096692718301668</v>
      </c>
      <c r="T292">
        <f t="shared" si="73"/>
        <v>0.2461014770369313</v>
      </c>
      <c r="U292">
        <f t="shared" si="74"/>
        <v>6.2768184365770696E-2</v>
      </c>
      <c r="V292">
        <f t="shared" si="75"/>
        <v>3.4575115506669061</v>
      </c>
      <c r="X292" s="13">
        <f t="shared" si="63"/>
        <v>2.7315663435189292</v>
      </c>
      <c r="Y292" s="10"/>
      <c r="Z292" s="10"/>
      <c r="AB292" s="10" t="str">
        <f t="shared" si="64"/>
        <v>Non-Distress</v>
      </c>
      <c r="AC292" s="10">
        <f t="shared" si="65"/>
        <v>0</v>
      </c>
      <c r="AE292" s="10">
        <f t="shared" si="66"/>
        <v>0</v>
      </c>
      <c r="AG292" s="13">
        <f t="shared" si="67"/>
        <v>0.5</v>
      </c>
      <c r="AH292" s="13">
        <f t="shared" si="68"/>
        <v>0.5</v>
      </c>
      <c r="AI292" s="10">
        <f t="shared" si="69"/>
        <v>0.25</v>
      </c>
    </row>
    <row r="293" spans="1:35" x14ac:dyDescent="0.3">
      <c r="A293" t="s">
        <v>87</v>
      </c>
      <c r="B293">
        <v>2022</v>
      </c>
      <c r="C293" s="3">
        <v>319737144397</v>
      </c>
      <c r="D293" s="3">
        <v>22658820755</v>
      </c>
      <c r="E293" s="3">
        <v>3882465049707</v>
      </c>
      <c r="F293" s="3">
        <v>1717891175942</v>
      </c>
      <c r="G293" s="3">
        <v>900110128340</v>
      </c>
      <c r="H293" s="3">
        <v>678454463993</v>
      </c>
      <c r="I293" s="3">
        <v>2847950114349</v>
      </c>
      <c r="J293" s="3">
        <v>961066815805</v>
      </c>
      <c r="K293" s="3">
        <v>1039436711949</v>
      </c>
      <c r="M293" s="3">
        <v>3642215794469</v>
      </c>
      <c r="N293" s="3">
        <v>210203987750</v>
      </c>
      <c r="O293" s="3">
        <v>486906772797</v>
      </c>
      <c r="P293">
        <f t="shared" si="70"/>
        <v>6.4388858325735869</v>
      </c>
      <c r="Q293">
        <f t="shared" si="71"/>
        <v>0</v>
      </c>
      <c r="R293" t="str">
        <f t="shared" si="62"/>
        <v>Safe</v>
      </c>
      <c r="S293">
        <f t="shared" si="72"/>
        <v>0.26772596755956468</v>
      </c>
      <c r="T293">
        <f t="shared" si="73"/>
        <v>0.24754036507747296</v>
      </c>
      <c r="U293">
        <f t="shared" si="74"/>
        <v>8.2354159098258925E-2</v>
      </c>
      <c r="V293">
        <f t="shared" si="75"/>
        <v>3.1640018534190291</v>
      </c>
      <c r="X293" s="13">
        <f t="shared" si="63"/>
        <v>2.9819674210064218</v>
      </c>
      <c r="Y293" s="10"/>
      <c r="Z293" s="10"/>
      <c r="AB293" s="10" t="str">
        <f t="shared" si="64"/>
        <v>Non-Distress</v>
      </c>
      <c r="AC293" s="10">
        <f t="shared" si="65"/>
        <v>0</v>
      </c>
      <c r="AE293" s="10">
        <f t="shared" si="66"/>
        <v>0</v>
      </c>
      <c r="AG293" s="13">
        <f t="shared" si="67"/>
        <v>0.5</v>
      </c>
      <c r="AH293" s="13">
        <f t="shared" si="68"/>
        <v>0.5</v>
      </c>
      <c r="AI293" s="10">
        <f t="shared" si="69"/>
        <v>0.25</v>
      </c>
    </row>
    <row r="294" spans="1:35" x14ac:dyDescent="0.3">
      <c r="A294" t="s">
        <v>88</v>
      </c>
      <c r="B294">
        <v>2025</v>
      </c>
      <c r="C294" s="3">
        <v>850856000</v>
      </c>
      <c r="D294" s="3">
        <v>302959000</v>
      </c>
      <c r="E294" s="3">
        <v>12347406000</v>
      </c>
      <c r="F294" s="3">
        <v>6133594000</v>
      </c>
      <c r="G294" s="3">
        <v>5503609000</v>
      </c>
      <c r="H294" s="3">
        <v>2272033000</v>
      </c>
      <c r="I294" s="3">
        <v>6843359000</v>
      </c>
      <c r="J294" s="3">
        <v>4577370000</v>
      </c>
      <c r="K294" s="3">
        <v>3861561000</v>
      </c>
      <c r="M294" s="3">
        <v>3171276000</v>
      </c>
      <c r="N294" s="3">
        <v>453348000</v>
      </c>
      <c r="O294" s="3">
        <v>4720853000</v>
      </c>
      <c r="P294">
        <f t="shared" si="70"/>
        <v>5.0287992226953895</v>
      </c>
      <c r="Q294">
        <f t="shared" si="71"/>
        <v>0</v>
      </c>
      <c r="R294" t="str">
        <f t="shared" si="62"/>
        <v>Safe</v>
      </c>
      <c r="S294">
        <f t="shared" si="72"/>
        <v>0.31274269267569238</v>
      </c>
      <c r="T294">
        <f t="shared" si="73"/>
        <v>0.37071511214582237</v>
      </c>
      <c r="U294">
        <f t="shared" si="74"/>
        <v>6.8909696498195658E-2</v>
      </c>
      <c r="V294">
        <f t="shared" si="75"/>
        <v>1.2434311739805644</v>
      </c>
      <c r="X294" s="13">
        <f t="shared" si="63"/>
        <v>3.5132842647909941</v>
      </c>
      <c r="Y294" s="10"/>
      <c r="Z294" s="10"/>
      <c r="AB294" s="10" t="str">
        <f t="shared" si="64"/>
        <v>Non-Distress</v>
      </c>
      <c r="AC294" s="10">
        <f t="shared" si="65"/>
        <v>0</v>
      </c>
      <c r="AE294" s="10">
        <f t="shared" si="66"/>
        <v>0</v>
      </c>
      <c r="AG294" s="13">
        <f t="shared" si="67"/>
        <v>0.5</v>
      </c>
      <c r="AH294" s="13">
        <f t="shared" si="68"/>
        <v>0.5</v>
      </c>
      <c r="AI294" s="10">
        <f t="shared" si="69"/>
        <v>0.25</v>
      </c>
    </row>
    <row r="295" spans="1:35" x14ac:dyDescent="0.3">
      <c r="A295" t="s">
        <v>88</v>
      </c>
      <c r="B295">
        <v>2024</v>
      </c>
      <c r="C295" s="3">
        <v>827759000</v>
      </c>
      <c r="D295" s="3">
        <v>300862000</v>
      </c>
      <c r="E295" s="3">
        <v>11777052000</v>
      </c>
      <c r="F295" s="3">
        <v>6240166000</v>
      </c>
      <c r="G295" s="3">
        <v>5368843000</v>
      </c>
      <c r="H295" s="3">
        <v>2321506000</v>
      </c>
      <c r="I295" s="3">
        <v>6407769000</v>
      </c>
      <c r="J295" s="3">
        <v>4150851000</v>
      </c>
      <c r="K295" s="3">
        <v>3918660000</v>
      </c>
      <c r="M295" s="3">
        <v>3195731000</v>
      </c>
      <c r="N295" s="3">
        <v>424308000</v>
      </c>
      <c r="O295" s="3">
        <v>4637356000</v>
      </c>
      <c r="P295">
        <f t="shared" si="70"/>
        <v>5.0572552352238844</v>
      </c>
      <c r="Q295">
        <f t="shared" si="71"/>
        <v>0</v>
      </c>
      <c r="R295" t="str">
        <f t="shared" si="62"/>
        <v>Safe</v>
      </c>
      <c r="S295">
        <f t="shared" si="72"/>
        <v>0.33273691922222981</v>
      </c>
      <c r="T295">
        <f t="shared" si="73"/>
        <v>0.3524524643348777</v>
      </c>
      <c r="U295">
        <f t="shared" si="74"/>
        <v>7.0285755722229976E-2</v>
      </c>
      <c r="V295">
        <f t="shared" si="75"/>
        <v>1.1935102218485436</v>
      </c>
      <c r="X295" s="13">
        <f t="shared" si="63"/>
        <v>3.5801421463149428</v>
      </c>
      <c r="Y295" s="10"/>
      <c r="Z295" s="10"/>
      <c r="AB295" s="10" t="str">
        <f t="shared" si="64"/>
        <v>Non-Distress</v>
      </c>
      <c r="AC295" s="10">
        <f t="shared" si="65"/>
        <v>0</v>
      </c>
      <c r="AE295" s="10">
        <f t="shared" si="66"/>
        <v>0</v>
      </c>
      <c r="AG295" s="13">
        <f t="shared" si="67"/>
        <v>0.5</v>
      </c>
      <c r="AH295" s="13">
        <f t="shared" si="68"/>
        <v>0.5</v>
      </c>
      <c r="AI295" s="10">
        <f t="shared" si="69"/>
        <v>0.25</v>
      </c>
    </row>
    <row r="296" spans="1:35" x14ac:dyDescent="0.3">
      <c r="A296" t="s">
        <v>88</v>
      </c>
      <c r="B296">
        <v>2023</v>
      </c>
      <c r="C296" s="3">
        <v>837598000</v>
      </c>
      <c r="D296" s="3">
        <v>287947000</v>
      </c>
      <c r="E296" s="3">
        <v>10125138000</v>
      </c>
      <c r="F296" s="3">
        <v>5623833000</v>
      </c>
      <c r="G296" s="3">
        <v>4125086000</v>
      </c>
      <c r="H296" s="3">
        <v>2122553000</v>
      </c>
      <c r="I296" s="3">
        <v>5999588000</v>
      </c>
      <c r="J296" s="3">
        <v>3753374000</v>
      </c>
      <c r="K296" s="3">
        <v>3501280000</v>
      </c>
      <c r="M296" s="3">
        <v>3479018000</v>
      </c>
      <c r="N296" s="3">
        <v>411462000</v>
      </c>
      <c r="O296" s="3">
        <v>3456098000</v>
      </c>
      <c r="P296">
        <f t="shared" si="70"/>
        <v>5.5599753314486193</v>
      </c>
      <c r="Q296">
        <f t="shared" si="71"/>
        <v>0</v>
      </c>
      <c r="R296" t="str">
        <f t="shared" si="62"/>
        <v>Safe</v>
      </c>
      <c r="S296">
        <f t="shared" si="72"/>
        <v>0.34580071896304032</v>
      </c>
      <c r="T296">
        <f t="shared" si="73"/>
        <v>0.37069855245429739</v>
      </c>
      <c r="U296">
        <f t="shared" si="74"/>
        <v>8.2724600889390348E-2</v>
      </c>
      <c r="V296">
        <f t="shared" si="75"/>
        <v>1.4544152534032018</v>
      </c>
      <c r="X296" s="13">
        <f t="shared" si="63"/>
        <v>3.7911702024144689</v>
      </c>
      <c r="Y296" s="10"/>
      <c r="Z296" s="10"/>
      <c r="AB296" s="10" t="str">
        <f t="shared" si="64"/>
        <v>Non-Distress</v>
      </c>
      <c r="AC296" s="10">
        <f t="shared" si="65"/>
        <v>0</v>
      </c>
      <c r="AE296" s="10">
        <f t="shared" si="66"/>
        <v>0</v>
      </c>
      <c r="AG296" s="13">
        <f t="shared" si="67"/>
        <v>0.5</v>
      </c>
      <c r="AH296" s="13">
        <f t="shared" si="68"/>
        <v>0.5</v>
      </c>
      <c r="AI296" s="10">
        <f t="shared" si="69"/>
        <v>0.25</v>
      </c>
    </row>
    <row r="297" spans="1:35" x14ac:dyDescent="0.3">
      <c r="A297" t="s">
        <v>88</v>
      </c>
      <c r="B297">
        <v>2022</v>
      </c>
      <c r="C297" s="3">
        <v>1293844000</v>
      </c>
      <c r="D297" s="3">
        <v>246345000</v>
      </c>
      <c r="E297" s="3">
        <v>9640721000</v>
      </c>
      <c r="F297" s="3">
        <v>5476557000</v>
      </c>
      <c r="G297" s="3">
        <v>4035517000</v>
      </c>
      <c r="H297" s="3">
        <v>2239843000</v>
      </c>
      <c r="I297" s="3">
        <v>5604701000</v>
      </c>
      <c r="J297" s="3">
        <v>3370456000</v>
      </c>
      <c r="K297" s="3">
        <v>3236714000</v>
      </c>
      <c r="M297" s="3">
        <v>4002632000</v>
      </c>
      <c r="N297" s="3">
        <v>857513000</v>
      </c>
      <c r="O297" s="3">
        <v>3356419000</v>
      </c>
      <c r="P297">
        <f t="shared" si="70"/>
        <v>5.7022795307353338</v>
      </c>
      <c r="Q297">
        <f t="shared" si="71"/>
        <v>0</v>
      </c>
      <c r="R297" t="str">
        <f t="shared" si="62"/>
        <v>Safe</v>
      </c>
      <c r="S297">
        <f t="shared" si="72"/>
        <v>0.33573360332697111</v>
      </c>
      <c r="T297">
        <f t="shared" si="73"/>
        <v>0.34960621721134755</v>
      </c>
      <c r="U297">
        <f t="shared" si="74"/>
        <v>0.134206144955341</v>
      </c>
      <c r="V297">
        <f t="shared" si="75"/>
        <v>1.3888433625728749</v>
      </c>
      <c r="X297" s="13">
        <f t="shared" si="63"/>
        <v>3.906724603802429</v>
      </c>
      <c r="Y297" s="10"/>
      <c r="Z297" s="10"/>
      <c r="AB297" s="10" t="str">
        <f t="shared" si="64"/>
        <v>Non-Distress</v>
      </c>
      <c r="AC297" s="10">
        <f t="shared" si="65"/>
        <v>0</v>
      </c>
      <c r="AE297" s="10">
        <f t="shared" si="66"/>
        <v>0</v>
      </c>
      <c r="AG297" s="13">
        <f t="shared" si="67"/>
        <v>0.5</v>
      </c>
      <c r="AH297" s="13">
        <f t="shared" si="68"/>
        <v>0.5</v>
      </c>
      <c r="AI297" s="10">
        <f t="shared" si="69"/>
        <v>0.25</v>
      </c>
    </row>
    <row r="298" spans="1:35" x14ac:dyDescent="0.3">
      <c r="A298" t="s">
        <v>89</v>
      </c>
      <c r="B298">
        <v>2025</v>
      </c>
      <c r="C298" s="3">
        <v>2908869000000</v>
      </c>
      <c r="D298" s="3">
        <v>172536000000</v>
      </c>
      <c r="E298" s="3">
        <v>31725343000000</v>
      </c>
      <c r="F298" s="3">
        <v>11215313000000</v>
      </c>
      <c r="G298" s="3">
        <v>8522242000000</v>
      </c>
      <c r="H298" s="3">
        <v>6104197000000</v>
      </c>
      <c r="I298" s="3">
        <v>23203101000000</v>
      </c>
      <c r="J298" s="3">
        <v>21864966000000</v>
      </c>
      <c r="K298" s="3">
        <v>5111116000000</v>
      </c>
      <c r="M298" s="3">
        <v>17731188000000</v>
      </c>
      <c r="N298" s="3">
        <v>2248781000000</v>
      </c>
      <c r="O298" s="3">
        <v>2743494000000</v>
      </c>
      <c r="P298">
        <f t="shared" si="70"/>
        <v>6.7785630791492579</v>
      </c>
      <c r="Q298">
        <f t="shared" si="71"/>
        <v>0</v>
      </c>
      <c r="R298" t="str">
        <f t="shared" si="62"/>
        <v>Safe</v>
      </c>
      <c r="S298">
        <f t="shared" si="72"/>
        <v>0.16110514549834812</v>
      </c>
      <c r="T298">
        <f t="shared" si="73"/>
        <v>0.68919557465462233</v>
      </c>
      <c r="U298">
        <f t="shared" si="74"/>
        <v>9.1689126891394052E-2</v>
      </c>
      <c r="V298">
        <f t="shared" si="75"/>
        <v>2.7226522081865312</v>
      </c>
      <c r="X298" s="13">
        <f t="shared" si="63"/>
        <v>3.8040748340282251</v>
      </c>
      <c r="Y298" s="10"/>
      <c r="Z298" s="10"/>
      <c r="AB298" s="10" t="str">
        <f t="shared" si="64"/>
        <v>Non-Distress</v>
      </c>
      <c r="AC298" s="10">
        <f t="shared" si="65"/>
        <v>0</v>
      </c>
      <c r="AE298" s="10">
        <f t="shared" si="66"/>
        <v>0</v>
      </c>
      <c r="AG298" s="13">
        <f t="shared" si="67"/>
        <v>0.5</v>
      </c>
      <c r="AH298" s="13">
        <f t="shared" si="68"/>
        <v>0.5</v>
      </c>
      <c r="AI298" s="10">
        <f t="shared" si="69"/>
        <v>0.25</v>
      </c>
    </row>
    <row r="299" spans="1:35" x14ac:dyDescent="0.3">
      <c r="A299" t="s">
        <v>89</v>
      </c>
      <c r="B299">
        <v>2024</v>
      </c>
      <c r="C299" s="3">
        <v>2644580000000</v>
      </c>
      <c r="D299" s="3">
        <v>181562000000</v>
      </c>
      <c r="E299" s="3">
        <v>30420006000000</v>
      </c>
      <c r="F299" s="3">
        <v>10388834000000</v>
      </c>
      <c r="G299" s="3">
        <v>8305656000000</v>
      </c>
      <c r="H299" s="3">
        <v>7175129000000</v>
      </c>
      <c r="I299" s="3">
        <v>22114350000000</v>
      </c>
      <c r="J299" s="3">
        <v>20484347000000</v>
      </c>
      <c r="K299" s="3">
        <v>3213705000000</v>
      </c>
      <c r="M299" s="3">
        <v>18548734000000</v>
      </c>
      <c r="N299" s="3">
        <v>2007947000000</v>
      </c>
      <c r="O299" s="3">
        <v>2438744000000</v>
      </c>
      <c r="P299">
        <f t="shared" si="70"/>
        <v>6.2681599414970366</v>
      </c>
      <c r="Q299">
        <f t="shared" si="71"/>
        <v>0</v>
      </c>
      <c r="R299" t="str">
        <f t="shared" si="62"/>
        <v>Safe</v>
      </c>
      <c r="S299">
        <f t="shared" si="72"/>
        <v>0.10564445648038334</v>
      </c>
      <c r="T299">
        <f t="shared" si="73"/>
        <v>0.6733840552168201</v>
      </c>
      <c r="U299">
        <f t="shared" si="74"/>
        <v>8.6935551557747889E-2</v>
      </c>
      <c r="V299">
        <f t="shared" si="75"/>
        <v>2.6625651242960218</v>
      </c>
      <c r="X299" s="13">
        <f t="shared" si="63"/>
        <v>3.3877017308815551</v>
      </c>
      <c r="Y299" s="10"/>
      <c r="Z299" s="10"/>
      <c r="AB299" s="10" t="str">
        <f t="shared" si="64"/>
        <v>Non-Distress</v>
      </c>
      <c r="AC299" s="10">
        <f t="shared" si="65"/>
        <v>0</v>
      </c>
      <c r="AE299" s="10">
        <f t="shared" si="66"/>
        <v>0</v>
      </c>
      <c r="AG299" s="13">
        <f t="shared" si="67"/>
        <v>0.5</v>
      </c>
      <c r="AH299" s="13">
        <f t="shared" si="68"/>
        <v>0.5</v>
      </c>
      <c r="AI299" s="10">
        <f t="shared" si="69"/>
        <v>0.25</v>
      </c>
    </row>
    <row r="300" spans="1:35" x14ac:dyDescent="0.3">
      <c r="A300" t="s">
        <v>89</v>
      </c>
      <c r="B300">
        <v>2023</v>
      </c>
      <c r="C300" s="3">
        <v>2456851000000</v>
      </c>
      <c r="D300" s="3">
        <v>60503000000</v>
      </c>
      <c r="E300" s="3">
        <v>29649645000000</v>
      </c>
      <c r="F300" s="3">
        <v>9228033000000</v>
      </c>
      <c r="G300" s="3">
        <v>8680134000000</v>
      </c>
      <c r="H300" s="3">
        <v>7368187000000</v>
      </c>
      <c r="I300" s="3">
        <v>20969511000000</v>
      </c>
      <c r="J300" s="3">
        <v>18772800000000</v>
      </c>
      <c r="K300" s="3">
        <v>1859846000000</v>
      </c>
      <c r="M300" s="3">
        <v>17949756000000</v>
      </c>
      <c r="N300" s="3">
        <v>1950266000000</v>
      </c>
      <c r="O300" s="3">
        <v>2804861000000</v>
      </c>
      <c r="P300">
        <f t="shared" si="70"/>
        <v>5.5690078153864668</v>
      </c>
      <c r="Q300">
        <f t="shared" si="71"/>
        <v>0</v>
      </c>
      <c r="R300" t="str">
        <f t="shared" si="62"/>
        <v>Safe</v>
      </c>
      <c r="S300">
        <f t="shared" si="72"/>
        <v>6.2727428945607955E-2</v>
      </c>
      <c r="T300">
        <f t="shared" si="73"/>
        <v>0.63315429240383825</v>
      </c>
      <c r="U300">
        <f t="shared" si="74"/>
        <v>8.2862745911460325E-2</v>
      </c>
      <c r="V300">
        <f t="shared" si="75"/>
        <v>2.4158049864207167</v>
      </c>
      <c r="X300" s="13">
        <f t="shared" si="63"/>
        <v>2.9632352325892604</v>
      </c>
      <c r="Y300" s="10"/>
      <c r="Z300" s="10"/>
      <c r="AB300" s="10" t="str">
        <f t="shared" si="64"/>
        <v>Non-Distress</v>
      </c>
      <c r="AC300" s="10">
        <f t="shared" si="65"/>
        <v>0</v>
      </c>
      <c r="AE300" s="10">
        <f t="shared" si="66"/>
        <v>0</v>
      </c>
      <c r="AG300" s="13">
        <f t="shared" si="67"/>
        <v>0.5</v>
      </c>
      <c r="AH300" s="13">
        <f t="shared" si="68"/>
        <v>0.5</v>
      </c>
      <c r="AI300" s="10">
        <f t="shared" si="69"/>
        <v>0.25</v>
      </c>
    </row>
    <row r="301" spans="1:35" x14ac:dyDescent="0.3">
      <c r="A301" t="s">
        <v>89</v>
      </c>
      <c r="B301">
        <v>2022</v>
      </c>
      <c r="C301" s="3">
        <v>2332223000000</v>
      </c>
      <c r="D301" s="3">
        <v>42914000000</v>
      </c>
      <c r="E301" s="3">
        <v>25706169000000</v>
      </c>
      <c r="F301" s="3">
        <v>10312090000000</v>
      </c>
      <c r="G301" s="3">
        <v>6139263000000</v>
      </c>
      <c r="H301" s="3">
        <v>4822152000000</v>
      </c>
      <c r="I301" s="3">
        <v>19566906000000</v>
      </c>
      <c r="J301" s="3">
        <v>17370195000000</v>
      </c>
      <c r="K301" s="3">
        <v>5489938000000</v>
      </c>
      <c r="M301" s="3">
        <v>16328278000000</v>
      </c>
      <c r="N301" s="3">
        <v>1842434000000</v>
      </c>
      <c r="O301" s="3">
        <v>987476000000</v>
      </c>
      <c r="P301">
        <f t="shared" si="70"/>
        <v>7.5600503385487343</v>
      </c>
      <c r="Q301">
        <f t="shared" si="71"/>
        <v>0</v>
      </c>
      <c r="R301" t="str">
        <f t="shared" si="62"/>
        <v>Safe</v>
      </c>
      <c r="S301">
        <f t="shared" si="72"/>
        <v>0.21356500068135395</v>
      </c>
      <c r="T301">
        <f t="shared" si="73"/>
        <v>0.67572087462740948</v>
      </c>
      <c r="U301">
        <f t="shared" si="74"/>
        <v>9.0726198835773625E-2</v>
      </c>
      <c r="V301">
        <f t="shared" si="75"/>
        <v>3.1871750729688562</v>
      </c>
      <c r="X301" s="13">
        <f t="shared" si="63"/>
        <v>4.0958398883348668</v>
      </c>
      <c r="Y301" s="10"/>
      <c r="Z301" s="10"/>
      <c r="AB301" s="10" t="str">
        <f t="shared" si="64"/>
        <v>Non-Distress</v>
      </c>
      <c r="AC301" s="10">
        <f t="shared" si="65"/>
        <v>0</v>
      </c>
      <c r="AE301" s="10">
        <f t="shared" si="66"/>
        <v>0</v>
      </c>
      <c r="AG301" s="13">
        <f t="shared" si="67"/>
        <v>0.5</v>
      </c>
      <c r="AH301" s="13">
        <f t="shared" si="68"/>
        <v>0.5</v>
      </c>
      <c r="AI301" s="10">
        <f t="shared" si="69"/>
        <v>0.25</v>
      </c>
    </row>
    <row r="302" spans="1:35" x14ac:dyDescent="0.3">
      <c r="A302" t="s">
        <v>90</v>
      </c>
      <c r="B302">
        <v>2025</v>
      </c>
      <c r="C302" s="3">
        <v>10151100</v>
      </c>
      <c r="D302" s="3">
        <v>7836029</v>
      </c>
      <c r="E302" s="3">
        <v>383891985</v>
      </c>
      <c r="F302" s="3">
        <v>130867917</v>
      </c>
      <c r="G302" s="3">
        <v>203104387</v>
      </c>
      <c r="H302" s="3">
        <v>111999938</v>
      </c>
      <c r="I302" s="3">
        <v>172676946</v>
      </c>
      <c r="J302" s="3">
        <v>84144349</v>
      </c>
      <c r="K302" s="3">
        <v>18867979</v>
      </c>
      <c r="M302" s="3">
        <v>241584918</v>
      </c>
      <c r="N302" s="3">
        <v>1052329</v>
      </c>
      <c r="O302" s="3">
        <v>168143975</v>
      </c>
      <c r="P302">
        <f t="shared" si="70"/>
        <v>2.1073619320471169</v>
      </c>
      <c r="Q302">
        <f t="shared" si="71"/>
        <v>0</v>
      </c>
      <c r="R302" t="str">
        <f t="shared" si="62"/>
        <v>Grey Area</v>
      </c>
      <c r="S302">
        <f t="shared" si="72"/>
        <v>4.914918710793089E-2</v>
      </c>
      <c r="T302">
        <f t="shared" si="73"/>
        <v>0.21918756391853297</v>
      </c>
      <c r="U302">
        <f t="shared" si="74"/>
        <v>2.6442594262550179E-2</v>
      </c>
      <c r="V302">
        <f t="shared" si="75"/>
        <v>0.85018816457174806</v>
      </c>
      <c r="X302" s="13">
        <f t="shared" si="63"/>
        <v>1.1832437870062118</v>
      </c>
      <c r="Y302" s="10"/>
      <c r="Z302" s="10"/>
      <c r="AB302" s="10" t="str">
        <f t="shared" si="64"/>
        <v>Non-Distress</v>
      </c>
      <c r="AC302" s="10">
        <f t="shared" si="65"/>
        <v>0</v>
      </c>
      <c r="AE302" s="10">
        <f t="shared" si="66"/>
        <v>0</v>
      </c>
      <c r="AG302" s="13">
        <f t="shared" si="67"/>
        <v>0.5</v>
      </c>
      <c r="AH302" s="13">
        <f t="shared" si="68"/>
        <v>0.5</v>
      </c>
      <c r="AI302" s="10">
        <f t="shared" si="69"/>
        <v>0.25</v>
      </c>
    </row>
    <row r="303" spans="1:35" x14ac:dyDescent="0.3">
      <c r="A303" t="s">
        <v>90</v>
      </c>
      <c r="B303">
        <v>2024</v>
      </c>
      <c r="C303" s="3">
        <v>7594250</v>
      </c>
      <c r="D303" s="3">
        <v>5558913</v>
      </c>
      <c r="E303" s="3">
        <v>371808583</v>
      </c>
      <c r="F303" s="3">
        <v>130451808</v>
      </c>
      <c r="G303" s="3">
        <v>194776470</v>
      </c>
      <c r="H303" s="3">
        <v>113324773</v>
      </c>
      <c r="I303" s="3">
        <v>169391992</v>
      </c>
      <c r="J303" s="3">
        <v>83696675</v>
      </c>
      <c r="K303" s="3">
        <v>17127035</v>
      </c>
      <c r="M303" s="3">
        <v>211926197</v>
      </c>
      <c r="N303" s="3">
        <v>1059377</v>
      </c>
      <c r="O303" s="3">
        <v>158033987</v>
      </c>
      <c r="P303">
        <f t="shared" si="70"/>
        <v>2.0864436603880723</v>
      </c>
      <c r="Q303">
        <f t="shared" si="71"/>
        <v>0</v>
      </c>
      <c r="R303" t="str">
        <f t="shared" si="62"/>
        <v>Grey Area</v>
      </c>
      <c r="S303">
        <f t="shared" si="72"/>
        <v>4.6064119504201979E-2</v>
      </c>
      <c r="T303">
        <f t="shared" si="73"/>
        <v>0.22510689324242952</v>
      </c>
      <c r="U303">
        <f t="shared" si="74"/>
        <v>2.0425160545581057E-2</v>
      </c>
      <c r="V303">
        <f t="shared" si="75"/>
        <v>0.86967379581322113</v>
      </c>
      <c r="X303" s="13">
        <f t="shared" si="63"/>
        <v>1.1555179831481786</v>
      </c>
      <c r="Y303" s="10"/>
      <c r="Z303" s="10"/>
      <c r="AB303" s="10" t="str">
        <f t="shared" si="64"/>
        <v>Non-Distress</v>
      </c>
      <c r="AC303" s="10">
        <f t="shared" si="65"/>
        <v>0</v>
      </c>
      <c r="AE303" s="10">
        <f t="shared" si="66"/>
        <v>0</v>
      </c>
      <c r="AG303" s="13">
        <f t="shared" si="67"/>
        <v>0.5</v>
      </c>
      <c r="AH303" s="13">
        <f t="shared" si="68"/>
        <v>0.5</v>
      </c>
      <c r="AI303" s="10">
        <f t="shared" si="69"/>
        <v>0.25</v>
      </c>
    </row>
    <row r="304" spans="1:35" x14ac:dyDescent="0.3">
      <c r="A304" t="s">
        <v>90</v>
      </c>
      <c r="B304">
        <v>2023</v>
      </c>
      <c r="C304" s="3">
        <v>5964589</v>
      </c>
      <c r="D304" s="3">
        <v>4996245</v>
      </c>
      <c r="E304" s="3">
        <v>284075431</v>
      </c>
      <c r="F304" s="3">
        <v>113934065</v>
      </c>
      <c r="G304" s="3">
        <v>107102928</v>
      </c>
      <c r="H304" s="3">
        <v>84204424</v>
      </c>
      <c r="I304" s="3">
        <v>169220827</v>
      </c>
      <c r="J304" s="3">
        <v>81795410</v>
      </c>
      <c r="K304" s="3">
        <v>29729641</v>
      </c>
      <c r="M304" s="3">
        <v>193862822</v>
      </c>
      <c r="N304" s="3">
        <v>285610</v>
      </c>
      <c r="O304" s="3">
        <v>79623745</v>
      </c>
      <c r="P304">
        <f t="shared" si="70"/>
        <v>3.4252791429428133</v>
      </c>
      <c r="Q304">
        <f t="shared" si="71"/>
        <v>0</v>
      </c>
      <c r="R304" t="str">
        <f t="shared" si="62"/>
        <v>Safe</v>
      </c>
      <c r="S304">
        <f t="shared" si="72"/>
        <v>0.10465403817340331</v>
      </c>
      <c r="T304">
        <f t="shared" si="73"/>
        <v>0.28793553075696998</v>
      </c>
      <c r="U304">
        <f t="shared" si="74"/>
        <v>2.0996497229638984E-2</v>
      </c>
      <c r="V304">
        <f t="shared" si="75"/>
        <v>1.5799832008327541</v>
      </c>
      <c r="X304" s="13">
        <f t="shared" si="63"/>
        <v>1.752822738815631</v>
      </c>
      <c r="Y304" s="10"/>
      <c r="Z304" s="10"/>
      <c r="AB304" s="10" t="str">
        <f t="shared" si="64"/>
        <v>Non-Distress</v>
      </c>
      <c r="AC304" s="10">
        <f t="shared" si="65"/>
        <v>0</v>
      </c>
      <c r="AE304" s="10">
        <f t="shared" si="66"/>
        <v>0</v>
      </c>
      <c r="AG304" s="13">
        <f t="shared" si="67"/>
        <v>0.5</v>
      </c>
      <c r="AH304" s="13">
        <f t="shared" si="68"/>
        <v>0.5</v>
      </c>
      <c r="AI304" s="10">
        <f t="shared" si="69"/>
        <v>0.25</v>
      </c>
    </row>
    <row r="305" spans="1:35" x14ac:dyDescent="0.3">
      <c r="A305" t="s">
        <v>90</v>
      </c>
      <c r="B305">
        <v>2022</v>
      </c>
      <c r="C305" s="3">
        <v>9299438</v>
      </c>
      <c r="D305" s="3">
        <v>4268366</v>
      </c>
      <c r="E305" s="3">
        <v>280534499</v>
      </c>
      <c r="F305" s="3">
        <v>119637098</v>
      </c>
      <c r="G305" s="3">
        <v>102615800</v>
      </c>
      <c r="H305" s="3">
        <v>82323398</v>
      </c>
      <c r="I305" s="3">
        <v>170038829</v>
      </c>
      <c r="J305" s="3">
        <v>81388734</v>
      </c>
      <c r="K305" s="3">
        <v>37313700</v>
      </c>
      <c r="M305" s="3">
        <v>227701578</v>
      </c>
      <c r="N305" s="3">
        <v>3178662</v>
      </c>
      <c r="O305" s="3">
        <v>70386774</v>
      </c>
      <c r="P305">
        <f t="shared" si="70"/>
        <v>3.7809898223204339</v>
      </c>
      <c r="Q305">
        <f t="shared" si="71"/>
        <v>0</v>
      </c>
      <c r="R305" t="str">
        <f t="shared" si="62"/>
        <v>Safe</v>
      </c>
      <c r="S305">
        <f t="shared" si="72"/>
        <v>0.13300930948959686</v>
      </c>
      <c r="T305">
        <f t="shared" si="73"/>
        <v>0.29012023223567951</v>
      </c>
      <c r="U305">
        <f t="shared" si="74"/>
        <v>3.314899961733405E-2</v>
      </c>
      <c r="V305">
        <f t="shared" si="75"/>
        <v>1.6570433500494075</v>
      </c>
      <c r="X305" s="13">
        <f t="shared" si="63"/>
        <v>1.9953856408491908</v>
      </c>
      <c r="Y305" s="10"/>
      <c r="Z305" s="10"/>
      <c r="AB305" s="10" t="str">
        <f t="shared" si="64"/>
        <v>Non-Distress</v>
      </c>
      <c r="AC305" s="10">
        <f t="shared" si="65"/>
        <v>0</v>
      </c>
      <c r="AE305" s="10">
        <f t="shared" si="66"/>
        <v>0</v>
      </c>
      <c r="AG305" s="13">
        <f t="shared" si="67"/>
        <v>0.5</v>
      </c>
      <c r="AH305" s="13">
        <f t="shared" si="68"/>
        <v>0.5</v>
      </c>
      <c r="AI305" s="10">
        <f t="shared" si="69"/>
        <v>0.25</v>
      </c>
    </row>
    <row r="306" spans="1:35" x14ac:dyDescent="0.3">
      <c r="A306" t="s">
        <v>91</v>
      </c>
      <c r="B306">
        <v>2025</v>
      </c>
      <c r="C306" s="3">
        <v>836585000000</v>
      </c>
      <c r="D306" s="3">
        <v>164099000000</v>
      </c>
      <c r="E306" s="3">
        <v>8796370000000</v>
      </c>
      <c r="F306" s="3">
        <v>5025701000000</v>
      </c>
      <c r="G306" s="3">
        <v>3123011000000</v>
      </c>
      <c r="H306" s="3">
        <v>1628609000000</v>
      </c>
      <c r="I306" s="3">
        <v>5673376000000</v>
      </c>
      <c r="J306" s="3">
        <v>2987168000000</v>
      </c>
      <c r="K306" s="3">
        <v>3397092000000</v>
      </c>
      <c r="M306" s="3">
        <v>5932797000000</v>
      </c>
      <c r="N306" s="3">
        <v>534247000000</v>
      </c>
      <c r="O306" s="3">
        <v>2362936000000</v>
      </c>
      <c r="P306">
        <f t="shared" si="70"/>
        <v>6.1870681000001797</v>
      </c>
      <c r="Q306">
        <f t="shared" si="71"/>
        <v>0</v>
      </c>
      <c r="R306" t="str">
        <f t="shared" si="62"/>
        <v>Safe</v>
      </c>
      <c r="S306">
        <f t="shared" si="72"/>
        <v>0.38619248621874708</v>
      </c>
      <c r="T306">
        <f t="shared" si="73"/>
        <v>0.33959099037443857</v>
      </c>
      <c r="U306">
        <f t="shared" si="74"/>
        <v>9.5105708377432957E-2</v>
      </c>
      <c r="V306">
        <f t="shared" si="75"/>
        <v>1.8166365728458849</v>
      </c>
      <c r="X306" s="13">
        <f t="shared" si="63"/>
        <v>4.0115368056115752</v>
      </c>
      <c r="Y306" s="10"/>
      <c r="Z306" s="10"/>
      <c r="AB306" s="10" t="str">
        <f t="shared" si="64"/>
        <v>Non-Distress</v>
      </c>
      <c r="AC306" s="10">
        <f t="shared" si="65"/>
        <v>0</v>
      </c>
      <c r="AE306" s="10">
        <f t="shared" si="66"/>
        <v>0</v>
      </c>
      <c r="AG306" s="13">
        <f t="shared" si="67"/>
        <v>0.5</v>
      </c>
      <c r="AH306" s="13">
        <f t="shared" si="68"/>
        <v>0.5</v>
      </c>
      <c r="AI306" s="10">
        <f t="shared" si="69"/>
        <v>0.25</v>
      </c>
    </row>
    <row r="307" spans="1:35" x14ac:dyDescent="0.3">
      <c r="A307" t="s">
        <v>91</v>
      </c>
      <c r="B307">
        <v>2024</v>
      </c>
      <c r="C307" s="3">
        <v>811349000000</v>
      </c>
      <c r="D307" s="3">
        <v>135760000000</v>
      </c>
      <c r="E307" s="3">
        <v>8295427000000</v>
      </c>
      <c r="F307" s="3">
        <v>5254241000000</v>
      </c>
      <c r="G307" s="3">
        <v>3251676000000</v>
      </c>
      <c r="H307" s="3">
        <v>1611148000000</v>
      </c>
      <c r="I307" s="3">
        <v>5043737000000</v>
      </c>
      <c r="J307" s="3">
        <v>2575745000000</v>
      </c>
      <c r="K307" s="3">
        <v>3643093000000</v>
      </c>
      <c r="M307" s="3">
        <v>6118364000000</v>
      </c>
      <c r="N307" s="3">
        <v>530082000000</v>
      </c>
      <c r="O307" s="3">
        <v>2488969000000</v>
      </c>
      <c r="P307">
        <f t="shared" si="70"/>
        <v>6.1791201047884714</v>
      </c>
      <c r="Q307">
        <f t="shared" si="71"/>
        <v>0</v>
      </c>
      <c r="R307" t="str">
        <f t="shared" si="62"/>
        <v>Safe</v>
      </c>
      <c r="S307">
        <f t="shared" si="72"/>
        <v>0.43916883362363385</v>
      </c>
      <c r="T307">
        <f t="shared" si="73"/>
        <v>0.31050179815939555</v>
      </c>
      <c r="U307">
        <f t="shared" si="74"/>
        <v>9.7806779566621468E-2</v>
      </c>
      <c r="V307">
        <f t="shared" si="75"/>
        <v>1.5511191766953412</v>
      </c>
      <c r="X307" s="13">
        <f t="shared" si="63"/>
        <v>4.2416423707405784</v>
      </c>
      <c r="Y307" s="10"/>
      <c r="Z307" s="10"/>
      <c r="AB307" s="10" t="str">
        <f t="shared" si="64"/>
        <v>Non-Distress</v>
      </c>
      <c r="AC307" s="10">
        <f t="shared" si="65"/>
        <v>0</v>
      </c>
      <c r="AE307" s="10">
        <f t="shared" si="66"/>
        <v>0</v>
      </c>
      <c r="AG307" s="13">
        <f t="shared" si="67"/>
        <v>0.5</v>
      </c>
      <c r="AH307" s="13">
        <f t="shared" si="68"/>
        <v>0.5</v>
      </c>
      <c r="AI307" s="10">
        <f t="shared" si="69"/>
        <v>0.25</v>
      </c>
    </row>
    <row r="308" spans="1:35" x14ac:dyDescent="0.3">
      <c r="A308" t="s">
        <v>91</v>
      </c>
      <c r="B308">
        <v>2023</v>
      </c>
      <c r="C308" s="3">
        <v>771676000000</v>
      </c>
      <c r="D308" s="3">
        <v>131092000000</v>
      </c>
      <c r="E308" s="3">
        <v>7971708000000</v>
      </c>
      <c r="F308" s="3">
        <v>5074574000000</v>
      </c>
      <c r="G308" s="3">
        <v>3353362000000</v>
      </c>
      <c r="H308" s="3">
        <v>2497358000000</v>
      </c>
      <c r="I308" s="3">
        <v>4618313000000</v>
      </c>
      <c r="J308" s="3">
        <v>2161643000000</v>
      </c>
      <c r="K308" s="3">
        <v>2577216000000</v>
      </c>
      <c r="M308" s="3">
        <v>6455329000000</v>
      </c>
      <c r="N308" s="3">
        <v>498087000000</v>
      </c>
      <c r="O308" s="3">
        <v>2660110000000</v>
      </c>
      <c r="P308">
        <f t="shared" si="70"/>
        <v>5.101401207711481</v>
      </c>
      <c r="Q308">
        <f t="shared" si="71"/>
        <v>0</v>
      </c>
      <c r="R308" t="str">
        <f t="shared" si="62"/>
        <v>Safe</v>
      </c>
      <c r="S308">
        <f t="shared" si="72"/>
        <v>0.3232953339485089</v>
      </c>
      <c r="T308">
        <f t="shared" si="73"/>
        <v>0.27116434771569659</v>
      </c>
      <c r="U308">
        <f t="shared" si="74"/>
        <v>9.680183970612069E-2</v>
      </c>
      <c r="V308">
        <f t="shared" si="75"/>
        <v>1.3772187434580578</v>
      </c>
      <c r="X308" s="13">
        <f t="shared" si="63"/>
        <v>3.3921642025185266</v>
      </c>
      <c r="Y308" s="10"/>
      <c r="Z308" s="10"/>
      <c r="AB308" s="10" t="str">
        <f t="shared" si="64"/>
        <v>Non-Distress</v>
      </c>
      <c r="AC308" s="10">
        <f t="shared" si="65"/>
        <v>0</v>
      </c>
      <c r="AE308" s="10">
        <f t="shared" si="66"/>
        <v>0</v>
      </c>
      <c r="AG308" s="13">
        <f t="shared" si="67"/>
        <v>0.5</v>
      </c>
      <c r="AH308" s="13">
        <f t="shared" si="68"/>
        <v>0.5</v>
      </c>
      <c r="AI308" s="10">
        <f t="shared" si="69"/>
        <v>0.25</v>
      </c>
    </row>
    <row r="309" spans="1:35" x14ac:dyDescent="0.3">
      <c r="A309" t="s">
        <v>91</v>
      </c>
      <c r="B309">
        <v>2022</v>
      </c>
      <c r="C309" s="3">
        <v>490186000000</v>
      </c>
      <c r="D309" s="3">
        <v>96955000000</v>
      </c>
      <c r="E309" s="3">
        <v>7405931000000</v>
      </c>
      <c r="F309" s="3">
        <v>4401410000000</v>
      </c>
      <c r="G309" s="3">
        <v>3261396000000</v>
      </c>
      <c r="H309" s="3">
        <v>2606899000000</v>
      </c>
      <c r="I309" s="3">
        <v>4144474000000</v>
      </c>
      <c r="J309" s="3">
        <v>1715948000000</v>
      </c>
      <c r="K309" s="3">
        <v>1794511000000</v>
      </c>
      <c r="M309" s="3">
        <v>6255945000000</v>
      </c>
      <c r="N309" s="3">
        <v>305860000000</v>
      </c>
      <c r="O309" s="3">
        <v>2620637000000</v>
      </c>
      <c r="P309">
        <f t="shared" si="70"/>
        <v>4.1239656345316114</v>
      </c>
      <c r="Q309">
        <f t="shared" si="71"/>
        <v>0</v>
      </c>
      <c r="R309" t="str">
        <f t="shared" si="62"/>
        <v>Safe</v>
      </c>
      <c r="S309">
        <f t="shared" si="72"/>
        <v>0.24230728047560798</v>
      </c>
      <c r="T309">
        <f t="shared" si="73"/>
        <v>0.2316991611182983</v>
      </c>
      <c r="U309">
        <f t="shared" si="74"/>
        <v>6.618830232147721E-2</v>
      </c>
      <c r="V309">
        <f t="shared" si="75"/>
        <v>1.270766874062518</v>
      </c>
      <c r="X309" s="13">
        <f t="shared" si="63"/>
        <v>2.6151564518464814</v>
      </c>
      <c r="Y309" s="10"/>
      <c r="Z309" s="10"/>
      <c r="AB309" s="10" t="str">
        <f t="shared" si="64"/>
        <v>Non-Distress</v>
      </c>
      <c r="AC309" s="10">
        <f t="shared" si="65"/>
        <v>0</v>
      </c>
      <c r="AE309" s="10">
        <f t="shared" si="66"/>
        <v>0</v>
      </c>
      <c r="AG309" s="13">
        <f t="shared" si="67"/>
        <v>0.5</v>
      </c>
      <c r="AH309" s="13">
        <f t="shared" si="68"/>
        <v>0.5</v>
      </c>
      <c r="AI309" s="10">
        <f t="shared" si="69"/>
        <v>0.25</v>
      </c>
    </row>
    <row r="310" spans="1:35" x14ac:dyDescent="0.3">
      <c r="A310" t="s">
        <v>92</v>
      </c>
      <c r="B310">
        <v>2025</v>
      </c>
      <c r="C310" s="3">
        <v>467277099456</v>
      </c>
      <c r="D310" s="3">
        <v>123683275985</v>
      </c>
      <c r="E310" s="3">
        <v>4019981349537</v>
      </c>
      <c r="F310" s="3">
        <v>1853937570919</v>
      </c>
      <c r="G310" s="3">
        <v>2102978770822</v>
      </c>
      <c r="H310" s="3">
        <v>427395349989</v>
      </c>
      <c r="I310" s="3">
        <v>1917002578715</v>
      </c>
      <c r="J310" s="3">
        <v>577900963369</v>
      </c>
      <c r="K310" s="3">
        <v>1426542220930</v>
      </c>
      <c r="M310" s="3">
        <v>4278884819576</v>
      </c>
      <c r="N310" s="3">
        <v>268481281878</v>
      </c>
      <c r="O310" s="3">
        <v>1787116055442</v>
      </c>
      <c r="P310">
        <f t="shared" si="70"/>
        <v>4.5348159912230086</v>
      </c>
      <c r="Q310">
        <f t="shared" si="71"/>
        <v>0</v>
      </c>
      <c r="R310" t="str">
        <f t="shared" si="62"/>
        <v>Safe</v>
      </c>
      <c r="S310">
        <f t="shared" si="72"/>
        <v>0.35486289534509941</v>
      </c>
      <c r="T310">
        <f t="shared" si="73"/>
        <v>0.14375712549899256</v>
      </c>
      <c r="U310">
        <f t="shared" si="74"/>
        <v>0.11623862372143057</v>
      </c>
      <c r="V310">
        <f t="shared" si="75"/>
        <v>0.91156534973755021</v>
      </c>
      <c r="X310" s="13">
        <f t="shared" si="63"/>
        <v>3.2415308020173002</v>
      </c>
      <c r="Y310" s="10"/>
      <c r="Z310" s="10"/>
      <c r="AB310" s="10" t="str">
        <f t="shared" si="64"/>
        <v>Non-Distress</v>
      </c>
      <c r="AC310" s="10">
        <f t="shared" si="65"/>
        <v>0</v>
      </c>
      <c r="AE310" s="10">
        <f t="shared" si="66"/>
        <v>0</v>
      </c>
      <c r="AG310" s="13">
        <f t="shared" si="67"/>
        <v>0.5</v>
      </c>
      <c r="AH310" s="13">
        <f t="shared" si="68"/>
        <v>0.5</v>
      </c>
      <c r="AI310" s="10">
        <f t="shared" si="69"/>
        <v>0.25</v>
      </c>
    </row>
    <row r="311" spans="1:35" x14ac:dyDescent="0.3">
      <c r="A311" t="s">
        <v>92</v>
      </c>
      <c r="B311">
        <v>2024</v>
      </c>
      <c r="C311" s="3">
        <v>424746759945</v>
      </c>
      <c r="D311" s="3">
        <v>90145257178</v>
      </c>
      <c r="E311" s="3">
        <v>4105433051060</v>
      </c>
      <c r="F311" s="3">
        <v>1922274094835</v>
      </c>
      <c r="G311" s="3">
        <v>2404070189257</v>
      </c>
      <c r="H311" s="3">
        <v>601866800788</v>
      </c>
      <c r="I311" s="3">
        <v>1701362861803</v>
      </c>
      <c r="J311" s="3">
        <v>361572939024</v>
      </c>
      <c r="K311" s="3">
        <v>1320407294047</v>
      </c>
      <c r="M311" s="3">
        <v>3864889048543</v>
      </c>
      <c r="N311" s="3">
        <v>260725531457</v>
      </c>
      <c r="O311" s="3">
        <v>1855318684517</v>
      </c>
      <c r="P311">
        <f t="shared" si="70"/>
        <v>3.8353049881352757</v>
      </c>
      <c r="Q311">
        <f t="shared" si="71"/>
        <v>0</v>
      </c>
      <c r="R311" t="str">
        <f t="shared" si="62"/>
        <v>Safe</v>
      </c>
      <c r="S311">
        <f t="shared" si="72"/>
        <v>0.32162436401345729</v>
      </c>
      <c r="T311">
        <f t="shared" si="73"/>
        <v>8.8071814721383382E-2</v>
      </c>
      <c r="U311">
        <f t="shared" si="74"/>
        <v>0.10345967274641898</v>
      </c>
      <c r="V311">
        <f t="shared" si="75"/>
        <v>0.70770099367557227</v>
      </c>
      <c r="X311" s="13">
        <f t="shared" si="63"/>
        <v>2.7852898310571677</v>
      </c>
      <c r="Y311" s="10"/>
      <c r="Z311" s="10"/>
      <c r="AB311" s="10" t="str">
        <f t="shared" si="64"/>
        <v>Non-Distress</v>
      </c>
      <c r="AC311" s="10">
        <f t="shared" si="65"/>
        <v>0</v>
      </c>
      <c r="AE311" s="10">
        <f t="shared" si="66"/>
        <v>0</v>
      </c>
      <c r="AG311" s="13">
        <f t="shared" si="67"/>
        <v>0.5</v>
      </c>
      <c r="AH311" s="13">
        <f t="shared" si="68"/>
        <v>0.5</v>
      </c>
      <c r="AI311" s="10">
        <f t="shared" si="69"/>
        <v>0.25</v>
      </c>
    </row>
    <row r="312" spans="1:35" x14ac:dyDescent="0.3">
      <c r="A312" t="s">
        <v>92</v>
      </c>
      <c r="B312">
        <v>2023</v>
      </c>
      <c r="C312" s="3">
        <v>265310422881</v>
      </c>
      <c r="D312" s="3">
        <v>48111414101</v>
      </c>
      <c r="E312" s="3">
        <v>3652686220005</v>
      </c>
      <c r="F312" s="3">
        <v>1352081262260</v>
      </c>
      <c r="G312" s="3">
        <v>2211114704243</v>
      </c>
      <c r="H312" s="3">
        <v>365656547353</v>
      </c>
      <c r="I312" s="3">
        <v>1441571515762</v>
      </c>
      <c r="J312" s="3">
        <v>100847407567</v>
      </c>
      <c r="K312" s="3">
        <v>986424714907</v>
      </c>
      <c r="M312" s="3">
        <v>4442279649263</v>
      </c>
      <c r="N312" s="3">
        <v>77266308096</v>
      </c>
      <c r="O312" s="3">
        <v>1924831437938</v>
      </c>
      <c r="P312">
        <f t="shared" ref="P312:P363" si="76">6.56*(F312-H312)/E312+3.26*J312/E312+6.72*C312/E312+1.05*I312/G312</f>
        <v>3.0342308306272496</v>
      </c>
      <c r="Q312">
        <f t="shared" ref="Q312:Q363" si="77">IF(VALUE(TRIM(P312))&lt;=1.1, 1, 0)</f>
        <v>0</v>
      </c>
      <c r="R312" t="str">
        <f t="shared" si="62"/>
        <v>Safe</v>
      </c>
      <c r="S312">
        <f t="shared" ref="S312:S363" si="78">MAX(-2,MIN(K312/E312,2))</f>
        <v>0.27005459968188827</v>
      </c>
      <c r="T312">
        <f t="shared" ref="T312:T363" si="79" xml:space="preserve"> J312/E312</f>
        <v>2.7609107788859551E-2</v>
      </c>
      <c r="U312">
        <f t="shared" ref="U312:U363" si="80">C312/E312</f>
        <v>7.2634331804344476E-2</v>
      </c>
      <c r="V312">
        <f t="shared" ref="V312:V363" si="81">I312/G312</f>
        <v>0.65196595771160515</v>
      </c>
      <c r="X312" s="13">
        <f t="shared" si="63"/>
        <v>2.1204178724890279</v>
      </c>
      <c r="Y312" s="10"/>
      <c r="Z312" s="10"/>
      <c r="AB312" s="10" t="str">
        <f t="shared" si="64"/>
        <v>Non-Distress</v>
      </c>
      <c r="AC312" s="10">
        <f t="shared" si="65"/>
        <v>0</v>
      </c>
      <c r="AE312" s="10">
        <f t="shared" si="66"/>
        <v>0</v>
      </c>
      <c r="AG312" s="13">
        <f t="shared" si="67"/>
        <v>0.5</v>
      </c>
      <c r="AH312" s="13">
        <f t="shared" si="68"/>
        <v>0.5</v>
      </c>
      <c r="AI312" s="10">
        <f t="shared" si="69"/>
        <v>0.25</v>
      </c>
    </row>
    <row r="313" spans="1:35" x14ac:dyDescent="0.3">
      <c r="A313" t="s">
        <v>92</v>
      </c>
      <c r="B313">
        <v>2022</v>
      </c>
      <c r="C313" s="3">
        <v>252182095079</v>
      </c>
      <c r="D313" s="3">
        <v>49957648906</v>
      </c>
      <c r="E313" s="3">
        <v>3489310229052</v>
      </c>
      <c r="F313" s="3">
        <v>1499585685715</v>
      </c>
      <c r="G313" s="3">
        <v>2215046114094</v>
      </c>
      <c r="H313" s="3">
        <v>994042400953</v>
      </c>
      <c r="I313" s="3">
        <v>1274264114958</v>
      </c>
      <c r="J313" s="3">
        <v>40407142498</v>
      </c>
      <c r="K313" s="3">
        <v>505543284762</v>
      </c>
      <c r="M313" s="3">
        <v>4642340995500</v>
      </c>
      <c r="N313" s="3">
        <v>41681880210</v>
      </c>
      <c r="O313" s="3">
        <v>1446612914333</v>
      </c>
      <c r="P313">
        <f t="shared" si="76"/>
        <v>2.0779004302944912</v>
      </c>
      <c r="Q313">
        <f t="shared" si="77"/>
        <v>0</v>
      </c>
      <c r="R313" t="str">
        <f t="shared" si="62"/>
        <v>Grey Area</v>
      </c>
      <c r="S313">
        <f t="shared" si="78"/>
        <v>0.14488344445639892</v>
      </c>
      <c r="T313">
        <f t="shared" si="79"/>
        <v>1.1580266541384053E-2</v>
      </c>
      <c r="U313">
        <f t="shared" si="80"/>
        <v>7.2272764106593806E-2</v>
      </c>
      <c r="V313">
        <f t="shared" si="81"/>
        <v>0.57527656279932604</v>
      </c>
      <c r="X313" s="13">
        <f t="shared" si="63"/>
        <v>1.297797679302787</v>
      </c>
      <c r="Y313" s="10"/>
      <c r="Z313" s="10"/>
      <c r="AB313" s="10" t="str">
        <f t="shared" si="64"/>
        <v>Non-Distress</v>
      </c>
      <c r="AC313" s="10">
        <f t="shared" si="65"/>
        <v>0</v>
      </c>
      <c r="AE313" s="10">
        <f t="shared" si="66"/>
        <v>0</v>
      </c>
      <c r="AG313" s="13">
        <f t="shared" si="67"/>
        <v>0.5</v>
      </c>
      <c r="AH313" s="13">
        <f t="shared" si="68"/>
        <v>0.5</v>
      </c>
      <c r="AI313" s="10">
        <f t="shared" si="69"/>
        <v>0.25</v>
      </c>
    </row>
    <row r="314" spans="1:35" x14ac:dyDescent="0.3">
      <c r="A314" t="s">
        <v>93</v>
      </c>
      <c r="B314">
        <v>2025</v>
      </c>
      <c r="C314" s="3">
        <v>164188904430</v>
      </c>
      <c r="D314" s="3">
        <v>173571719242</v>
      </c>
      <c r="E314" s="3">
        <v>3960661246766</v>
      </c>
      <c r="F314" s="3">
        <v>567560235020</v>
      </c>
      <c r="G314" s="3">
        <v>2608694563073</v>
      </c>
      <c r="H314" s="3">
        <v>561027667838</v>
      </c>
      <c r="I314" s="3">
        <v>1344802304047</v>
      </c>
      <c r="J314" s="3">
        <v>-1867369654257</v>
      </c>
      <c r="K314" s="3">
        <v>6532567182</v>
      </c>
      <c r="M314" s="3">
        <v>1741937139009</v>
      </c>
      <c r="N314" s="3">
        <v>-29868955194</v>
      </c>
      <c r="O314" s="3">
        <v>999440057555</v>
      </c>
      <c r="P314">
        <f t="shared" si="76"/>
        <v>-0.70634235322303018</v>
      </c>
      <c r="Q314">
        <f t="shared" si="77"/>
        <v>1</v>
      </c>
      <c r="R314" t="str">
        <f t="shared" si="62"/>
        <v>Distress</v>
      </c>
      <c r="S314">
        <f t="shared" si="78"/>
        <v>1.649362764193489E-3</v>
      </c>
      <c r="T314">
        <f t="shared" si="79"/>
        <v>-0.47147926518122801</v>
      </c>
      <c r="U314">
        <f t="shared" si="80"/>
        <v>4.1454922347642129E-2</v>
      </c>
      <c r="V314">
        <f t="shared" si="81"/>
        <v>0.5155077651033414</v>
      </c>
      <c r="X314" s="13">
        <f t="shared" si="63"/>
        <v>-1.3125662287344919</v>
      </c>
      <c r="Y314" s="10"/>
      <c r="Z314" s="10"/>
      <c r="AB314" s="10" t="str">
        <f t="shared" si="64"/>
        <v>Distress</v>
      </c>
      <c r="AC314" s="10">
        <f t="shared" si="65"/>
        <v>1</v>
      </c>
      <c r="AE314" s="10">
        <f t="shared" si="66"/>
        <v>1</v>
      </c>
      <c r="AG314" s="13">
        <f t="shared" si="67"/>
        <v>0.7310585786300049</v>
      </c>
      <c r="AH314" s="13">
        <f t="shared" si="68"/>
        <v>-0.2689414213699951</v>
      </c>
      <c r="AI314" s="10">
        <f t="shared" si="69"/>
        <v>0.19661193324148185</v>
      </c>
    </row>
    <row r="315" spans="1:35" x14ac:dyDescent="0.3">
      <c r="A315" t="s">
        <v>93</v>
      </c>
      <c r="B315">
        <v>2024</v>
      </c>
      <c r="C315" s="3">
        <v>-9344344955</v>
      </c>
      <c r="D315" s="3">
        <v>190252028409</v>
      </c>
      <c r="E315" s="3">
        <v>3867576733424</v>
      </c>
      <c r="F315" s="3">
        <v>516714544081</v>
      </c>
      <c r="G315" s="3">
        <v>2501593394303</v>
      </c>
      <c r="H315" s="3">
        <v>533367481762</v>
      </c>
      <c r="I315" s="3">
        <v>1358406941395</v>
      </c>
      <c r="J315" s="3">
        <v>-1837500699063</v>
      </c>
      <c r="K315" s="3">
        <v>-16652937681</v>
      </c>
      <c r="M315" s="3">
        <v>1070773284944</v>
      </c>
      <c r="N315" s="3">
        <v>-193042953159</v>
      </c>
      <c r="O315" s="3">
        <v>996092626516</v>
      </c>
      <c r="P315">
        <f t="shared" si="76"/>
        <v>-1.0231530508379789</v>
      </c>
      <c r="Q315">
        <f t="shared" si="77"/>
        <v>1</v>
      </c>
      <c r="R315" t="str">
        <f t="shared" si="62"/>
        <v>Distress</v>
      </c>
      <c r="S315">
        <f t="shared" si="78"/>
        <v>-4.3057808102638486E-3</v>
      </c>
      <c r="T315">
        <f t="shared" si="79"/>
        <v>-0.4751038765910261</v>
      </c>
      <c r="U315">
        <f t="shared" si="80"/>
        <v>-2.4160722848095553E-3</v>
      </c>
      <c r="V315">
        <f t="shared" si="81"/>
        <v>0.5430166806838258</v>
      </c>
      <c r="X315" s="13">
        <f t="shared" si="63"/>
        <v>-1.5718807952768188</v>
      </c>
      <c r="Y315" s="10"/>
      <c r="Z315" s="10"/>
      <c r="AB315" s="10" t="str">
        <f t="shared" si="64"/>
        <v>Distress</v>
      </c>
      <c r="AC315" s="10">
        <f t="shared" si="65"/>
        <v>1</v>
      </c>
      <c r="AE315" s="10">
        <f t="shared" si="66"/>
        <v>1</v>
      </c>
      <c r="AG315" s="13">
        <f t="shared" si="67"/>
        <v>0.7310585786300049</v>
      </c>
      <c r="AH315" s="13">
        <f t="shared" si="68"/>
        <v>-0.2689414213699951</v>
      </c>
      <c r="AI315" s="10">
        <f t="shared" si="69"/>
        <v>0.19661193324148185</v>
      </c>
    </row>
    <row r="316" spans="1:35" x14ac:dyDescent="0.3">
      <c r="A316" t="s">
        <v>93</v>
      </c>
      <c r="B316">
        <v>2023</v>
      </c>
      <c r="C316" s="3">
        <v>-54739219293</v>
      </c>
      <c r="D316" s="3">
        <v>246417317594</v>
      </c>
      <c r="E316" s="3">
        <v>3656226625457</v>
      </c>
      <c r="F316" s="3">
        <v>271712439754</v>
      </c>
      <c r="G316" s="3">
        <v>2674644786344</v>
      </c>
      <c r="H316" s="3">
        <v>600966231776</v>
      </c>
      <c r="I316" s="3">
        <v>973327156328</v>
      </c>
      <c r="J316" s="3">
        <v>-1644457745904</v>
      </c>
      <c r="K316" s="3">
        <v>-329253792022</v>
      </c>
      <c r="M316" s="3">
        <v>896151775102</v>
      </c>
      <c r="N316" s="3">
        <v>-302478451258</v>
      </c>
      <c r="O316" s="3">
        <v>1964621860776</v>
      </c>
      <c r="P316">
        <f t="shared" si="76"/>
        <v>-1.7754983763581651</v>
      </c>
      <c r="Q316">
        <f t="shared" si="77"/>
        <v>1</v>
      </c>
      <c r="R316" t="str">
        <f t="shared" si="62"/>
        <v>Distress</v>
      </c>
      <c r="S316">
        <f t="shared" si="78"/>
        <v>-9.0052894897029487E-2</v>
      </c>
      <c r="T316">
        <f t="shared" si="79"/>
        <v>-0.44976909649260471</v>
      </c>
      <c r="U316">
        <f t="shared" si="80"/>
        <v>-1.4971506118321652E-2</v>
      </c>
      <c r="V316">
        <f t="shared" si="81"/>
        <v>0.3639089427117726</v>
      </c>
      <c r="X316" s="13">
        <f t="shared" si="63"/>
        <v>-2.0813549532016213</v>
      </c>
      <c r="Y316" s="10"/>
      <c r="Z316" s="10"/>
      <c r="AB316" s="10" t="str">
        <f t="shared" si="64"/>
        <v>Distress</v>
      </c>
      <c r="AC316" s="10">
        <f t="shared" si="65"/>
        <v>1</v>
      </c>
      <c r="AE316" s="10">
        <f t="shared" si="66"/>
        <v>1</v>
      </c>
      <c r="AG316" s="13">
        <f t="shared" si="67"/>
        <v>0.7310585786300049</v>
      </c>
      <c r="AH316" s="13">
        <f t="shared" si="68"/>
        <v>-0.2689414213699951</v>
      </c>
      <c r="AI316" s="10">
        <f t="shared" si="69"/>
        <v>0.19661193324148185</v>
      </c>
    </row>
    <row r="317" spans="1:35" x14ac:dyDescent="0.3">
      <c r="A317" t="s">
        <v>93</v>
      </c>
      <c r="B317">
        <v>2022</v>
      </c>
      <c r="C317" s="3">
        <v>-51888583742</v>
      </c>
      <c r="D317" s="3">
        <v>228731808998</v>
      </c>
      <c r="E317" s="3">
        <v>3589642467446</v>
      </c>
      <c r="F317" s="3">
        <v>262493584472</v>
      </c>
      <c r="G317" s="3">
        <v>3471237598677</v>
      </c>
      <c r="H317" s="3">
        <v>655779238220</v>
      </c>
      <c r="I317" s="3">
        <v>108773596885</v>
      </c>
      <c r="J317" s="3">
        <v>-1341979294646</v>
      </c>
      <c r="K317" s="3">
        <v>-393285653748</v>
      </c>
      <c r="M317" s="3">
        <v>971541518082</v>
      </c>
      <c r="N317" s="3">
        <v>-300206074060</v>
      </c>
      <c r="O317" s="3">
        <v>2236030686131</v>
      </c>
      <c r="P317">
        <f t="shared" si="76"/>
        <v>-2.0017006284486141</v>
      </c>
      <c r="Q317">
        <f t="shared" si="77"/>
        <v>1</v>
      </c>
      <c r="R317" t="str">
        <f t="shared" si="62"/>
        <v>Distress</v>
      </c>
      <c r="S317">
        <f t="shared" si="78"/>
        <v>-0.10956123271736848</v>
      </c>
      <c r="T317">
        <f t="shared" si="79"/>
        <v>-0.37384762042911945</v>
      </c>
      <c r="U317">
        <f t="shared" si="80"/>
        <v>-1.4455084096137933E-2</v>
      </c>
      <c r="V317">
        <f t="shared" si="81"/>
        <v>3.1335681811713811E-2</v>
      </c>
      <c r="X317" s="13">
        <f t="shared" si="63"/>
        <v>-1.9635372014141497</v>
      </c>
      <c r="Y317" s="10"/>
      <c r="Z317" s="10"/>
      <c r="AB317" s="10" t="str">
        <f t="shared" si="64"/>
        <v>Distress</v>
      </c>
      <c r="AC317" s="10">
        <f t="shared" si="65"/>
        <v>1</v>
      </c>
      <c r="AE317" s="10">
        <f t="shared" si="66"/>
        <v>1</v>
      </c>
      <c r="AG317" s="13">
        <f t="shared" si="67"/>
        <v>0.7310585786300049</v>
      </c>
      <c r="AH317" s="13">
        <f t="shared" si="68"/>
        <v>-0.2689414213699951</v>
      </c>
      <c r="AI317" s="10">
        <f t="shared" si="69"/>
        <v>0.19661193324148185</v>
      </c>
    </row>
    <row r="318" spans="1:35" x14ac:dyDescent="0.3">
      <c r="A318" t="s">
        <v>94</v>
      </c>
      <c r="B318">
        <v>2025</v>
      </c>
      <c r="C318" s="3">
        <v>183342474000</v>
      </c>
      <c r="D318" s="3">
        <v>37501202000</v>
      </c>
      <c r="E318" s="3">
        <v>2574370034000</v>
      </c>
      <c r="F318" s="3">
        <v>1962563676000</v>
      </c>
      <c r="G318" s="3">
        <v>1657245378000</v>
      </c>
      <c r="H318" s="3">
        <v>1566893096000</v>
      </c>
      <c r="I318" s="3">
        <v>917116864000</v>
      </c>
      <c r="J318" s="3">
        <v>535552765000</v>
      </c>
      <c r="K318" s="3">
        <v>395670580000</v>
      </c>
      <c r="M318" s="3">
        <v>4054410126000</v>
      </c>
      <c r="N318" s="3">
        <v>115373220000</v>
      </c>
      <c r="O318" s="3">
        <v>1123594097000</v>
      </c>
      <c r="P318">
        <f t="shared" si="76"/>
        <v>2.7460882065901924</v>
      </c>
      <c r="Q318">
        <f t="shared" si="77"/>
        <v>0</v>
      </c>
      <c r="R318" t="str">
        <f t="shared" si="62"/>
        <v>Safe</v>
      </c>
      <c r="S318">
        <f t="shared" si="78"/>
        <v>0.15369607895303833</v>
      </c>
      <c r="T318">
        <f t="shared" si="79"/>
        <v>0.20803255084812722</v>
      </c>
      <c r="U318">
        <f t="shared" si="80"/>
        <v>7.1218384140032301E-2</v>
      </c>
      <c r="V318">
        <f t="shared" si="81"/>
        <v>0.55339835378318969</v>
      </c>
      <c r="X318" s="13">
        <f t="shared" si="63"/>
        <v>1.9895134537112378</v>
      </c>
      <c r="Y318" s="10"/>
      <c r="Z318" s="10"/>
      <c r="AB318" s="10" t="str">
        <f t="shared" si="64"/>
        <v>Non-Distress</v>
      </c>
      <c r="AC318" s="10">
        <f t="shared" si="65"/>
        <v>0</v>
      </c>
      <c r="AE318" s="10">
        <f t="shared" si="66"/>
        <v>0</v>
      </c>
      <c r="AG318" s="13">
        <f t="shared" si="67"/>
        <v>0.5</v>
      </c>
      <c r="AH318" s="13">
        <f t="shared" si="68"/>
        <v>0.5</v>
      </c>
      <c r="AI318" s="10">
        <f t="shared" si="69"/>
        <v>0.25</v>
      </c>
    </row>
    <row r="319" spans="1:35" x14ac:dyDescent="0.3">
      <c r="A319" t="s">
        <v>94</v>
      </c>
      <c r="B319">
        <v>2024</v>
      </c>
      <c r="C319" s="3">
        <v>113135283000</v>
      </c>
      <c r="D319" s="3">
        <v>18830639000</v>
      </c>
      <c r="E319" s="3">
        <v>2559780236000</v>
      </c>
      <c r="F319" s="3">
        <v>1966667496000</v>
      </c>
      <c r="G319" s="3">
        <v>1729104372000</v>
      </c>
      <c r="H319" s="3">
        <v>1652255723000</v>
      </c>
      <c r="I319" s="3">
        <v>830668275000</v>
      </c>
      <c r="J319" s="3">
        <v>432739342000</v>
      </c>
      <c r="K319" s="3">
        <v>314411773000</v>
      </c>
      <c r="M319" s="3">
        <v>3508544707000</v>
      </c>
      <c r="N319" s="3">
        <v>76581895000</v>
      </c>
      <c r="O319" s="3">
        <v>1148964353000</v>
      </c>
      <c r="P319">
        <f t="shared" si="76"/>
        <v>2.1582927370933338</v>
      </c>
      <c r="Q319">
        <f t="shared" si="77"/>
        <v>0</v>
      </c>
      <c r="R319" t="str">
        <f t="shared" si="62"/>
        <v>Grey Area</v>
      </c>
      <c r="S319">
        <f t="shared" si="78"/>
        <v>0.12282764300552244</v>
      </c>
      <c r="T319">
        <f t="shared" si="79"/>
        <v>0.1690533179036546</v>
      </c>
      <c r="U319">
        <f t="shared" si="80"/>
        <v>4.4197264049819003E-2</v>
      </c>
      <c r="V319">
        <f t="shared" si="81"/>
        <v>0.48040377923467537</v>
      </c>
      <c r="X319" s="13">
        <f t="shared" si="63"/>
        <v>1.5392423114302858</v>
      </c>
      <c r="Y319" s="10"/>
      <c r="Z319" s="10"/>
      <c r="AB319" s="10" t="str">
        <f t="shared" si="64"/>
        <v>Non-Distress</v>
      </c>
      <c r="AC319" s="10">
        <f t="shared" si="65"/>
        <v>0</v>
      </c>
      <c r="AE319" s="10">
        <f t="shared" si="66"/>
        <v>0</v>
      </c>
      <c r="AG319" s="13">
        <f t="shared" si="67"/>
        <v>0.5</v>
      </c>
      <c r="AH319" s="13">
        <f t="shared" si="68"/>
        <v>0.5</v>
      </c>
      <c r="AI319" s="10">
        <f t="shared" si="69"/>
        <v>0.25</v>
      </c>
    </row>
    <row r="320" spans="1:35" x14ac:dyDescent="0.3">
      <c r="A320" t="s">
        <v>94</v>
      </c>
      <c r="B320">
        <v>2023</v>
      </c>
      <c r="C320" s="3">
        <v>137007525000</v>
      </c>
      <c r="D320" s="3">
        <v>29724203000</v>
      </c>
      <c r="E320" s="3">
        <v>2162295387000</v>
      </c>
      <c r="F320" s="3">
        <v>1593571789000</v>
      </c>
      <c r="G320" s="3">
        <v>1369447284000</v>
      </c>
      <c r="H320" s="3">
        <v>1303802353000</v>
      </c>
      <c r="I320" s="3">
        <v>792841680000</v>
      </c>
      <c r="J320" s="3">
        <v>396456276000</v>
      </c>
      <c r="K320" s="3">
        <v>289769436000</v>
      </c>
      <c r="M320" s="3">
        <v>3087562665000</v>
      </c>
      <c r="N320" s="3">
        <v>64390135000</v>
      </c>
      <c r="O320" s="3">
        <v>740343584000</v>
      </c>
      <c r="P320">
        <f t="shared" si="76"/>
        <v>2.5105172080509752</v>
      </c>
      <c r="Q320">
        <f t="shared" si="77"/>
        <v>0</v>
      </c>
      <c r="R320" t="str">
        <f t="shared" si="62"/>
        <v>Grey Area</v>
      </c>
      <c r="S320">
        <f t="shared" si="78"/>
        <v>0.13401010691792223</v>
      </c>
      <c r="T320">
        <f t="shared" si="79"/>
        <v>0.18334973028363585</v>
      </c>
      <c r="U320">
        <f t="shared" si="80"/>
        <v>6.336207616392607E-2</v>
      </c>
      <c r="V320">
        <f t="shared" si="81"/>
        <v>0.57895012773635179</v>
      </c>
      <c r="X320" s="13">
        <f t="shared" si="63"/>
        <v>1.7513871695805199</v>
      </c>
      <c r="Y320" s="10"/>
      <c r="Z320" s="10"/>
      <c r="AB320" s="10" t="str">
        <f t="shared" si="64"/>
        <v>Non-Distress</v>
      </c>
      <c r="AC320" s="10">
        <f t="shared" si="65"/>
        <v>0</v>
      </c>
      <c r="AE320" s="10">
        <f t="shared" si="66"/>
        <v>0</v>
      </c>
      <c r="AG320" s="13">
        <f t="shared" si="67"/>
        <v>0.5</v>
      </c>
      <c r="AH320" s="13">
        <f t="shared" si="68"/>
        <v>0.5</v>
      </c>
      <c r="AI320" s="10">
        <f t="shared" si="69"/>
        <v>0.25</v>
      </c>
    </row>
    <row r="321" spans="1:35" x14ac:dyDescent="0.3">
      <c r="A321" t="s">
        <v>94</v>
      </c>
      <c r="B321">
        <v>2022</v>
      </c>
      <c r="C321" s="3">
        <v>93995355000</v>
      </c>
      <c r="D321" s="3">
        <v>33909603000</v>
      </c>
      <c r="E321" s="3">
        <v>2199797641000</v>
      </c>
      <c r="F321" s="3">
        <v>1612699929000</v>
      </c>
      <c r="G321" s="3">
        <v>1451568681000</v>
      </c>
      <c r="H321" s="3">
        <v>1391322089000</v>
      </c>
      <c r="I321" s="3">
        <v>748223381000</v>
      </c>
      <c r="J321" s="3">
        <v>348445662000</v>
      </c>
      <c r="K321" s="3">
        <v>221377840000</v>
      </c>
      <c r="M321" s="3">
        <v>2816473345000</v>
      </c>
      <c r="N321" s="3">
        <v>57624980000</v>
      </c>
      <c r="O321" s="3">
        <v>887477482000</v>
      </c>
      <c r="P321">
        <f t="shared" si="76"/>
        <v>2.0049207026307969</v>
      </c>
      <c r="Q321">
        <f t="shared" si="77"/>
        <v>0</v>
      </c>
      <c r="R321" t="str">
        <f t="shared" si="62"/>
        <v>Grey Area</v>
      </c>
      <c r="S321">
        <f t="shared" si="78"/>
        <v>0.10063554750398061</v>
      </c>
      <c r="T321">
        <f t="shared" si="79"/>
        <v>0.15839896157066566</v>
      </c>
      <c r="U321">
        <f t="shared" si="80"/>
        <v>4.2729091643752701E-2</v>
      </c>
      <c r="V321">
        <f t="shared" si="81"/>
        <v>0.5154584766079009</v>
      </c>
      <c r="X321" s="13">
        <f t="shared" si="63"/>
        <v>1.3630883179835789</v>
      </c>
      <c r="Y321" s="10"/>
      <c r="Z321" s="10"/>
      <c r="AB321" s="10" t="str">
        <f t="shared" si="64"/>
        <v>Non-Distress</v>
      </c>
      <c r="AC321" s="10">
        <f t="shared" si="65"/>
        <v>0</v>
      </c>
      <c r="AE321" s="10">
        <f t="shared" si="66"/>
        <v>0</v>
      </c>
      <c r="AG321" s="13">
        <f t="shared" si="67"/>
        <v>0.5</v>
      </c>
      <c r="AH321" s="13">
        <f t="shared" si="68"/>
        <v>0.5</v>
      </c>
      <c r="AI321" s="10">
        <f t="shared" si="69"/>
        <v>0.25</v>
      </c>
    </row>
    <row r="322" spans="1:35" x14ac:dyDescent="0.3">
      <c r="A322" t="s">
        <v>95</v>
      </c>
      <c r="B322">
        <v>2025</v>
      </c>
      <c r="C322" s="3">
        <v>66630259386</v>
      </c>
      <c r="D322" s="3">
        <v>14931705684</v>
      </c>
      <c r="E322" s="3">
        <v>552114462075</v>
      </c>
      <c r="F322" s="3">
        <v>369259456868</v>
      </c>
      <c r="G322" s="3">
        <v>406594316759</v>
      </c>
      <c r="H322" s="3">
        <v>323886234629</v>
      </c>
      <c r="I322" s="3">
        <v>144739135572</v>
      </c>
      <c r="J322" s="3">
        <v>52616752362</v>
      </c>
      <c r="K322" s="3">
        <v>45373222239</v>
      </c>
      <c r="M322" s="3">
        <v>753050908792</v>
      </c>
      <c r="N322" s="3">
        <v>39022996406</v>
      </c>
      <c r="O322" s="3">
        <v>208774340431</v>
      </c>
      <c r="P322">
        <f t="shared" si="76"/>
        <v>2.0345466770612797</v>
      </c>
      <c r="Q322">
        <f t="shared" si="77"/>
        <v>0</v>
      </c>
      <c r="R322" t="str">
        <f t="shared" ref="R322:R385" si="82">IF(P322&lt;1.1, "Distress", IF(P322&lt;=2.6, "Grey Area", "Safe"))</f>
        <v>Grey Area</v>
      </c>
      <c r="S322">
        <f t="shared" si="78"/>
        <v>8.2180825455060141E-2</v>
      </c>
      <c r="T322">
        <f t="shared" si="79"/>
        <v>9.5300442166016769E-2</v>
      </c>
      <c r="U322">
        <f t="shared" si="80"/>
        <v>0.12068196716960632</v>
      </c>
      <c r="V322">
        <f t="shared" si="81"/>
        <v>0.35597923927153907</v>
      </c>
      <c r="X322" s="13">
        <f t="shared" ref="X322:X385" si="83">(S322 * $T$729) + (T322 * $T$730) + (U322 * $T$731) + (V322 * $T$732)</f>
        <v>1.4137147439473983</v>
      </c>
      <c r="Y322" s="10"/>
      <c r="Z322" s="10"/>
      <c r="AB322" s="10" t="str">
        <f t="shared" si="64"/>
        <v>Non-Distress</v>
      </c>
      <c r="AC322" s="10">
        <f t="shared" si="65"/>
        <v>0</v>
      </c>
      <c r="AE322" s="10">
        <f t="shared" si="66"/>
        <v>0</v>
      </c>
      <c r="AG322" s="13">
        <f t="shared" si="67"/>
        <v>0.5</v>
      </c>
      <c r="AH322" s="13">
        <f t="shared" si="68"/>
        <v>0.5</v>
      </c>
      <c r="AI322" s="10">
        <f t="shared" si="69"/>
        <v>0.25</v>
      </c>
    </row>
    <row r="323" spans="1:35" x14ac:dyDescent="0.3">
      <c r="A323" t="s">
        <v>95</v>
      </c>
      <c r="B323">
        <v>2024</v>
      </c>
      <c r="C323" s="3">
        <v>39271177477</v>
      </c>
      <c r="D323" s="3">
        <v>19030126671</v>
      </c>
      <c r="E323" s="3">
        <v>522597302666</v>
      </c>
      <c r="F323" s="3">
        <v>319581242183</v>
      </c>
      <c r="G323" s="3">
        <v>404078499348</v>
      </c>
      <c r="H323" s="3">
        <v>327378643438</v>
      </c>
      <c r="I323" s="3">
        <v>118552487634</v>
      </c>
      <c r="J323" s="3">
        <v>13593755956</v>
      </c>
      <c r="K323" s="3">
        <v>-7797401255</v>
      </c>
      <c r="M323" s="3">
        <v>788428762579</v>
      </c>
      <c r="N323" s="3">
        <v>12916207375</v>
      </c>
      <c r="O323" s="3">
        <v>213475023112</v>
      </c>
      <c r="P323">
        <f t="shared" si="76"/>
        <v>0.79996189454602096</v>
      </c>
      <c r="Q323">
        <f t="shared" si="77"/>
        <v>1</v>
      </c>
      <c r="R323" t="str">
        <f t="shared" si="82"/>
        <v>Distress</v>
      </c>
      <c r="S323">
        <f t="shared" si="78"/>
        <v>-1.4920477421567251E-2</v>
      </c>
      <c r="T323">
        <f t="shared" si="79"/>
        <v>2.6011913736738092E-2</v>
      </c>
      <c r="U323">
        <f t="shared" si="80"/>
        <v>7.5146154173893268E-2</v>
      </c>
      <c r="V323">
        <f t="shared" si="81"/>
        <v>0.29338974438206961</v>
      </c>
      <c r="X323" s="13">
        <f t="shared" si="83"/>
        <v>0.37017456913073815</v>
      </c>
      <c r="Y323" s="10"/>
      <c r="Z323" s="10"/>
      <c r="AB323" s="10" t="str">
        <f t="shared" ref="AB323:AB386" si="84">IF(X323 &lt; AA323, "Distress", "Non-Distress")</f>
        <v>Non-Distress</v>
      </c>
      <c r="AC323" s="10">
        <f t="shared" ref="AC323:AC386" si="85">IF(X323 &lt; AA323, 1, 0)</f>
        <v>0</v>
      </c>
      <c r="AE323" s="10">
        <f t="shared" ref="AE323:AE386" si="86">IF(VALUE(TRIM(P323))&lt;=1.1, 1, 0)</f>
        <v>1</v>
      </c>
      <c r="AG323" s="13">
        <f t="shared" ref="AG323:AG386" si="87">1/(1+EXP(-Q323))</f>
        <v>0.7310585786300049</v>
      </c>
      <c r="AH323" s="13">
        <f t="shared" ref="AH323:AH386" si="88">AG323-Q323</f>
        <v>-0.2689414213699951</v>
      </c>
      <c r="AI323" s="10">
        <f t="shared" ref="AI323:AI386" si="89">AG323*(1-AG323)</f>
        <v>0.19661193324148185</v>
      </c>
    </row>
    <row r="324" spans="1:35" x14ac:dyDescent="0.3">
      <c r="A324" t="s">
        <v>95</v>
      </c>
      <c r="B324">
        <v>2023</v>
      </c>
      <c r="C324" s="3">
        <v>29304939312</v>
      </c>
      <c r="D324" s="3">
        <v>22696486689</v>
      </c>
      <c r="E324" s="3">
        <v>514046461344</v>
      </c>
      <c r="F324" s="3">
        <v>287383790333</v>
      </c>
      <c r="G324" s="3">
        <v>407366435727</v>
      </c>
      <c r="H324" s="3">
        <v>313352436106</v>
      </c>
      <c r="I324" s="3">
        <v>106839092413</v>
      </c>
      <c r="J324" s="3">
        <v>677548581</v>
      </c>
      <c r="K324" s="3">
        <v>-25968645773</v>
      </c>
      <c r="M324" s="3">
        <v>838941159796</v>
      </c>
      <c r="N324" s="3">
        <v>2395122475</v>
      </c>
      <c r="O324" s="3">
        <v>256544658548</v>
      </c>
      <c r="P324">
        <f t="shared" si="76"/>
        <v>0.33137549763539581</v>
      </c>
      <c r="Q324">
        <f t="shared" si="77"/>
        <v>1</v>
      </c>
      <c r="R324" t="str">
        <f t="shared" si="82"/>
        <v>Distress</v>
      </c>
      <c r="S324">
        <f t="shared" si="78"/>
        <v>-5.0518090728810167E-2</v>
      </c>
      <c r="T324">
        <f t="shared" si="79"/>
        <v>1.3180687582762763E-3</v>
      </c>
      <c r="U324">
        <f t="shared" si="80"/>
        <v>5.700834752442567E-2</v>
      </c>
      <c r="V324">
        <f t="shared" si="81"/>
        <v>0.26226778409549456</v>
      </c>
      <c r="X324" s="13">
        <f t="shared" si="83"/>
        <v>-1.7408797325648099E-2</v>
      </c>
      <c r="Y324" s="10"/>
      <c r="Z324" s="10"/>
      <c r="AB324" s="10" t="str">
        <f t="shared" si="84"/>
        <v>Distress</v>
      </c>
      <c r="AC324" s="10">
        <f t="shared" si="85"/>
        <v>1</v>
      </c>
      <c r="AE324" s="10">
        <f t="shared" si="86"/>
        <v>1</v>
      </c>
      <c r="AG324" s="13">
        <f t="shared" si="87"/>
        <v>0.7310585786300049</v>
      </c>
      <c r="AH324" s="13">
        <f t="shared" si="88"/>
        <v>-0.2689414213699951</v>
      </c>
      <c r="AI324" s="10">
        <f t="shared" si="89"/>
        <v>0.19661193324148185</v>
      </c>
    </row>
    <row r="325" spans="1:35" x14ac:dyDescent="0.3">
      <c r="A325" t="s">
        <v>96</v>
      </c>
      <c r="B325">
        <v>2025</v>
      </c>
      <c r="C325" s="3">
        <v>6199595000000</v>
      </c>
      <c r="D325" s="3">
        <v>715946000000</v>
      </c>
      <c r="E325" s="3">
        <v>40060430000000</v>
      </c>
      <c r="F325" s="3">
        <v>21376175000000</v>
      </c>
      <c r="G325" s="3">
        <v>20041473000000</v>
      </c>
      <c r="H325" s="3">
        <v>16517464000000</v>
      </c>
      <c r="I325" s="3">
        <v>18663756000000</v>
      </c>
      <c r="J325" s="3">
        <v>15415318000000</v>
      </c>
      <c r="K325" s="3">
        <v>4858711000000</v>
      </c>
      <c r="M325" s="3">
        <v>60715806000000</v>
      </c>
      <c r="N325" s="3">
        <v>4003999000000</v>
      </c>
      <c r="O325" s="3">
        <v>11862081000000</v>
      </c>
      <c r="P325">
        <f t="shared" si="76"/>
        <v>4.0678602365316774</v>
      </c>
      <c r="Q325">
        <f t="shared" si="77"/>
        <v>0</v>
      </c>
      <c r="R325" t="str">
        <f t="shared" si="82"/>
        <v>Safe</v>
      </c>
      <c r="S325">
        <f t="shared" si="78"/>
        <v>0.12128454437458609</v>
      </c>
      <c r="T325">
        <f t="shared" si="79"/>
        <v>0.38480161096623278</v>
      </c>
      <c r="U325">
        <f t="shared" si="80"/>
        <v>0.15475607725628507</v>
      </c>
      <c r="V325">
        <f t="shared" si="81"/>
        <v>0.93125669954498858</v>
      </c>
      <c r="X325" s="13">
        <f t="shared" si="83"/>
        <v>2.7911277464096771</v>
      </c>
      <c r="Y325" s="10"/>
      <c r="Z325" s="10"/>
      <c r="AB325" s="10" t="str">
        <f t="shared" si="84"/>
        <v>Non-Distress</v>
      </c>
      <c r="AC325" s="10">
        <f t="shared" si="85"/>
        <v>0</v>
      </c>
      <c r="AE325" s="10">
        <f t="shared" si="86"/>
        <v>0</v>
      </c>
      <c r="AG325" s="13">
        <f t="shared" si="87"/>
        <v>0.5</v>
      </c>
      <c r="AH325" s="13">
        <f t="shared" si="88"/>
        <v>0.5</v>
      </c>
      <c r="AI325" s="10">
        <f t="shared" si="89"/>
        <v>0.25</v>
      </c>
    </row>
    <row r="326" spans="1:35" x14ac:dyDescent="0.3">
      <c r="A326" t="s">
        <v>96</v>
      </c>
      <c r="B326">
        <v>2024</v>
      </c>
      <c r="C326" s="3">
        <v>5065071000000</v>
      </c>
      <c r="D326" s="3">
        <v>823599000000</v>
      </c>
      <c r="E326" s="3">
        <v>34666283000000</v>
      </c>
      <c r="F326" s="3">
        <v>17169254000000</v>
      </c>
      <c r="G326" s="3">
        <v>18093761000000</v>
      </c>
      <c r="H326" s="3">
        <v>9295556000000</v>
      </c>
      <c r="I326" s="3">
        <v>15476838000000</v>
      </c>
      <c r="J326" s="3">
        <v>12377416000000</v>
      </c>
      <c r="K326" s="3">
        <v>7873698000000</v>
      </c>
      <c r="M326" s="3">
        <v>55800849000000</v>
      </c>
      <c r="N326" s="3">
        <v>3018892000000</v>
      </c>
      <c r="O326" s="3">
        <v>10743624000000</v>
      </c>
      <c r="P326">
        <f t="shared" si="76"/>
        <v>4.5339210615436789</v>
      </c>
      <c r="Q326">
        <f t="shared" si="77"/>
        <v>0</v>
      </c>
      <c r="R326" t="str">
        <f t="shared" si="82"/>
        <v>Safe</v>
      </c>
      <c r="S326">
        <f t="shared" si="78"/>
        <v>0.2271284175462365</v>
      </c>
      <c r="T326">
        <f t="shared" si="79"/>
        <v>0.35704479767848202</v>
      </c>
      <c r="U326">
        <f t="shared" si="80"/>
        <v>0.14610943434575896</v>
      </c>
      <c r="V326">
        <f t="shared" si="81"/>
        <v>0.85536876495715841</v>
      </c>
      <c r="X326" s="13">
        <f t="shared" si="83"/>
        <v>3.3019778931956707</v>
      </c>
      <c r="Y326" s="10"/>
      <c r="Z326" s="10"/>
      <c r="AB326" s="10" t="str">
        <f t="shared" si="84"/>
        <v>Non-Distress</v>
      </c>
      <c r="AC326" s="10">
        <f t="shared" si="85"/>
        <v>0</v>
      </c>
      <c r="AE326" s="10">
        <f t="shared" si="86"/>
        <v>0</v>
      </c>
      <c r="AG326" s="13">
        <f t="shared" si="87"/>
        <v>0.5</v>
      </c>
      <c r="AH326" s="13">
        <f t="shared" si="88"/>
        <v>0.5</v>
      </c>
      <c r="AI326" s="10">
        <f t="shared" si="89"/>
        <v>0.25</v>
      </c>
    </row>
    <row r="327" spans="1:35" x14ac:dyDescent="0.3">
      <c r="A327" t="s">
        <v>96</v>
      </c>
      <c r="B327">
        <v>2023</v>
      </c>
      <c r="C327" s="3">
        <v>2160623000000</v>
      </c>
      <c r="D327" s="3">
        <v>899386000000</v>
      </c>
      <c r="E327" s="3">
        <v>34109431000000</v>
      </c>
      <c r="F327" s="3">
        <v>17218323000000</v>
      </c>
      <c r="G327" s="3">
        <v>19942219000000</v>
      </c>
      <c r="H327" s="3">
        <v>10684062000000</v>
      </c>
      <c r="I327" s="3">
        <v>13226291000000</v>
      </c>
      <c r="J327" s="3">
        <v>10165559000000</v>
      </c>
      <c r="K327" s="3">
        <v>6534261000000</v>
      </c>
      <c r="M327" s="3">
        <v>51175898000000</v>
      </c>
      <c r="N327" s="3">
        <v>929716000000</v>
      </c>
      <c r="O327" s="3">
        <v>12845690000000</v>
      </c>
      <c r="P327">
        <f t="shared" si="76"/>
        <v>3.3503168783944695</v>
      </c>
      <c r="Q327">
        <f t="shared" si="77"/>
        <v>0</v>
      </c>
      <c r="R327" t="str">
        <f t="shared" si="82"/>
        <v>Safe</v>
      </c>
      <c r="S327">
        <f t="shared" si="78"/>
        <v>0.19156757554824061</v>
      </c>
      <c r="T327">
        <f t="shared" si="79"/>
        <v>0.29802780937623968</v>
      </c>
      <c r="U327">
        <f t="shared" si="80"/>
        <v>6.3343859356668836E-2</v>
      </c>
      <c r="V327">
        <f t="shared" si="81"/>
        <v>0.66323065652824287</v>
      </c>
      <c r="X327" s="13">
        <f t="shared" si="83"/>
        <v>2.4825781175475141</v>
      </c>
      <c r="Y327" s="10"/>
      <c r="Z327" s="10"/>
      <c r="AB327" s="10" t="str">
        <f t="shared" si="84"/>
        <v>Non-Distress</v>
      </c>
      <c r="AC327" s="10">
        <f t="shared" si="85"/>
        <v>0</v>
      </c>
      <c r="AE327" s="10">
        <f t="shared" si="86"/>
        <v>0</v>
      </c>
      <c r="AG327" s="13">
        <f t="shared" si="87"/>
        <v>0.5</v>
      </c>
      <c r="AH327" s="13">
        <f t="shared" si="88"/>
        <v>0.5</v>
      </c>
      <c r="AI327" s="10">
        <f t="shared" si="89"/>
        <v>0.25</v>
      </c>
    </row>
    <row r="328" spans="1:35" x14ac:dyDescent="0.3">
      <c r="A328" t="s">
        <v>96</v>
      </c>
      <c r="B328">
        <v>2022</v>
      </c>
      <c r="C328" s="3">
        <v>2632011000000</v>
      </c>
      <c r="D328" s="3">
        <v>677482000000</v>
      </c>
      <c r="E328" s="3">
        <v>32690887000000</v>
      </c>
      <c r="F328" s="3">
        <v>17001468000000</v>
      </c>
      <c r="G328" s="3">
        <v>19036110000000</v>
      </c>
      <c r="H328" s="3">
        <v>9412440000000</v>
      </c>
      <c r="I328" s="3">
        <v>12748045000000</v>
      </c>
      <c r="J328" s="3">
        <v>9880493000000</v>
      </c>
      <c r="K328" s="3">
        <v>7589028000000</v>
      </c>
      <c r="M328" s="3">
        <v>48972085000000</v>
      </c>
      <c r="N328" s="3">
        <v>1419855000000</v>
      </c>
      <c r="O328" s="3">
        <v>12866660000000</v>
      </c>
      <c r="P328">
        <f t="shared" si="76"/>
        <v>3.7523759023244665</v>
      </c>
      <c r="Q328">
        <f t="shared" si="77"/>
        <v>0</v>
      </c>
      <c r="R328" t="str">
        <f t="shared" si="82"/>
        <v>Safe</v>
      </c>
      <c r="S328">
        <f t="shared" si="78"/>
        <v>0.23214506232272009</v>
      </c>
      <c r="T328">
        <f t="shared" si="79"/>
        <v>0.30223997898863986</v>
      </c>
      <c r="U328">
        <f t="shared" si="80"/>
        <v>8.0512070535131083E-2</v>
      </c>
      <c r="V328">
        <f t="shared" si="81"/>
        <v>0.66967699808416736</v>
      </c>
      <c r="X328" s="13">
        <f t="shared" si="83"/>
        <v>2.8277170283115418</v>
      </c>
      <c r="Y328" s="10"/>
      <c r="Z328" s="10"/>
      <c r="AB328" s="10" t="str">
        <f t="shared" si="84"/>
        <v>Non-Distress</v>
      </c>
      <c r="AC328" s="10">
        <f t="shared" si="85"/>
        <v>0</v>
      </c>
      <c r="AE328" s="10">
        <f t="shared" si="86"/>
        <v>0</v>
      </c>
      <c r="AG328" s="13">
        <f t="shared" si="87"/>
        <v>0.5</v>
      </c>
      <c r="AH328" s="13">
        <f t="shared" si="88"/>
        <v>0.5</v>
      </c>
      <c r="AI328" s="10">
        <f t="shared" si="89"/>
        <v>0.25</v>
      </c>
    </row>
    <row r="329" spans="1:35" x14ac:dyDescent="0.3">
      <c r="A329" t="s">
        <v>97</v>
      </c>
      <c r="B329">
        <v>2025</v>
      </c>
      <c r="C329" s="3">
        <v>239601546732</v>
      </c>
      <c r="D329" s="3">
        <v>10205012782</v>
      </c>
      <c r="E329" s="3">
        <v>3364952358680</v>
      </c>
      <c r="F329" s="3">
        <v>2511280661732</v>
      </c>
      <c r="G329" s="3">
        <v>443811167738</v>
      </c>
      <c r="H329" s="3">
        <v>321183815056</v>
      </c>
      <c r="I329" s="3">
        <v>2813582698747</v>
      </c>
      <c r="J329" s="3">
        <v>2068043737062</v>
      </c>
      <c r="K329" s="3">
        <v>2190096846676</v>
      </c>
      <c r="M329" s="3">
        <v>3735132227593</v>
      </c>
      <c r="N329" s="3">
        <v>203710801127</v>
      </c>
      <c r="O329" s="3">
        <v>122804605017</v>
      </c>
      <c r="P329">
        <f t="shared" si="76"/>
        <v>13.408223805895311</v>
      </c>
      <c r="Q329">
        <f t="shared" si="77"/>
        <v>0</v>
      </c>
      <c r="R329" t="str">
        <f t="shared" si="82"/>
        <v>Safe</v>
      </c>
      <c r="S329">
        <f t="shared" si="78"/>
        <v>0.65085523158346559</v>
      </c>
      <c r="T329">
        <f t="shared" si="79"/>
        <v>0.61458336303853345</v>
      </c>
      <c r="U329">
        <f t="shared" si="80"/>
        <v>7.1205033888203595E-2</v>
      </c>
      <c r="V329">
        <f t="shared" si="81"/>
        <v>6.3395941861651703</v>
      </c>
      <c r="X329" s="13">
        <f t="shared" si="83"/>
        <v>6.6091485069661253</v>
      </c>
      <c r="Y329" s="10"/>
      <c r="Z329" s="10"/>
      <c r="AB329" s="10" t="str">
        <f t="shared" si="84"/>
        <v>Non-Distress</v>
      </c>
      <c r="AC329" s="10">
        <f t="shared" si="85"/>
        <v>0</v>
      </c>
      <c r="AE329" s="10">
        <f t="shared" si="86"/>
        <v>0</v>
      </c>
      <c r="AG329" s="13">
        <f t="shared" si="87"/>
        <v>0.5</v>
      </c>
      <c r="AH329" s="13">
        <f t="shared" si="88"/>
        <v>0.5</v>
      </c>
      <c r="AI329" s="10">
        <f t="shared" si="89"/>
        <v>0.25</v>
      </c>
    </row>
    <row r="330" spans="1:35" x14ac:dyDescent="0.3">
      <c r="A330" t="s">
        <v>97</v>
      </c>
      <c r="B330">
        <v>2024</v>
      </c>
      <c r="C330" s="3">
        <v>276845848746</v>
      </c>
      <c r="D330" s="3">
        <v>367815736</v>
      </c>
      <c r="E330" s="3">
        <v>3120121052477</v>
      </c>
      <c r="F330" s="3">
        <v>2288504899190</v>
      </c>
      <c r="G330" s="3">
        <v>333194743386</v>
      </c>
      <c r="H330" s="3">
        <v>223969870769</v>
      </c>
      <c r="I330" s="3">
        <v>2681962428889</v>
      </c>
      <c r="J330" s="3">
        <v>1937455932754</v>
      </c>
      <c r="K330" s="3">
        <v>2064535028421</v>
      </c>
      <c r="M330" s="3">
        <v>3393775712485</v>
      </c>
      <c r="N330" s="3">
        <v>229584387673</v>
      </c>
      <c r="O330" s="3">
        <v>4307798018</v>
      </c>
      <c r="P330">
        <f t="shared" si="76"/>
        <v>15.412919187250537</v>
      </c>
      <c r="Q330">
        <f t="shared" si="77"/>
        <v>0</v>
      </c>
      <c r="R330" t="str">
        <f t="shared" si="82"/>
        <v>Safe</v>
      </c>
      <c r="S330">
        <f t="shared" si="78"/>
        <v>0.66168427240411332</v>
      </c>
      <c r="T330">
        <f t="shared" si="79"/>
        <v>0.62095537325896166</v>
      </c>
      <c r="U330">
        <f t="shared" si="80"/>
        <v>8.8729201236028246E-2</v>
      </c>
      <c r="V330">
        <f t="shared" si="81"/>
        <v>8.0492339153802188</v>
      </c>
      <c r="X330" s="13">
        <f t="shared" si="83"/>
        <v>6.8544353849784141</v>
      </c>
      <c r="Y330" s="10"/>
      <c r="Z330" s="10"/>
      <c r="AB330" s="10" t="str">
        <f t="shared" si="84"/>
        <v>Non-Distress</v>
      </c>
      <c r="AC330" s="10">
        <f t="shared" si="85"/>
        <v>0</v>
      </c>
      <c r="AE330" s="10">
        <f t="shared" si="86"/>
        <v>0</v>
      </c>
      <c r="AG330" s="13">
        <f t="shared" si="87"/>
        <v>0.5</v>
      </c>
      <c r="AH330" s="13">
        <f t="shared" si="88"/>
        <v>0.5</v>
      </c>
      <c r="AI330" s="10">
        <f t="shared" si="89"/>
        <v>0.25</v>
      </c>
    </row>
    <row r="331" spans="1:35" x14ac:dyDescent="0.3">
      <c r="A331" t="s">
        <v>97</v>
      </c>
      <c r="B331">
        <v>2023</v>
      </c>
      <c r="C331" s="3">
        <v>138958792207</v>
      </c>
      <c r="D331" s="3">
        <v>407240986</v>
      </c>
      <c r="E331" s="3">
        <v>2976407140255</v>
      </c>
      <c r="F331" s="3">
        <v>2186612525959</v>
      </c>
      <c r="G331" s="3">
        <v>381355701983</v>
      </c>
      <c r="H331" s="3">
        <v>273711862370</v>
      </c>
      <c r="I331" s="3">
        <v>2486380414812</v>
      </c>
      <c r="J331" s="3">
        <v>1744929425937</v>
      </c>
      <c r="K331" s="3">
        <v>1912900663589</v>
      </c>
      <c r="M331" s="3">
        <v>2764212244707</v>
      </c>
      <c r="N331" s="3">
        <v>125302243029</v>
      </c>
      <c r="O331" s="3">
        <v>100510307557</v>
      </c>
      <c r="P331">
        <f t="shared" si="76"/>
        <v>13.286792171140078</v>
      </c>
      <c r="Q331">
        <f t="shared" si="77"/>
        <v>0</v>
      </c>
      <c r="R331" t="str">
        <f t="shared" si="82"/>
        <v>Safe</v>
      </c>
      <c r="S331">
        <f t="shared" si="78"/>
        <v>0.64268783585336875</v>
      </c>
      <c r="T331">
        <f t="shared" si="79"/>
        <v>0.58625360836471629</v>
      </c>
      <c r="U331">
        <f t="shared" si="80"/>
        <v>4.6686755426576111E-2</v>
      </c>
      <c r="V331">
        <f t="shared" si="81"/>
        <v>6.5198459125775372</v>
      </c>
      <c r="X331" s="13">
        <f t="shared" si="83"/>
        <v>6.3555162884068181</v>
      </c>
      <c r="Y331" s="10"/>
      <c r="Z331" s="10"/>
      <c r="AB331" s="10" t="str">
        <f t="shared" si="84"/>
        <v>Non-Distress</v>
      </c>
      <c r="AC331" s="10">
        <f t="shared" si="85"/>
        <v>0</v>
      </c>
      <c r="AE331" s="10">
        <f t="shared" si="86"/>
        <v>0</v>
      </c>
      <c r="AG331" s="13">
        <f t="shared" si="87"/>
        <v>0.5</v>
      </c>
      <c r="AH331" s="13">
        <f t="shared" si="88"/>
        <v>0.5</v>
      </c>
      <c r="AI331" s="10">
        <f t="shared" si="89"/>
        <v>0.25</v>
      </c>
    </row>
    <row r="332" spans="1:35" x14ac:dyDescent="0.3">
      <c r="A332" t="s">
        <v>97</v>
      </c>
      <c r="B332">
        <v>2022</v>
      </c>
      <c r="C332" s="3">
        <v>87056016776</v>
      </c>
      <c r="D332" s="3">
        <v>322836887</v>
      </c>
      <c r="E332" s="3">
        <v>2797005026270</v>
      </c>
      <c r="F332" s="3">
        <v>1952463428100</v>
      </c>
      <c r="G332" s="3">
        <v>301997266597</v>
      </c>
      <c r="H332" s="3">
        <v>187361934985</v>
      </c>
      <c r="I332" s="3">
        <v>2375608208051</v>
      </c>
      <c r="J332" s="3">
        <v>1640656123336</v>
      </c>
      <c r="K332" s="3">
        <v>1765101493115</v>
      </c>
      <c r="M332" s="3">
        <v>2221091331884</v>
      </c>
      <c r="N332" s="3">
        <v>64947090367</v>
      </c>
      <c r="O332" s="3">
        <v>50649569860</v>
      </c>
      <c r="P332">
        <f t="shared" si="76"/>
        <v>14.520844481730546</v>
      </c>
      <c r="Q332">
        <f t="shared" si="77"/>
        <v>0</v>
      </c>
      <c r="R332" t="str">
        <f t="shared" si="82"/>
        <v>Safe</v>
      </c>
      <c r="S332">
        <f t="shared" si="78"/>
        <v>0.63106840228631444</v>
      </c>
      <c r="T332">
        <f t="shared" si="79"/>
        <v>0.58657603684178161</v>
      </c>
      <c r="U332">
        <f t="shared" si="80"/>
        <v>3.1124726612341926E-2</v>
      </c>
      <c r="V332">
        <f t="shared" si="81"/>
        <v>7.866323542660167</v>
      </c>
      <c r="X332" s="13">
        <f t="shared" si="83"/>
        <v>6.2681207180268999</v>
      </c>
      <c r="Y332" s="10"/>
      <c r="Z332" s="10"/>
      <c r="AB332" s="10" t="str">
        <f t="shared" si="84"/>
        <v>Non-Distress</v>
      </c>
      <c r="AC332" s="10">
        <f t="shared" si="85"/>
        <v>0</v>
      </c>
      <c r="AE332" s="10">
        <f t="shared" si="86"/>
        <v>0</v>
      </c>
      <c r="AG332" s="13">
        <f t="shared" si="87"/>
        <v>0.5</v>
      </c>
      <c r="AH332" s="13">
        <f t="shared" si="88"/>
        <v>0.5</v>
      </c>
      <c r="AI332" s="10">
        <f t="shared" si="89"/>
        <v>0.25</v>
      </c>
    </row>
    <row r="333" spans="1:35" x14ac:dyDescent="0.3">
      <c r="A333" t="s">
        <v>98</v>
      </c>
      <c r="B333">
        <v>2025</v>
      </c>
      <c r="C333" s="3">
        <v>226953019919</v>
      </c>
      <c r="D333" s="3">
        <v>399241934</v>
      </c>
      <c r="E333" s="3">
        <v>1251481880725</v>
      </c>
      <c r="F333" s="3">
        <v>756232840845</v>
      </c>
      <c r="G333" s="3">
        <v>406394445935</v>
      </c>
      <c r="H333" s="3">
        <v>404740713527</v>
      </c>
      <c r="I333" s="3">
        <v>845087434790</v>
      </c>
      <c r="J333" s="3">
        <v>539690631001</v>
      </c>
      <c r="K333" s="3">
        <v>351492127318</v>
      </c>
      <c r="M333" s="3">
        <v>1506300329890</v>
      </c>
      <c r="N333" s="3">
        <v>179446799045</v>
      </c>
      <c r="P333">
        <f t="shared" si="76"/>
        <v>6.6503973375880072</v>
      </c>
      <c r="Q333">
        <f t="shared" si="77"/>
        <v>0</v>
      </c>
      <c r="R333" t="str">
        <f t="shared" si="82"/>
        <v>Safe</v>
      </c>
      <c r="S333">
        <f t="shared" si="78"/>
        <v>0.28086074016059742</v>
      </c>
      <c r="T333">
        <f t="shared" si="79"/>
        <v>0.43124126630451098</v>
      </c>
      <c r="U333">
        <f t="shared" si="80"/>
        <v>0.18134742772905599</v>
      </c>
      <c r="V333">
        <f t="shared" si="81"/>
        <v>2.0794758472785966</v>
      </c>
      <c r="X333" s="13">
        <f t="shared" si="83"/>
        <v>4.0966192080240251</v>
      </c>
      <c r="Y333" s="10"/>
      <c r="Z333" s="10"/>
      <c r="AB333" s="10" t="str">
        <f t="shared" si="84"/>
        <v>Non-Distress</v>
      </c>
      <c r="AC333" s="10">
        <f t="shared" si="85"/>
        <v>0</v>
      </c>
      <c r="AE333" s="10">
        <f t="shared" si="86"/>
        <v>0</v>
      </c>
      <c r="AG333" s="13">
        <f t="shared" si="87"/>
        <v>0.5</v>
      </c>
      <c r="AH333" s="13">
        <f t="shared" si="88"/>
        <v>0.5</v>
      </c>
      <c r="AI333" s="10">
        <f t="shared" si="89"/>
        <v>0.25</v>
      </c>
    </row>
    <row r="334" spans="1:35" x14ac:dyDescent="0.3">
      <c r="A334" t="s">
        <v>98</v>
      </c>
      <c r="B334">
        <v>2024</v>
      </c>
      <c r="C334" s="3">
        <v>186235224083</v>
      </c>
      <c r="D334" s="3">
        <v>238796739</v>
      </c>
      <c r="E334" s="3">
        <v>974057856516</v>
      </c>
      <c r="F334" s="3">
        <v>675847013685</v>
      </c>
      <c r="G334" s="3">
        <v>234190127915</v>
      </c>
      <c r="H334" s="3">
        <v>231156952579</v>
      </c>
      <c r="I334" s="3">
        <v>739867728601</v>
      </c>
      <c r="J334" s="3">
        <v>435368831943</v>
      </c>
      <c r="K334" s="3">
        <v>444690061106</v>
      </c>
      <c r="M334" s="3">
        <v>1264335961440</v>
      </c>
      <c r="N334" s="3">
        <v>146880537264</v>
      </c>
      <c r="P334">
        <f t="shared" si="76"/>
        <v>9.0540186579167354</v>
      </c>
      <c r="Q334">
        <f t="shared" si="77"/>
        <v>0</v>
      </c>
      <c r="R334" t="str">
        <f t="shared" si="82"/>
        <v>Safe</v>
      </c>
      <c r="S334">
        <f t="shared" si="78"/>
        <v>0.45653351916544543</v>
      </c>
      <c r="T334">
        <f t="shared" si="79"/>
        <v>0.44696403712631888</v>
      </c>
      <c r="U334">
        <f t="shared" si="80"/>
        <v>0.1911952383907915</v>
      </c>
      <c r="V334">
        <f t="shared" si="81"/>
        <v>3.1592609611176146</v>
      </c>
      <c r="X334" s="13">
        <f t="shared" si="83"/>
        <v>5.3158803385470081</v>
      </c>
      <c r="Y334" s="10"/>
      <c r="Z334" s="10"/>
      <c r="AB334" s="10" t="str">
        <f t="shared" si="84"/>
        <v>Non-Distress</v>
      </c>
      <c r="AC334" s="10">
        <f t="shared" si="85"/>
        <v>0</v>
      </c>
      <c r="AE334" s="10">
        <f t="shared" si="86"/>
        <v>0</v>
      </c>
      <c r="AG334" s="13">
        <f t="shared" si="87"/>
        <v>0.5</v>
      </c>
      <c r="AH334" s="13">
        <f t="shared" si="88"/>
        <v>0.5</v>
      </c>
      <c r="AI334" s="10">
        <f t="shared" si="89"/>
        <v>0.25</v>
      </c>
    </row>
    <row r="335" spans="1:35" x14ac:dyDescent="0.3">
      <c r="A335" t="s">
        <v>98</v>
      </c>
      <c r="B335">
        <v>2023</v>
      </c>
      <c r="C335" s="3">
        <v>104039135409</v>
      </c>
      <c r="D335" s="3">
        <v>1058466028</v>
      </c>
      <c r="E335" s="3">
        <v>828378354007</v>
      </c>
      <c r="F335" s="3">
        <v>626945337747</v>
      </c>
      <c r="G335" s="3">
        <v>157605395595</v>
      </c>
      <c r="H335" s="3">
        <v>155478057562</v>
      </c>
      <c r="I335" s="3">
        <v>670772958412</v>
      </c>
      <c r="J335" s="3">
        <v>367988294679</v>
      </c>
      <c r="K335" s="3">
        <v>471467280185</v>
      </c>
      <c r="M335" s="3">
        <v>1019669802028</v>
      </c>
      <c r="N335" s="3">
        <v>80342415257</v>
      </c>
      <c r="O335" s="3">
        <v>0</v>
      </c>
      <c r="P335">
        <f t="shared" si="76"/>
        <v>10.494590532066262</v>
      </c>
      <c r="Q335">
        <f t="shared" si="77"/>
        <v>0</v>
      </c>
      <c r="R335" t="str">
        <f t="shared" si="82"/>
        <v>Safe</v>
      </c>
      <c r="S335">
        <f t="shared" si="78"/>
        <v>0.5691448574246738</v>
      </c>
      <c r="T335">
        <f t="shared" si="79"/>
        <v>0.44422731822841716</v>
      </c>
      <c r="U335">
        <f t="shared" si="80"/>
        <v>0.12559373975158317</v>
      </c>
      <c r="V335">
        <f t="shared" si="81"/>
        <v>4.2560278845763078</v>
      </c>
      <c r="X335" s="13">
        <f t="shared" si="83"/>
        <v>5.7249657716446709</v>
      </c>
      <c r="Y335" s="10"/>
      <c r="Z335" s="10"/>
      <c r="AB335" s="10" t="str">
        <f t="shared" si="84"/>
        <v>Non-Distress</v>
      </c>
      <c r="AC335" s="10">
        <f t="shared" si="85"/>
        <v>0</v>
      </c>
      <c r="AE335" s="10">
        <f t="shared" si="86"/>
        <v>0</v>
      </c>
      <c r="AG335" s="13">
        <f t="shared" si="87"/>
        <v>0.5</v>
      </c>
      <c r="AH335" s="13">
        <f t="shared" si="88"/>
        <v>0.5</v>
      </c>
      <c r="AI335" s="10">
        <f t="shared" si="89"/>
        <v>0.25</v>
      </c>
    </row>
    <row r="336" spans="1:35" x14ac:dyDescent="0.3">
      <c r="A336" t="s">
        <v>98</v>
      </c>
      <c r="B336">
        <v>2022</v>
      </c>
      <c r="C336" s="3">
        <v>151258845585</v>
      </c>
      <c r="D336" s="3">
        <v>868933617</v>
      </c>
      <c r="E336" s="3">
        <v>860100358989</v>
      </c>
      <c r="F336" s="3">
        <v>641093981245</v>
      </c>
      <c r="G336" s="3">
        <v>156594539652</v>
      </c>
      <c r="H336" s="3">
        <v>153894624540</v>
      </c>
      <c r="I336" s="3">
        <v>703505819337</v>
      </c>
      <c r="J336" s="3">
        <v>400145879422</v>
      </c>
      <c r="K336" s="3">
        <v>487199356705</v>
      </c>
      <c r="M336" s="3">
        <v>1044368857579</v>
      </c>
      <c r="N336" s="3">
        <v>117370750383</v>
      </c>
      <c r="O336" s="3">
        <v>2238080021</v>
      </c>
      <c r="P336">
        <f t="shared" si="76"/>
        <v>11.131482001483523</v>
      </c>
      <c r="Q336">
        <f t="shared" si="77"/>
        <v>0</v>
      </c>
      <c r="R336" t="str">
        <f t="shared" si="82"/>
        <v>Safe</v>
      </c>
      <c r="S336">
        <f t="shared" si="78"/>
        <v>0.56644477776718483</v>
      </c>
      <c r="T336">
        <f t="shared" si="79"/>
        <v>0.46523161540398517</v>
      </c>
      <c r="U336">
        <f t="shared" si="80"/>
        <v>0.17586185612432059</v>
      </c>
      <c r="V336">
        <f t="shared" si="81"/>
        <v>4.4925309713889181</v>
      </c>
      <c r="X336" s="13">
        <f t="shared" si="83"/>
        <v>6.0306306227153907</v>
      </c>
      <c r="Y336" s="10"/>
      <c r="Z336" s="10"/>
      <c r="AB336" s="10" t="str">
        <f t="shared" si="84"/>
        <v>Non-Distress</v>
      </c>
      <c r="AC336" s="10">
        <f t="shared" si="85"/>
        <v>0</v>
      </c>
      <c r="AE336" s="10">
        <f t="shared" si="86"/>
        <v>0</v>
      </c>
      <c r="AG336" s="13">
        <f t="shared" si="87"/>
        <v>0.5</v>
      </c>
      <c r="AH336" s="13">
        <f t="shared" si="88"/>
        <v>0.5</v>
      </c>
      <c r="AI336" s="10">
        <f t="shared" si="89"/>
        <v>0.25</v>
      </c>
    </row>
    <row r="337" spans="1:35" x14ac:dyDescent="0.3">
      <c r="A337" t="s">
        <v>99</v>
      </c>
      <c r="B337">
        <v>2025</v>
      </c>
      <c r="C337" s="3">
        <v>223794694985</v>
      </c>
      <c r="D337" s="3">
        <v>62472890122</v>
      </c>
      <c r="E337" s="3">
        <v>2393143026662</v>
      </c>
      <c r="F337" s="3">
        <v>1584977341133</v>
      </c>
      <c r="G337" s="3">
        <v>1225657724774</v>
      </c>
      <c r="H337" s="3">
        <v>886180868626</v>
      </c>
      <c r="I337" s="3">
        <v>1165319457089</v>
      </c>
      <c r="J337" s="3">
        <v>761274100586</v>
      </c>
      <c r="K337" s="3">
        <v>698796472507</v>
      </c>
      <c r="M337" s="3">
        <v>750217960446</v>
      </c>
      <c r="N337" s="3">
        <v>138477958759</v>
      </c>
      <c r="O337" s="3">
        <v>803313112420</v>
      </c>
      <c r="P337">
        <f t="shared" si="76"/>
        <v>4.5792731351422802</v>
      </c>
      <c r="Q337">
        <f t="shared" si="77"/>
        <v>0</v>
      </c>
      <c r="R337" t="str">
        <f t="shared" si="82"/>
        <v>Safe</v>
      </c>
      <c r="S337">
        <f t="shared" si="78"/>
        <v>0.2919994604257708</v>
      </c>
      <c r="T337">
        <f t="shared" si="79"/>
        <v>0.31810639485590592</v>
      </c>
      <c r="U337">
        <f t="shared" si="80"/>
        <v>9.3514968596403944E-2</v>
      </c>
      <c r="V337">
        <f t="shared" si="81"/>
        <v>0.95077070338203451</v>
      </c>
      <c r="X337" s="13">
        <f t="shared" si="83"/>
        <v>3.3205232552316803</v>
      </c>
      <c r="Y337" s="10"/>
      <c r="Z337" s="10"/>
      <c r="AB337" s="10" t="str">
        <f t="shared" si="84"/>
        <v>Non-Distress</v>
      </c>
      <c r="AC337" s="10">
        <f t="shared" si="85"/>
        <v>0</v>
      </c>
      <c r="AE337" s="10">
        <f t="shared" si="86"/>
        <v>0</v>
      </c>
      <c r="AG337" s="13">
        <f t="shared" si="87"/>
        <v>0.5</v>
      </c>
      <c r="AH337" s="13">
        <f t="shared" si="88"/>
        <v>0.5</v>
      </c>
      <c r="AI337" s="10">
        <f t="shared" si="89"/>
        <v>0.25</v>
      </c>
    </row>
    <row r="338" spans="1:35" x14ac:dyDescent="0.3">
      <c r="A338" t="s">
        <v>99</v>
      </c>
      <c r="B338">
        <v>2024</v>
      </c>
      <c r="C338" s="3">
        <v>165556518134</v>
      </c>
      <c r="D338" s="3">
        <v>63889451226</v>
      </c>
      <c r="E338" s="3">
        <v>2071054520464</v>
      </c>
      <c r="F338" s="3">
        <v>1290087345725</v>
      </c>
      <c r="G338" s="3">
        <v>1041956931502</v>
      </c>
      <c r="H338" s="3">
        <v>350797545723</v>
      </c>
      <c r="I338" s="3">
        <v>1026934023349</v>
      </c>
      <c r="J338" s="3">
        <v>622796141827</v>
      </c>
      <c r="K338" s="3">
        <v>939289800002</v>
      </c>
      <c r="M338" s="3">
        <v>556385363865</v>
      </c>
      <c r="N338" s="3">
        <v>84887129781</v>
      </c>
      <c r="O338" s="3">
        <v>802108321158</v>
      </c>
      <c r="P338">
        <f t="shared" si="76"/>
        <v>5.5275464814818687</v>
      </c>
      <c r="Q338">
        <f t="shared" si="77"/>
        <v>0</v>
      </c>
      <c r="R338" t="str">
        <f t="shared" si="82"/>
        <v>Safe</v>
      </c>
      <c r="S338">
        <f t="shared" si="78"/>
        <v>0.45353214544615711</v>
      </c>
      <c r="T338">
        <f t="shared" si="79"/>
        <v>0.30071450832084734</v>
      </c>
      <c r="U338">
        <f t="shared" si="80"/>
        <v>7.9938271300027702E-2</v>
      </c>
      <c r="V338">
        <f t="shared" si="81"/>
        <v>0.98558202580278997</v>
      </c>
      <c r="X338" s="13">
        <f t="shared" si="83"/>
        <v>4.186620287937207</v>
      </c>
      <c r="Y338" s="10"/>
      <c r="Z338" s="10"/>
      <c r="AB338" s="10" t="str">
        <f t="shared" si="84"/>
        <v>Non-Distress</v>
      </c>
      <c r="AC338" s="10">
        <f t="shared" si="85"/>
        <v>0</v>
      </c>
      <c r="AE338" s="10">
        <f t="shared" si="86"/>
        <v>0</v>
      </c>
      <c r="AG338" s="13">
        <f t="shared" si="87"/>
        <v>0.5</v>
      </c>
      <c r="AH338" s="13">
        <f t="shared" si="88"/>
        <v>0.5</v>
      </c>
      <c r="AI338" s="10">
        <f t="shared" si="89"/>
        <v>0.25</v>
      </c>
    </row>
    <row r="339" spans="1:35" x14ac:dyDescent="0.3">
      <c r="A339" t="s">
        <v>99</v>
      </c>
      <c r="B339">
        <v>2023</v>
      </c>
      <c r="C339" s="3">
        <v>134897890630</v>
      </c>
      <c r="D339" s="3">
        <v>45323787027</v>
      </c>
      <c r="E339" s="3">
        <v>2175079867209</v>
      </c>
      <c r="F339" s="3">
        <v>1586014805968</v>
      </c>
      <c r="G339" s="3">
        <v>1232550744649</v>
      </c>
      <c r="H339" s="3">
        <v>567318977269</v>
      </c>
      <c r="I339" s="3">
        <v>940366951890</v>
      </c>
      <c r="J339" s="3">
        <v>537909012046</v>
      </c>
      <c r="K339" s="3">
        <v>1018695828699</v>
      </c>
      <c r="M339" s="3">
        <v>390516818350</v>
      </c>
      <c r="N339" s="3">
        <v>77513721375</v>
      </c>
      <c r="O339" s="3">
        <v>1100144650061</v>
      </c>
      <c r="P339">
        <f t="shared" si="76"/>
        <v>5.0964467546848526</v>
      </c>
      <c r="Q339">
        <f t="shared" si="77"/>
        <v>0</v>
      </c>
      <c r="R339" t="str">
        <f t="shared" si="82"/>
        <v>Safe</v>
      </c>
      <c r="S339">
        <f t="shared" si="78"/>
        <v>0.46834870022780417</v>
      </c>
      <c r="T339">
        <f t="shared" si="79"/>
        <v>0.24730540710499491</v>
      </c>
      <c r="U339">
        <f t="shared" si="80"/>
        <v>6.2019741281085505E-2</v>
      </c>
      <c r="V339">
        <f t="shared" si="81"/>
        <v>0.76294380249455229</v>
      </c>
      <c r="X339" s="13">
        <f t="shared" si="83"/>
        <v>4.0058819491689661</v>
      </c>
      <c r="Y339" s="10"/>
      <c r="Z339" s="10"/>
      <c r="AB339" s="10" t="str">
        <f t="shared" si="84"/>
        <v>Non-Distress</v>
      </c>
      <c r="AC339" s="10">
        <f t="shared" si="85"/>
        <v>0</v>
      </c>
      <c r="AE339" s="10">
        <f t="shared" si="86"/>
        <v>0</v>
      </c>
      <c r="AG339" s="13">
        <f t="shared" si="87"/>
        <v>0.5</v>
      </c>
      <c r="AH339" s="13">
        <f t="shared" si="88"/>
        <v>0.5</v>
      </c>
      <c r="AI339" s="10">
        <f t="shared" si="89"/>
        <v>0.25</v>
      </c>
    </row>
    <row r="340" spans="1:35" x14ac:dyDescent="0.3">
      <c r="A340" t="s">
        <v>99</v>
      </c>
      <c r="B340">
        <v>2022</v>
      </c>
      <c r="C340" s="3">
        <v>122303622376</v>
      </c>
      <c r="D340" s="3">
        <v>44016199697</v>
      </c>
      <c r="E340" s="3">
        <v>1605014790547</v>
      </c>
      <c r="F340" s="3">
        <v>1150187143337</v>
      </c>
      <c r="G340" s="3">
        <v>739930820251</v>
      </c>
      <c r="H340" s="3">
        <v>143887637583</v>
      </c>
      <c r="I340" s="3">
        <v>862759834847</v>
      </c>
      <c r="J340" s="3">
        <v>460395290671</v>
      </c>
      <c r="K340" s="3">
        <v>1006299505754</v>
      </c>
      <c r="M340" s="3">
        <v>353133853101</v>
      </c>
      <c r="N340" s="3">
        <v>67559626571</v>
      </c>
      <c r="O340" s="3">
        <v>591524783073</v>
      </c>
      <c r="P340">
        <f t="shared" si="76"/>
        <v>6.784432489428621</v>
      </c>
      <c r="Q340">
        <f t="shared" si="77"/>
        <v>0</v>
      </c>
      <c r="R340" t="str">
        <f t="shared" si="82"/>
        <v>Safe</v>
      </c>
      <c r="S340">
        <f t="shared" si="78"/>
        <v>0.62697210747263343</v>
      </c>
      <c r="T340">
        <f t="shared" si="79"/>
        <v>0.28684800500442376</v>
      </c>
      <c r="U340">
        <f t="shared" si="80"/>
        <v>7.6200931665133184E-2</v>
      </c>
      <c r="V340">
        <f t="shared" si="81"/>
        <v>1.1660006736228852</v>
      </c>
      <c r="X340" s="13">
        <f t="shared" si="83"/>
        <v>5.1909003497741937</v>
      </c>
      <c r="Y340" s="10"/>
      <c r="Z340" s="10"/>
      <c r="AB340" s="10" t="str">
        <f t="shared" si="84"/>
        <v>Non-Distress</v>
      </c>
      <c r="AC340" s="10">
        <f t="shared" si="85"/>
        <v>0</v>
      </c>
      <c r="AE340" s="10">
        <f t="shared" si="86"/>
        <v>0</v>
      </c>
      <c r="AG340" s="13">
        <f t="shared" si="87"/>
        <v>0.5</v>
      </c>
      <c r="AH340" s="13">
        <f t="shared" si="88"/>
        <v>0.5</v>
      </c>
      <c r="AI340" s="10">
        <f t="shared" si="89"/>
        <v>0.25</v>
      </c>
    </row>
    <row r="341" spans="1:35" x14ac:dyDescent="0.3">
      <c r="A341" t="s">
        <v>100</v>
      </c>
      <c r="B341">
        <v>2025</v>
      </c>
      <c r="C341" s="3">
        <v>287693156944</v>
      </c>
      <c r="D341" s="3">
        <v>129338795090</v>
      </c>
      <c r="E341" s="3">
        <v>4468524262954</v>
      </c>
      <c r="F341" s="3">
        <v>1580518372551</v>
      </c>
      <c r="G341" s="3">
        <v>2722182256543</v>
      </c>
      <c r="H341" s="3">
        <v>2375935036049</v>
      </c>
      <c r="I341" s="3">
        <v>1741269262906</v>
      </c>
      <c r="J341" s="3">
        <v>474571956724</v>
      </c>
      <c r="K341" s="3">
        <v>-795416663498</v>
      </c>
      <c r="M341" s="3">
        <v>4421550007302</v>
      </c>
      <c r="N341" s="3">
        <v>123697661048</v>
      </c>
      <c r="O341" s="3">
        <v>1561313508145</v>
      </c>
      <c r="P341">
        <f t="shared" si="76"/>
        <v>0.28280458558026556</v>
      </c>
      <c r="Q341">
        <f t="shared" si="77"/>
        <v>1</v>
      </c>
      <c r="R341" t="str">
        <f t="shared" si="82"/>
        <v>Distress</v>
      </c>
      <c r="S341">
        <f t="shared" si="78"/>
        <v>-0.17800432910085068</v>
      </c>
      <c r="T341">
        <f t="shared" si="79"/>
        <v>0.10620328520053184</v>
      </c>
      <c r="U341">
        <f t="shared" si="80"/>
        <v>6.4382140504215396E-2</v>
      </c>
      <c r="V341">
        <f t="shared" si="81"/>
        <v>0.63965932432360439</v>
      </c>
      <c r="X341" s="13">
        <f t="shared" si="83"/>
        <v>-0.40094420032144928</v>
      </c>
      <c r="Y341" s="10"/>
      <c r="Z341" s="10"/>
      <c r="AB341" s="10" t="str">
        <f t="shared" si="84"/>
        <v>Distress</v>
      </c>
      <c r="AC341" s="10">
        <f t="shared" si="85"/>
        <v>1</v>
      </c>
      <c r="AE341" s="10">
        <f t="shared" si="86"/>
        <v>1</v>
      </c>
      <c r="AG341" s="13">
        <f t="shared" si="87"/>
        <v>0.7310585786300049</v>
      </c>
      <c r="AH341" s="13">
        <f t="shared" si="88"/>
        <v>-0.2689414213699951</v>
      </c>
      <c r="AI341" s="10">
        <f t="shared" si="89"/>
        <v>0.19661193324148185</v>
      </c>
    </row>
    <row r="342" spans="1:35" x14ac:dyDescent="0.3">
      <c r="A342" t="s">
        <v>100</v>
      </c>
      <c r="B342">
        <v>2024</v>
      </c>
      <c r="C342" s="3">
        <v>250945844291</v>
      </c>
      <c r="D342" s="3">
        <v>144097906234</v>
      </c>
      <c r="E342" s="3">
        <v>4501385830768</v>
      </c>
      <c r="F342" s="3">
        <v>1627935460419</v>
      </c>
      <c r="G342" s="3">
        <v>2851025198999</v>
      </c>
      <c r="H342" s="3">
        <v>2244858924455</v>
      </c>
      <c r="I342" s="3">
        <v>1646076831981</v>
      </c>
      <c r="J342" s="3">
        <v>397535137594</v>
      </c>
      <c r="K342" s="3">
        <v>-616923464036</v>
      </c>
      <c r="M342" s="3">
        <v>4367489499567</v>
      </c>
      <c r="N342" s="3">
        <v>86599307623</v>
      </c>
      <c r="O342" s="3">
        <v>1783130507445</v>
      </c>
      <c r="P342">
        <f t="shared" si="76"/>
        <v>0.36970472713736968</v>
      </c>
      <c r="Q342">
        <f t="shared" si="77"/>
        <v>1</v>
      </c>
      <c r="R342" t="str">
        <f t="shared" si="82"/>
        <v>Distress</v>
      </c>
      <c r="S342">
        <f t="shared" si="78"/>
        <v>-0.13705189628917994</v>
      </c>
      <c r="T342">
        <f t="shared" si="79"/>
        <v>8.8313944313939186E-2</v>
      </c>
      <c r="U342">
        <f t="shared" si="80"/>
        <v>5.5748574711309541E-2</v>
      </c>
      <c r="V342">
        <f t="shared" si="81"/>
        <v>0.57736312978185544</v>
      </c>
      <c r="X342" s="13">
        <f t="shared" si="83"/>
        <v>-0.25371871131751905</v>
      </c>
      <c r="Y342" s="10"/>
      <c r="Z342" s="10"/>
      <c r="AB342" s="10" t="str">
        <f t="shared" si="84"/>
        <v>Distress</v>
      </c>
      <c r="AC342" s="10">
        <f t="shared" si="85"/>
        <v>1</v>
      </c>
      <c r="AE342" s="10">
        <f t="shared" si="86"/>
        <v>1</v>
      </c>
      <c r="AG342" s="13">
        <f t="shared" si="87"/>
        <v>0.7310585786300049</v>
      </c>
      <c r="AH342" s="13">
        <f t="shared" si="88"/>
        <v>-0.2689414213699951</v>
      </c>
      <c r="AI342" s="10">
        <f t="shared" si="89"/>
        <v>0.19661193324148185</v>
      </c>
    </row>
    <row r="343" spans="1:35" x14ac:dyDescent="0.3">
      <c r="A343" t="s">
        <v>100</v>
      </c>
      <c r="B343">
        <v>2023</v>
      </c>
      <c r="C343" s="3">
        <v>282277232190</v>
      </c>
      <c r="D343" s="3">
        <v>168624187573</v>
      </c>
      <c r="E343" s="3">
        <v>4646378817802</v>
      </c>
      <c r="F343" s="3">
        <v>1735117266203</v>
      </c>
      <c r="G343" s="3">
        <v>3027648359660</v>
      </c>
      <c r="H343" s="3">
        <v>2102124921210</v>
      </c>
      <c r="I343" s="3">
        <v>1544964992431</v>
      </c>
      <c r="J343" s="3">
        <v>320589006573</v>
      </c>
      <c r="K343" s="3">
        <v>-367007655007</v>
      </c>
      <c r="M343" s="3">
        <v>4136181747640</v>
      </c>
      <c r="N343" s="3">
        <v>70463044564</v>
      </c>
      <c r="O343" s="3">
        <v>1875327735349</v>
      </c>
      <c r="P343">
        <f t="shared" si="76"/>
        <v>0.65082544590574365</v>
      </c>
      <c r="Q343">
        <f t="shared" si="77"/>
        <v>1</v>
      </c>
      <c r="R343" t="str">
        <f t="shared" si="82"/>
        <v>Distress</v>
      </c>
      <c r="S343">
        <f t="shared" si="78"/>
        <v>-7.898788914947219E-2</v>
      </c>
      <c r="T343">
        <f t="shared" si="79"/>
        <v>6.8997604186878753E-2</v>
      </c>
      <c r="U343">
        <f t="shared" si="80"/>
        <v>6.0752091738299784E-2</v>
      </c>
      <c r="V343">
        <f t="shared" si="81"/>
        <v>0.51028547866255414</v>
      </c>
      <c r="X343" s="13">
        <f t="shared" si="83"/>
        <v>5.9176527100197343E-2</v>
      </c>
      <c r="Y343" s="10"/>
      <c r="Z343" s="10"/>
      <c r="AB343" s="10" t="str">
        <f t="shared" si="84"/>
        <v>Non-Distress</v>
      </c>
      <c r="AC343" s="10">
        <f t="shared" si="85"/>
        <v>0</v>
      </c>
      <c r="AE343" s="10">
        <f t="shared" si="86"/>
        <v>1</v>
      </c>
      <c r="AG343" s="13">
        <f t="shared" si="87"/>
        <v>0.7310585786300049</v>
      </c>
      <c r="AH343" s="13">
        <f t="shared" si="88"/>
        <v>-0.2689414213699951</v>
      </c>
      <c r="AI343" s="10">
        <f t="shared" si="89"/>
        <v>0.19661193324148185</v>
      </c>
    </row>
    <row r="344" spans="1:35" x14ac:dyDescent="0.3">
      <c r="A344" t="s">
        <v>100</v>
      </c>
      <c r="B344">
        <v>2022</v>
      </c>
      <c r="C344" s="3">
        <v>-746358478269</v>
      </c>
      <c r="D344" s="3">
        <v>170735440804</v>
      </c>
      <c r="E344" s="3">
        <v>4676372045095</v>
      </c>
      <c r="F344" s="3">
        <v>1688505201652</v>
      </c>
      <c r="G344" s="3">
        <v>3142551744669</v>
      </c>
      <c r="H344" s="3">
        <v>1935669493305</v>
      </c>
      <c r="I344" s="3">
        <v>1465534906972</v>
      </c>
      <c r="J344" s="3">
        <v>179331856511</v>
      </c>
      <c r="K344" s="3">
        <v>-247164291653</v>
      </c>
      <c r="M344" s="3">
        <v>3631451490321</v>
      </c>
      <c r="N344" s="3">
        <v>-957025786473</v>
      </c>
      <c r="O344" s="3">
        <v>2313051121124</v>
      </c>
      <c r="P344">
        <f t="shared" si="76"/>
        <v>-0.80456135874738099</v>
      </c>
      <c r="Q344">
        <f t="shared" si="77"/>
        <v>1</v>
      </c>
      <c r="R344" t="str">
        <f t="shared" si="82"/>
        <v>Distress</v>
      </c>
      <c r="S344">
        <f t="shared" si="78"/>
        <v>-5.2853855354012769E-2</v>
      </c>
      <c r="T344">
        <f t="shared" si="79"/>
        <v>3.8348500671391061E-2</v>
      </c>
      <c r="U344">
        <f t="shared" si="80"/>
        <v>-0.15960203146194238</v>
      </c>
      <c r="V344">
        <f t="shared" si="81"/>
        <v>0.46635187772424808</v>
      </c>
      <c r="X344" s="13">
        <f t="shared" si="83"/>
        <v>-0.94936334406804046</v>
      </c>
      <c r="Y344" s="10"/>
      <c r="Z344" s="10"/>
      <c r="AB344" s="10" t="str">
        <f t="shared" si="84"/>
        <v>Distress</v>
      </c>
      <c r="AC344" s="10">
        <f t="shared" si="85"/>
        <v>1</v>
      </c>
      <c r="AE344" s="10">
        <f t="shared" si="86"/>
        <v>1</v>
      </c>
      <c r="AG344" s="13">
        <f t="shared" si="87"/>
        <v>0.7310585786300049</v>
      </c>
      <c r="AH344" s="13">
        <f t="shared" si="88"/>
        <v>-0.2689414213699951</v>
      </c>
      <c r="AI344" s="10">
        <f t="shared" si="89"/>
        <v>0.19661193324148185</v>
      </c>
    </row>
    <row r="345" spans="1:35" x14ac:dyDescent="0.3">
      <c r="A345" t="s">
        <v>101</v>
      </c>
      <c r="B345">
        <v>2025</v>
      </c>
      <c r="C345" s="3">
        <v>4813722000000</v>
      </c>
      <c r="D345" s="3">
        <v>35247000000</v>
      </c>
      <c r="E345" s="3">
        <v>30699348000000</v>
      </c>
      <c r="F345" s="3">
        <v>18508334000000</v>
      </c>
      <c r="G345" s="3">
        <v>5970845000000</v>
      </c>
      <c r="H345" s="3">
        <v>5336151000000</v>
      </c>
      <c r="I345" s="3">
        <v>23312457000000</v>
      </c>
      <c r="J345" s="3">
        <v>24938581000000</v>
      </c>
      <c r="K345" s="3">
        <v>13172183000000</v>
      </c>
      <c r="M345" s="3">
        <v>35324544000000</v>
      </c>
      <c r="N345" s="3">
        <v>3664998000000</v>
      </c>
      <c r="O345" s="3">
        <v>297283000000</v>
      </c>
      <c r="P345">
        <f t="shared" si="76"/>
        <v>10.616270169737984</v>
      </c>
      <c r="Q345">
        <f t="shared" si="77"/>
        <v>0</v>
      </c>
      <c r="R345" t="str">
        <f t="shared" si="82"/>
        <v>Safe</v>
      </c>
      <c r="S345">
        <f t="shared" si="78"/>
        <v>0.42907044801081767</v>
      </c>
      <c r="T345">
        <f t="shared" si="79"/>
        <v>0.81234888115539128</v>
      </c>
      <c r="U345">
        <f t="shared" si="80"/>
        <v>0.15680209234411102</v>
      </c>
      <c r="V345">
        <f t="shared" si="81"/>
        <v>3.9043815406362081</v>
      </c>
      <c r="X345" s="13">
        <f t="shared" si="83"/>
        <v>6.2112543982598805</v>
      </c>
      <c r="Y345" s="10"/>
      <c r="Z345" s="10"/>
      <c r="AB345" s="10" t="str">
        <f t="shared" si="84"/>
        <v>Non-Distress</v>
      </c>
      <c r="AC345" s="10">
        <f t="shared" si="85"/>
        <v>0</v>
      </c>
      <c r="AE345" s="10">
        <f t="shared" si="86"/>
        <v>0</v>
      </c>
      <c r="AG345" s="13">
        <f t="shared" si="87"/>
        <v>0.5</v>
      </c>
      <c r="AH345" s="13">
        <f t="shared" si="88"/>
        <v>0.5</v>
      </c>
      <c r="AI345" s="10">
        <f t="shared" si="89"/>
        <v>0.25</v>
      </c>
    </row>
    <row r="346" spans="1:35" x14ac:dyDescent="0.3">
      <c r="A346" t="s">
        <v>101</v>
      </c>
      <c r="B346">
        <v>2024</v>
      </c>
      <c r="C346" s="3">
        <v>4275194000000</v>
      </c>
      <c r="D346" s="3">
        <v>56319000000</v>
      </c>
      <c r="E346" s="3">
        <v>29429728000000</v>
      </c>
      <c r="F346" s="3">
        <v>17187668000000</v>
      </c>
      <c r="G346" s="3">
        <v>4839294000000</v>
      </c>
      <c r="H346" s="3">
        <v>4185749000000</v>
      </c>
      <c r="I346" s="3">
        <v>22788880000000</v>
      </c>
      <c r="J346" s="3">
        <v>22941791000000</v>
      </c>
      <c r="K346" s="3">
        <v>13001919000000</v>
      </c>
      <c r="M346" s="3">
        <v>32627776000000</v>
      </c>
      <c r="N346" s="3">
        <v>3240637000000</v>
      </c>
      <c r="O346" s="3">
        <v>559222000000</v>
      </c>
      <c r="P346">
        <f t="shared" si="76"/>
        <v>11.360283906673864</v>
      </c>
      <c r="Q346">
        <f t="shared" si="77"/>
        <v>0</v>
      </c>
      <c r="R346" t="str">
        <f t="shared" si="82"/>
        <v>Safe</v>
      </c>
      <c r="S346">
        <f t="shared" si="78"/>
        <v>0.44179541856452087</v>
      </c>
      <c r="T346">
        <f t="shared" si="79"/>
        <v>0.77954478546318884</v>
      </c>
      <c r="U346">
        <f t="shared" si="80"/>
        <v>0.1452678733558122</v>
      </c>
      <c r="V346">
        <f t="shared" si="81"/>
        <v>4.7091331917424322</v>
      </c>
      <c r="X346" s="13">
        <f t="shared" si="83"/>
        <v>6.160286604438963</v>
      </c>
      <c r="Y346" s="10"/>
      <c r="Z346" s="10"/>
      <c r="AB346" s="10" t="str">
        <f t="shared" si="84"/>
        <v>Non-Distress</v>
      </c>
      <c r="AC346" s="10">
        <f t="shared" si="85"/>
        <v>0</v>
      </c>
      <c r="AE346" s="10">
        <f t="shared" si="86"/>
        <v>0</v>
      </c>
      <c r="AG346" s="13">
        <f t="shared" si="87"/>
        <v>0.5</v>
      </c>
      <c r="AH346" s="13">
        <f t="shared" si="88"/>
        <v>0.5</v>
      </c>
      <c r="AI346" s="10">
        <f t="shared" si="89"/>
        <v>0.25</v>
      </c>
    </row>
    <row r="347" spans="1:35" x14ac:dyDescent="0.3">
      <c r="A347" t="s">
        <v>101</v>
      </c>
      <c r="B347">
        <v>2023</v>
      </c>
      <c r="C347" s="3">
        <v>3689195410563</v>
      </c>
      <c r="D347" s="3">
        <v>82958206753</v>
      </c>
      <c r="E347" s="3">
        <v>27057568182323</v>
      </c>
      <c r="F347" s="3">
        <v>15917724100860</v>
      </c>
      <c r="G347" s="3">
        <v>3937546172108</v>
      </c>
      <c r="H347" s="3">
        <v>3243168544925</v>
      </c>
      <c r="I347" s="3">
        <v>21418856503057</v>
      </c>
      <c r="J347" s="3">
        <v>21162752455815</v>
      </c>
      <c r="K347" s="3">
        <v>12674555555935</v>
      </c>
      <c r="M347" s="3">
        <v>30449134077618</v>
      </c>
      <c r="N347" s="3">
        <v>2766748040055</v>
      </c>
      <c r="O347" s="3">
        <v>618538351178</v>
      </c>
      <c r="P347">
        <f t="shared" si="76"/>
        <v>12.250539845128923</v>
      </c>
      <c r="Q347">
        <f t="shared" si="77"/>
        <v>0</v>
      </c>
      <c r="R347" t="str">
        <f t="shared" si="82"/>
        <v>Safe</v>
      </c>
      <c r="S347">
        <f t="shared" si="78"/>
        <v>0.46842921989624414</v>
      </c>
      <c r="T347">
        <f t="shared" si="79"/>
        <v>0.78213800712662918</v>
      </c>
      <c r="U347">
        <f t="shared" si="80"/>
        <v>0.13634615593330338</v>
      </c>
      <c r="V347">
        <f t="shared" si="81"/>
        <v>5.4396458014332891</v>
      </c>
      <c r="X347" s="13">
        <f t="shared" si="83"/>
        <v>6.3197957697618747</v>
      </c>
      <c r="Y347" s="10"/>
      <c r="Z347" s="10"/>
      <c r="AB347" s="10" t="str">
        <f t="shared" si="84"/>
        <v>Non-Distress</v>
      </c>
      <c r="AC347" s="10">
        <f t="shared" si="85"/>
        <v>0</v>
      </c>
      <c r="AE347" s="10">
        <f t="shared" si="86"/>
        <v>0</v>
      </c>
      <c r="AG347" s="13">
        <f t="shared" si="87"/>
        <v>0.5</v>
      </c>
      <c r="AH347" s="13">
        <f t="shared" si="88"/>
        <v>0.5</v>
      </c>
      <c r="AI347" s="10">
        <f t="shared" si="89"/>
        <v>0.25</v>
      </c>
    </row>
    <row r="348" spans="1:35" x14ac:dyDescent="0.3">
      <c r="A348" t="s">
        <v>101</v>
      </c>
      <c r="B348">
        <v>2022</v>
      </c>
      <c r="C348" s="3">
        <v>4500122804946</v>
      </c>
      <c r="D348" s="3">
        <v>41225899596</v>
      </c>
      <c r="E348" s="3">
        <v>27241313025674</v>
      </c>
      <c r="F348" s="3">
        <v>16710229570163</v>
      </c>
      <c r="G348" s="3">
        <v>5143984823285</v>
      </c>
      <c r="H348" s="3">
        <v>4431038459634</v>
      </c>
      <c r="I348" s="3">
        <v>20385217971511</v>
      </c>
      <c r="J348" s="3">
        <v>20187540887030</v>
      </c>
      <c r="K348" s="3">
        <v>12279191110529</v>
      </c>
      <c r="M348" s="3">
        <v>28933502646719</v>
      </c>
      <c r="N348" s="3">
        <v>3382209769015</v>
      </c>
      <c r="O348" s="3">
        <v>1167717692480</v>
      </c>
      <c r="P348">
        <f t="shared" si="76"/>
        <v>10.644006088948689</v>
      </c>
      <c r="Q348">
        <f t="shared" si="77"/>
        <v>0</v>
      </c>
      <c r="R348" t="str">
        <f t="shared" si="82"/>
        <v>Safe</v>
      </c>
      <c r="S348">
        <f t="shared" si="78"/>
        <v>0.45075621351130485</v>
      </c>
      <c r="T348">
        <f t="shared" si="79"/>
        <v>0.74106343067986247</v>
      </c>
      <c r="U348">
        <f t="shared" si="80"/>
        <v>0.16519478340507263</v>
      </c>
      <c r="V348">
        <f t="shared" si="81"/>
        <v>3.9629234283962753</v>
      </c>
      <c r="X348" s="13">
        <f t="shared" si="83"/>
        <v>6.1532642118880991</v>
      </c>
      <c r="Y348" s="10"/>
      <c r="Z348" s="10"/>
      <c r="AB348" s="10" t="str">
        <f t="shared" si="84"/>
        <v>Non-Distress</v>
      </c>
      <c r="AC348" s="10">
        <f t="shared" si="85"/>
        <v>0</v>
      </c>
      <c r="AE348" s="10">
        <f t="shared" si="86"/>
        <v>0</v>
      </c>
      <c r="AG348" s="13">
        <f t="shared" si="87"/>
        <v>0.5</v>
      </c>
      <c r="AH348" s="13">
        <f t="shared" si="88"/>
        <v>0.5</v>
      </c>
      <c r="AI348" s="10">
        <f t="shared" si="89"/>
        <v>0.25</v>
      </c>
    </row>
    <row r="349" spans="1:35" x14ac:dyDescent="0.3">
      <c r="A349" t="s">
        <v>102</v>
      </c>
      <c r="B349">
        <v>2025</v>
      </c>
      <c r="C349" s="3">
        <v>443388421981</v>
      </c>
      <c r="D349" s="3">
        <v>168400656582</v>
      </c>
      <c r="E349" s="3">
        <v>4527351995671</v>
      </c>
      <c r="F349" s="3">
        <v>3250232657230</v>
      </c>
      <c r="G349" s="3">
        <v>2345863305521</v>
      </c>
      <c r="H349" s="3">
        <v>2221401039814</v>
      </c>
      <c r="I349" s="3">
        <v>2139756628363</v>
      </c>
      <c r="J349" s="3">
        <v>700127304584</v>
      </c>
      <c r="K349" s="3">
        <v>1028831617416</v>
      </c>
      <c r="M349" s="3">
        <v>12827191806419</v>
      </c>
      <c r="N349" s="3">
        <v>185107494108</v>
      </c>
      <c r="O349" s="3">
        <v>2050206915962</v>
      </c>
      <c r="P349">
        <f t="shared" si="76"/>
        <v>3.6107597101199422</v>
      </c>
      <c r="Q349">
        <f t="shared" si="77"/>
        <v>0</v>
      </c>
      <c r="R349" t="str">
        <f t="shared" si="82"/>
        <v>Safe</v>
      </c>
      <c r="S349">
        <f t="shared" si="78"/>
        <v>0.22724798478222072</v>
      </c>
      <c r="T349">
        <f t="shared" si="79"/>
        <v>0.15464388570922991</v>
      </c>
      <c r="U349">
        <f t="shared" si="80"/>
        <v>9.7935486881727485E-2</v>
      </c>
      <c r="V349">
        <f t="shared" si="81"/>
        <v>0.91214037208692977</v>
      </c>
      <c r="X349" s="13">
        <f t="shared" si="83"/>
        <v>2.4087231292142426</v>
      </c>
      <c r="Y349" s="10"/>
      <c r="Z349" s="10"/>
      <c r="AB349" s="10" t="str">
        <f t="shared" si="84"/>
        <v>Non-Distress</v>
      </c>
      <c r="AC349" s="10">
        <f t="shared" si="85"/>
        <v>0</v>
      </c>
      <c r="AE349" s="10">
        <f t="shared" si="86"/>
        <v>0</v>
      </c>
      <c r="AG349" s="13">
        <f t="shared" si="87"/>
        <v>0.5</v>
      </c>
      <c r="AH349" s="13">
        <f t="shared" si="88"/>
        <v>0.5</v>
      </c>
      <c r="AI349" s="10">
        <f t="shared" si="89"/>
        <v>0.25</v>
      </c>
    </row>
    <row r="350" spans="1:35" x14ac:dyDescent="0.3">
      <c r="A350" t="s">
        <v>102</v>
      </c>
      <c r="B350">
        <v>2024</v>
      </c>
      <c r="C350" s="3">
        <v>532780302048</v>
      </c>
      <c r="D350" s="3">
        <v>253248688381</v>
      </c>
      <c r="E350" s="3">
        <v>5603673083158</v>
      </c>
      <c r="F350" s="3">
        <v>4149501502615</v>
      </c>
      <c r="G350" s="3">
        <v>3552297757593</v>
      </c>
      <c r="H350" s="3">
        <v>3450608568118</v>
      </c>
      <c r="I350" s="3">
        <v>1991426396411</v>
      </c>
      <c r="J350" s="3">
        <v>518209140689</v>
      </c>
      <c r="K350" s="3">
        <v>698892934497</v>
      </c>
      <c r="M350" s="3">
        <v>11258880089614</v>
      </c>
      <c r="N350" s="3">
        <v>194843339813</v>
      </c>
      <c r="O350" s="3">
        <v>3241527226576</v>
      </c>
      <c r="P350">
        <f t="shared" si="76"/>
        <v>2.3471902579431489</v>
      </c>
      <c r="Q350">
        <f t="shared" si="77"/>
        <v>0</v>
      </c>
      <c r="R350" t="str">
        <f t="shared" si="82"/>
        <v>Grey Area</v>
      </c>
      <c r="S350">
        <f t="shared" si="78"/>
        <v>0.12472050459145141</v>
      </c>
      <c r="T350">
        <f t="shared" si="79"/>
        <v>9.2476690377690379E-2</v>
      </c>
      <c r="U350">
        <f t="shared" si="80"/>
        <v>9.5076977928867129E-2</v>
      </c>
      <c r="V350">
        <f t="shared" si="81"/>
        <v>0.56060232905711427</v>
      </c>
      <c r="X350" s="13">
        <f t="shared" si="83"/>
        <v>1.5493907275222598</v>
      </c>
      <c r="Y350" s="10"/>
      <c r="Z350" s="10"/>
      <c r="AB350" s="10" t="str">
        <f t="shared" si="84"/>
        <v>Non-Distress</v>
      </c>
      <c r="AC350" s="10">
        <f t="shared" si="85"/>
        <v>0</v>
      </c>
      <c r="AE350" s="10">
        <f t="shared" si="86"/>
        <v>0</v>
      </c>
      <c r="AG350" s="13">
        <f t="shared" si="87"/>
        <v>0.5</v>
      </c>
      <c r="AH350" s="13">
        <f t="shared" si="88"/>
        <v>0.5</v>
      </c>
      <c r="AI350" s="10">
        <f t="shared" si="89"/>
        <v>0.25</v>
      </c>
    </row>
    <row r="351" spans="1:35" x14ac:dyDescent="0.3">
      <c r="A351" t="s">
        <v>102</v>
      </c>
      <c r="B351">
        <v>2023</v>
      </c>
      <c r="C351" s="3">
        <v>117890383145</v>
      </c>
      <c r="D351" s="3">
        <v>165456540887</v>
      </c>
      <c r="E351" s="3">
        <v>4582841788763</v>
      </c>
      <c r="F351" s="3">
        <v>3003401022371</v>
      </c>
      <c r="G351" s="3">
        <v>2684113538701</v>
      </c>
      <c r="H351" s="3">
        <v>2581324360801</v>
      </c>
      <c r="I351" s="3">
        <v>1839451197519</v>
      </c>
      <c r="J351" s="3">
        <v>318942770384</v>
      </c>
      <c r="K351" s="3">
        <v>422076661570</v>
      </c>
      <c r="M351" s="3">
        <v>9139546141519</v>
      </c>
      <c r="N351" s="3">
        <v>-70395061782</v>
      </c>
      <c r="O351" s="3">
        <v>2469731906609</v>
      </c>
      <c r="P351">
        <f t="shared" si="76"/>
        <v>1.7234945387440925</v>
      </c>
      <c r="Q351">
        <f t="shared" si="77"/>
        <v>0</v>
      </c>
      <c r="R351" t="str">
        <f t="shared" si="82"/>
        <v>Grey Area</v>
      </c>
      <c r="S351">
        <f t="shared" si="78"/>
        <v>9.2099330726389067E-2</v>
      </c>
      <c r="T351">
        <f t="shared" si="79"/>
        <v>6.9594977327395141E-2</v>
      </c>
      <c r="U351">
        <f t="shared" si="80"/>
        <v>2.5724296970945828E-2</v>
      </c>
      <c r="V351">
        <f t="shared" si="81"/>
        <v>0.68531050233039636</v>
      </c>
      <c r="X351" s="13">
        <f t="shared" si="83"/>
        <v>0.94488952679979632</v>
      </c>
      <c r="Y351" s="10"/>
      <c r="Z351" s="10"/>
      <c r="AB351" s="10" t="str">
        <f t="shared" si="84"/>
        <v>Non-Distress</v>
      </c>
      <c r="AC351" s="10">
        <f t="shared" si="85"/>
        <v>0</v>
      </c>
      <c r="AE351" s="10">
        <f t="shared" si="86"/>
        <v>0</v>
      </c>
      <c r="AG351" s="13">
        <f t="shared" si="87"/>
        <v>0.5</v>
      </c>
      <c r="AH351" s="13">
        <f t="shared" si="88"/>
        <v>0.5</v>
      </c>
      <c r="AI351" s="10">
        <f t="shared" si="89"/>
        <v>0.25</v>
      </c>
    </row>
    <row r="352" spans="1:35" x14ac:dyDescent="0.3">
      <c r="A352" t="s">
        <v>102</v>
      </c>
      <c r="B352">
        <v>2022</v>
      </c>
      <c r="C352" s="3">
        <v>104013134571</v>
      </c>
      <c r="D352" s="3">
        <v>133048292819</v>
      </c>
      <c r="E352" s="3">
        <v>4798796481698</v>
      </c>
      <c r="F352" s="3">
        <v>3156818935137</v>
      </c>
      <c r="G352" s="3">
        <v>2842079571503</v>
      </c>
      <c r="H352" s="3">
        <v>324525728178</v>
      </c>
      <c r="I352" s="3">
        <v>1894662618269</v>
      </c>
      <c r="J352" s="3">
        <v>390710826949</v>
      </c>
      <c r="K352" s="3">
        <v>2832293206959</v>
      </c>
      <c r="M352" s="3">
        <v>11484294844569</v>
      </c>
      <c r="N352" s="3">
        <v>-23828521522</v>
      </c>
      <c r="O352" s="3">
        <v>2621466720929</v>
      </c>
      <c r="P352">
        <f t="shared" si="76"/>
        <v>4.9828296324547985</v>
      </c>
      <c r="Q352">
        <f t="shared" si="77"/>
        <v>0</v>
      </c>
      <c r="R352" t="str">
        <f t="shared" si="82"/>
        <v>Safe</v>
      </c>
      <c r="S352">
        <f t="shared" si="78"/>
        <v>0.59020906966173836</v>
      </c>
      <c r="T352">
        <f t="shared" si="79"/>
        <v>8.1418503251621824E-2</v>
      </c>
      <c r="U352">
        <f t="shared" si="80"/>
        <v>2.1674837632246518E-2</v>
      </c>
      <c r="V352">
        <f t="shared" si="81"/>
        <v>0.66664657712839126</v>
      </c>
      <c r="X352" s="13">
        <f t="shared" si="83"/>
        <v>4.0076759850833339</v>
      </c>
      <c r="Y352" s="10"/>
      <c r="Z352" s="10"/>
      <c r="AB352" s="10" t="str">
        <f t="shared" si="84"/>
        <v>Non-Distress</v>
      </c>
      <c r="AC352" s="10">
        <f t="shared" si="85"/>
        <v>0</v>
      </c>
      <c r="AE352" s="10">
        <f t="shared" si="86"/>
        <v>0</v>
      </c>
      <c r="AG352" s="13">
        <f t="shared" si="87"/>
        <v>0.5</v>
      </c>
      <c r="AH352" s="13">
        <f t="shared" si="88"/>
        <v>0.5</v>
      </c>
      <c r="AI352" s="10">
        <f t="shared" si="89"/>
        <v>0.25</v>
      </c>
    </row>
    <row r="353" spans="1:35" x14ac:dyDescent="0.3">
      <c r="A353" t="s">
        <v>103</v>
      </c>
      <c r="B353">
        <v>2025</v>
      </c>
      <c r="C353" s="3">
        <v>615468000</v>
      </c>
      <c r="D353" s="3">
        <v>154885000</v>
      </c>
      <c r="E353" s="3">
        <v>2765813000</v>
      </c>
      <c r="F353" s="3">
        <v>585870000</v>
      </c>
      <c r="G353" s="3">
        <v>2040304000</v>
      </c>
      <c r="H353" s="3">
        <v>800529000</v>
      </c>
      <c r="I353" s="3">
        <v>673929000</v>
      </c>
      <c r="J353" s="3">
        <v>-2157337000</v>
      </c>
      <c r="K353" s="3">
        <v>-214659000</v>
      </c>
      <c r="M353" s="3">
        <v>959839000</v>
      </c>
      <c r="N353" s="3">
        <v>325459000</v>
      </c>
      <c r="O353" s="3">
        <v>1090777000</v>
      </c>
      <c r="P353">
        <f t="shared" si="76"/>
        <v>-1.2097302501781875</v>
      </c>
      <c r="Q353">
        <f t="shared" si="77"/>
        <v>1</v>
      </c>
      <c r="R353" t="str">
        <f t="shared" si="82"/>
        <v>Distress</v>
      </c>
      <c r="S353">
        <f t="shared" si="78"/>
        <v>-7.7611537728689534E-2</v>
      </c>
      <c r="T353">
        <f t="shared" si="79"/>
        <v>-0.78000103405400145</v>
      </c>
      <c r="U353">
        <f t="shared" si="80"/>
        <v>0.22252697488948095</v>
      </c>
      <c r="V353">
        <f t="shared" si="81"/>
        <v>0.33030813055309405</v>
      </c>
      <c r="X353" s="13">
        <f t="shared" si="83"/>
        <v>-1.9402685391735852</v>
      </c>
      <c r="Y353" s="10"/>
      <c r="Z353" s="10"/>
      <c r="AB353" s="10" t="str">
        <f t="shared" si="84"/>
        <v>Distress</v>
      </c>
      <c r="AC353" s="10">
        <f t="shared" si="85"/>
        <v>1</v>
      </c>
      <c r="AE353" s="10">
        <f t="shared" si="86"/>
        <v>1</v>
      </c>
      <c r="AG353" s="13">
        <f t="shared" si="87"/>
        <v>0.7310585786300049</v>
      </c>
      <c r="AH353" s="13">
        <f t="shared" si="88"/>
        <v>-0.2689414213699951</v>
      </c>
      <c r="AI353" s="10">
        <f t="shared" si="89"/>
        <v>0.19661193324148185</v>
      </c>
    </row>
    <row r="354" spans="1:35" x14ac:dyDescent="0.3">
      <c r="A354" t="s">
        <v>103</v>
      </c>
      <c r="B354">
        <v>2024</v>
      </c>
      <c r="C354" s="3">
        <v>11029000</v>
      </c>
      <c r="D354" s="3">
        <v>150109000</v>
      </c>
      <c r="E354" s="3">
        <v>2894616000</v>
      </c>
      <c r="F354" s="3">
        <v>641541000</v>
      </c>
      <c r="G354" s="3">
        <v>2459433000</v>
      </c>
      <c r="H354" s="3">
        <v>2214770000</v>
      </c>
      <c r="I354" s="3">
        <v>392964000</v>
      </c>
      <c r="J354" s="3">
        <v>-2473291000</v>
      </c>
      <c r="K354" s="3">
        <v>-1573229000</v>
      </c>
      <c r="M354" s="3">
        <v>954597000</v>
      </c>
      <c r="N354" s="3">
        <v>-154712000</v>
      </c>
      <c r="O354" s="3">
        <v>1567850000</v>
      </c>
      <c r="P354">
        <f t="shared" si="76"/>
        <v>-6.1574918346608465</v>
      </c>
      <c r="Q354">
        <f t="shared" si="77"/>
        <v>1</v>
      </c>
      <c r="R354" t="str">
        <f t="shared" si="82"/>
        <v>Distress</v>
      </c>
      <c r="S354">
        <f t="shared" si="78"/>
        <v>-0.54350179782050534</v>
      </c>
      <c r="T354">
        <f t="shared" si="79"/>
        <v>-0.85444528738872449</v>
      </c>
      <c r="U354">
        <f t="shared" si="80"/>
        <v>3.8101772393989391E-3</v>
      </c>
      <c r="V354">
        <f t="shared" si="81"/>
        <v>0.15977829036204685</v>
      </c>
      <c r="X354" s="13">
        <f t="shared" si="83"/>
        <v>-6.097099948802744</v>
      </c>
      <c r="Y354" s="10"/>
      <c r="Z354" s="10"/>
      <c r="AB354" s="10" t="str">
        <f t="shared" si="84"/>
        <v>Distress</v>
      </c>
      <c r="AC354" s="10">
        <f t="shared" si="85"/>
        <v>1</v>
      </c>
      <c r="AE354" s="10">
        <f t="shared" si="86"/>
        <v>1</v>
      </c>
      <c r="AG354" s="13">
        <f t="shared" si="87"/>
        <v>0.7310585786300049</v>
      </c>
      <c r="AH354" s="13">
        <f t="shared" si="88"/>
        <v>-0.2689414213699951</v>
      </c>
      <c r="AI354" s="10">
        <f t="shared" si="89"/>
        <v>0.19661193324148185</v>
      </c>
    </row>
    <row r="355" spans="1:35" x14ac:dyDescent="0.3">
      <c r="A355" t="s">
        <v>103</v>
      </c>
      <c r="B355">
        <v>2023</v>
      </c>
      <c r="C355" s="3">
        <v>20983000</v>
      </c>
      <c r="D355" s="3">
        <v>123739000</v>
      </c>
      <c r="E355" s="3">
        <v>2849189000</v>
      </c>
      <c r="F355" s="3">
        <v>671351000</v>
      </c>
      <c r="G355" s="3">
        <v>2352388000</v>
      </c>
      <c r="H355" s="3">
        <v>2161904000</v>
      </c>
      <c r="I355" s="3">
        <v>527828000</v>
      </c>
      <c r="J355" s="3">
        <v>-2325913000</v>
      </c>
      <c r="K355" s="3">
        <v>-1490553000</v>
      </c>
      <c r="M355" s="3">
        <v>1453968000</v>
      </c>
      <c r="N355" s="3">
        <v>-130210000</v>
      </c>
      <c r="O355" s="3">
        <v>1556973000</v>
      </c>
      <c r="P355">
        <f t="shared" si="76"/>
        <v>-5.8080503830779469</v>
      </c>
      <c r="Q355">
        <f t="shared" si="77"/>
        <v>1</v>
      </c>
      <c r="R355" t="str">
        <f t="shared" si="82"/>
        <v>Distress</v>
      </c>
      <c r="S355">
        <f t="shared" si="78"/>
        <v>-0.52314992090731782</v>
      </c>
      <c r="T355">
        <f t="shared" si="79"/>
        <v>-0.81634212402195849</v>
      </c>
      <c r="U355">
        <f t="shared" si="80"/>
        <v>7.3645518075494461E-3</v>
      </c>
      <c r="V355">
        <f t="shared" si="81"/>
        <v>0.22437965165610435</v>
      </c>
      <c r="X355" s="13">
        <f t="shared" si="83"/>
        <v>-5.8278540310659688</v>
      </c>
      <c r="Y355" s="10"/>
      <c r="Z355" s="10"/>
      <c r="AB355" s="10" t="str">
        <f t="shared" si="84"/>
        <v>Distress</v>
      </c>
      <c r="AC355" s="10">
        <f t="shared" si="85"/>
        <v>1</v>
      </c>
      <c r="AE355" s="10">
        <f t="shared" si="86"/>
        <v>1</v>
      </c>
      <c r="AG355" s="13">
        <f t="shared" si="87"/>
        <v>0.7310585786300049</v>
      </c>
      <c r="AH355" s="13">
        <f t="shared" si="88"/>
        <v>-0.2689414213699951</v>
      </c>
      <c r="AI355" s="10">
        <f t="shared" si="89"/>
        <v>0.19661193324148185</v>
      </c>
    </row>
    <row r="356" spans="1:35" x14ac:dyDescent="0.3">
      <c r="A356" t="s">
        <v>103</v>
      </c>
      <c r="B356">
        <v>2022</v>
      </c>
      <c r="C356" s="3">
        <v>377752000</v>
      </c>
      <c r="D356" s="3">
        <v>165500000</v>
      </c>
      <c r="E356" s="3">
        <v>3162434000</v>
      </c>
      <c r="F356" s="3">
        <v>1072512000</v>
      </c>
      <c r="G356" s="3">
        <v>2609848000</v>
      </c>
      <c r="H356" s="3">
        <v>2399612000</v>
      </c>
      <c r="I356" s="3">
        <v>594365000</v>
      </c>
      <c r="J356" s="3">
        <v>-2188660000</v>
      </c>
      <c r="K356" s="3">
        <v>-1327100000</v>
      </c>
      <c r="M356" s="3">
        <v>2238533000</v>
      </c>
      <c r="N356" s="3">
        <v>19474000</v>
      </c>
      <c r="O356" s="3">
        <v>1847177000</v>
      </c>
      <c r="P356">
        <f t="shared" si="76"/>
        <v>-3.9672268493464187</v>
      </c>
      <c r="Q356">
        <f t="shared" si="77"/>
        <v>1</v>
      </c>
      <c r="R356" t="str">
        <f t="shared" si="82"/>
        <v>Distress</v>
      </c>
      <c r="S356">
        <f t="shared" si="78"/>
        <v>-0.41964512144759386</v>
      </c>
      <c r="T356">
        <f t="shared" si="79"/>
        <v>-0.69208084658841895</v>
      </c>
      <c r="U356">
        <f t="shared" si="80"/>
        <v>0.11944976559194595</v>
      </c>
      <c r="V356">
        <f t="shared" si="81"/>
        <v>0.22773931661920541</v>
      </c>
      <c r="X356" s="13">
        <f t="shared" si="83"/>
        <v>-4.2456195555440654</v>
      </c>
      <c r="Y356" s="10"/>
      <c r="Z356" s="10"/>
      <c r="AB356" s="10" t="str">
        <f t="shared" si="84"/>
        <v>Distress</v>
      </c>
      <c r="AC356" s="10">
        <f t="shared" si="85"/>
        <v>1</v>
      </c>
      <c r="AE356" s="10">
        <f t="shared" si="86"/>
        <v>1</v>
      </c>
      <c r="AG356" s="13">
        <f t="shared" si="87"/>
        <v>0.7310585786300049</v>
      </c>
      <c r="AH356" s="13">
        <f t="shared" si="88"/>
        <v>-0.2689414213699951</v>
      </c>
      <c r="AI356" s="10">
        <f t="shared" si="89"/>
        <v>0.19661193324148185</v>
      </c>
    </row>
    <row r="357" spans="1:35" x14ac:dyDescent="0.3">
      <c r="A357" t="s">
        <v>104</v>
      </c>
      <c r="B357">
        <v>2025</v>
      </c>
      <c r="C357" s="3">
        <v>2278718000000</v>
      </c>
      <c r="D357" s="3">
        <v>1176000000</v>
      </c>
      <c r="E357" s="3">
        <v>15540077000000</v>
      </c>
      <c r="F357" s="3">
        <v>8699271000000</v>
      </c>
      <c r="G357" s="3">
        <v>1543964000000</v>
      </c>
      <c r="H357" s="3">
        <v>920410000000</v>
      </c>
      <c r="I357" s="3">
        <v>13999946000000</v>
      </c>
      <c r="J357" s="3">
        <v>12165641000000</v>
      </c>
      <c r="K357" s="3">
        <v>7778861000000</v>
      </c>
      <c r="M357" s="3">
        <v>5511706000000</v>
      </c>
      <c r="N357" s="3">
        <v>1887756000000</v>
      </c>
      <c r="O357" s="3">
        <v>329000000</v>
      </c>
      <c r="P357">
        <f t="shared" si="76"/>
        <v>16.342131862252128</v>
      </c>
      <c r="Q357">
        <f t="shared" si="77"/>
        <v>0</v>
      </c>
      <c r="R357" t="str">
        <f t="shared" si="82"/>
        <v>Safe</v>
      </c>
      <c r="S357">
        <f t="shared" si="78"/>
        <v>0.50056772562967355</v>
      </c>
      <c r="T357">
        <f t="shared" si="79"/>
        <v>0.78285590219404966</v>
      </c>
      <c r="U357">
        <f t="shared" si="80"/>
        <v>0.14663492336620984</v>
      </c>
      <c r="V357">
        <f t="shared" si="81"/>
        <v>9.0675339580456544</v>
      </c>
      <c r="X357" s="13">
        <f t="shared" si="83"/>
        <v>6.724199841607426</v>
      </c>
      <c r="Y357" s="10"/>
      <c r="Z357" s="10"/>
      <c r="AB357" s="10" t="str">
        <f t="shared" si="84"/>
        <v>Non-Distress</v>
      </c>
      <c r="AC357" s="10">
        <f t="shared" si="85"/>
        <v>0</v>
      </c>
      <c r="AE357" s="10">
        <f t="shared" si="86"/>
        <v>0</v>
      </c>
      <c r="AG357" s="13">
        <f t="shared" si="87"/>
        <v>0.5</v>
      </c>
      <c r="AH357" s="13">
        <f t="shared" si="88"/>
        <v>0.5</v>
      </c>
      <c r="AI357" s="10">
        <f t="shared" si="89"/>
        <v>0.25</v>
      </c>
    </row>
    <row r="358" spans="1:35" x14ac:dyDescent="0.3">
      <c r="A358" t="s">
        <v>104</v>
      </c>
      <c r="B358">
        <v>2024</v>
      </c>
      <c r="C358" s="3">
        <v>1773706000000</v>
      </c>
      <c r="D358" s="3">
        <v>653000000</v>
      </c>
      <c r="E358" s="3">
        <v>13841956000000</v>
      </c>
      <c r="F358" s="3">
        <v>7117283000000</v>
      </c>
      <c r="G358" s="3">
        <v>1285202000000</v>
      </c>
      <c r="H358" s="3">
        <v>677973000000</v>
      </c>
      <c r="I358" s="3">
        <v>12559186000000</v>
      </c>
      <c r="J358" s="3">
        <v>10729706000000</v>
      </c>
      <c r="K358" s="3">
        <v>6439310000000</v>
      </c>
      <c r="M358" s="3">
        <v>4562503000000</v>
      </c>
      <c r="N358" s="3">
        <v>1476909000000</v>
      </c>
      <c r="O358" s="3">
        <v>3558000000</v>
      </c>
      <c r="P358">
        <f t="shared" si="76"/>
        <v>16.700599621233291</v>
      </c>
      <c r="Q358">
        <f t="shared" si="77"/>
        <v>0</v>
      </c>
      <c r="R358" t="str">
        <f t="shared" si="82"/>
        <v>Safe</v>
      </c>
      <c r="S358">
        <f t="shared" si="78"/>
        <v>0.46520231678239693</v>
      </c>
      <c r="T358">
        <f t="shared" si="79"/>
        <v>0.77515822185824024</v>
      </c>
      <c r="U358">
        <f t="shared" si="80"/>
        <v>0.12813983804023074</v>
      </c>
      <c r="V358">
        <f t="shared" si="81"/>
        <v>9.772149436431004</v>
      </c>
      <c r="X358" s="13">
        <f t="shared" si="83"/>
        <v>6.4236210085007519</v>
      </c>
      <c r="Y358" s="10"/>
      <c r="Z358" s="10"/>
      <c r="AB358" s="10" t="str">
        <f t="shared" si="84"/>
        <v>Non-Distress</v>
      </c>
      <c r="AC358" s="10">
        <f t="shared" si="85"/>
        <v>0</v>
      </c>
      <c r="AE358" s="10">
        <f t="shared" si="86"/>
        <v>0</v>
      </c>
      <c r="AG358" s="13">
        <f t="shared" si="87"/>
        <v>0.5</v>
      </c>
      <c r="AH358" s="13">
        <f t="shared" si="88"/>
        <v>0.5</v>
      </c>
      <c r="AI358" s="10">
        <f t="shared" si="89"/>
        <v>0.25</v>
      </c>
    </row>
    <row r="359" spans="1:35" x14ac:dyDescent="0.3">
      <c r="A359" t="s">
        <v>104</v>
      </c>
      <c r="B359">
        <v>2023</v>
      </c>
      <c r="C359" s="3">
        <v>911992000000</v>
      </c>
      <c r="D359" s="3">
        <v>566000000</v>
      </c>
      <c r="E359" s="3">
        <v>12514203000000</v>
      </c>
      <c r="F359" s="3">
        <v>5376837000000</v>
      </c>
      <c r="G359" s="3">
        <v>1166762000000</v>
      </c>
      <c r="H359" s="3">
        <v>564496000000</v>
      </c>
      <c r="I359" s="3">
        <v>11348618000000</v>
      </c>
      <c r="J359" s="3">
        <v>9524141000000</v>
      </c>
      <c r="K359" s="3">
        <v>4812341000000</v>
      </c>
      <c r="M359" s="3">
        <v>4189896000000</v>
      </c>
      <c r="N359" s="3">
        <v>761995000000</v>
      </c>
      <c r="O359" s="3">
        <v>8417000000</v>
      </c>
      <c r="P359">
        <f t="shared" si="76"/>
        <v>15.706379201003422</v>
      </c>
      <c r="Q359">
        <f t="shared" si="77"/>
        <v>0</v>
      </c>
      <c r="R359" t="str">
        <f t="shared" si="82"/>
        <v>Safe</v>
      </c>
      <c r="S359">
        <f t="shared" si="78"/>
        <v>0.38455033852335624</v>
      </c>
      <c r="T359">
        <f t="shared" si="79"/>
        <v>0.76106652577075828</v>
      </c>
      <c r="U359">
        <f t="shared" si="80"/>
        <v>7.2876554743438321E-2</v>
      </c>
      <c r="V359">
        <f t="shared" si="81"/>
        <v>9.726592055620598</v>
      </c>
      <c r="X359" s="13">
        <f t="shared" si="83"/>
        <v>5.6152085978519475</v>
      </c>
      <c r="Y359" s="10"/>
      <c r="Z359" s="10"/>
      <c r="AB359" s="10" t="str">
        <f t="shared" si="84"/>
        <v>Non-Distress</v>
      </c>
      <c r="AC359" s="10">
        <f t="shared" si="85"/>
        <v>0</v>
      </c>
      <c r="AE359" s="10">
        <f t="shared" si="86"/>
        <v>0</v>
      </c>
      <c r="AG359" s="13">
        <f t="shared" si="87"/>
        <v>0.5</v>
      </c>
      <c r="AH359" s="13">
        <f t="shared" si="88"/>
        <v>0.5</v>
      </c>
      <c r="AI359" s="10">
        <f t="shared" si="89"/>
        <v>0.25</v>
      </c>
    </row>
    <row r="360" spans="1:35" x14ac:dyDescent="0.3">
      <c r="A360" t="s">
        <v>104</v>
      </c>
      <c r="B360">
        <v>2022</v>
      </c>
      <c r="C360" s="3">
        <v>1284201000000</v>
      </c>
      <c r="D360" s="3">
        <v>676000000</v>
      </c>
      <c r="E360" s="3">
        <v>12417013000000</v>
      </c>
      <c r="F360" s="3">
        <v>5107489000000</v>
      </c>
      <c r="G360" s="3">
        <v>1481306000000</v>
      </c>
      <c r="H360" s="3">
        <v>709627000000</v>
      </c>
      <c r="I360" s="3">
        <v>10935562000000</v>
      </c>
      <c r="J360" s="3">
        <v>9116053000000</v>
      </c>
      <c r="K360" s="3">
        <v>4397862000000</v>
      </c>
      <c r="M360" s="3">
        <v>4585348000000</v>
      </c>
      <c r="N360" s="3">
        <v>1036448000000</v>
      </c>
      <c r="O360" s="3">
        <v>3772000000</v>
      </c>
      <c r="P360">
        <f t="shared" si="76"/>
        <v>13.163277378606338</v>
      </c>
      <c r="Q360">
        <f t="shared" si="77"/>
        <v>0</v>
      </c>
      <c r="R360" t="str">
        <f t="shared" si="82"/>
        <v>Safe</v>
      </c>
      <c r="S360">
        <f t="shared" si="78"/>
        <v>0.35418034917093183</v>
      </c>
      <c r="T360">
        <f t="shared" si="79"/>
        <v>0.73415828750441026</v>
      </c>
      <c r="U360">
        <f t="shared" si="80"/>
        <v>0.10342269916283409</v>
      </c>
      <c r="V360">
        <f t="shared" si="81"/>
        <v>7.3823787927680034</v>
      </c>
      <c r="X360" s="13">
        <f t="shared" si="83"/>
        <v>5.3884499614291981</v>
      </c>
      <c r="Y360" s="10"/>
      <c r="Z360" s="10"/>
      <c r="AB360" s="10" t="str">
        <f t="shared" si="84"/>
        <v>Non-Distress</v>
      </c>
      <c r="AC360" s="10">
        <f t="shared" si="85"/>
        <v>0</v>
      </c>
      <c r="AE360" s="10">
        <f t="shared" si="86"/>
        <v>0</v>
      </c>
      <c r="AG360" s="13">
        <f t="shared" si="87"/>
        <v>0.5</v>
      </c>
      <c r="AH360" s="13">
        <f t="shared" si="88"/>
        <v>0.5</v>
      </c>
      <c r="AI360" s="10">
        <f t="shared" si="89"/>
        <v>0.25</v>
      </c>
    </row>
    <row r="361" spans="1:35" x14ac:dyDescent="0.3">
      <c r="A361" t="s">
        <v>105</v>
      </c>
      <c r="B361">
        <v>2025</v>
      </c>
      <c r="C361" s="3">
        <v>371968000000</v>
      </c>
      <c r="D361" s="3">
        <v>131757000000</v>
      </c>
      <c r="E361" s="3">
        <v>6682022000000</v>
      </c>
      <c r="F361" s="3">
        <v>3179851000000</v>
      </c>
      <c r="G361" s="3">
        <v>3375629000000</v>
      </c>
      <c r="H361" s="3">
        <v>2694051000000</v>
      </c>
      <c r="I361" s="3">
        <v>3045864000000</v>
      </c>
      <c r="J361" s="3">
        <v>2216143000000</v>
      </c>
      <c r="K361" s="3">
        <v>485800000000</v>
      </c>
      <c r="M361" s="3">
        <v>8799179000000</v>
      </c>
      <c r="N361" s="3">
        <v>149451000000</v>
      </c>
      <c r="O361" s="3">
        <v>1349037000000</v>
      </c>
      <c r="P361">
        <f t="shared" si="76"/>
        <v>2.8796399628494456</v>
      </c>
      <c r="Q361">
        <f t="shared" si="77"/>
        <v>0</v>
      </c>
      <c r="R361" t="str">
        <f t="shared" si="82"/>
        <v>Safe</v>
      </c>
      <c r="S361">
        <f t="shared" si="78"/>
        <v>7.2702544229875335E-2</v>
      </c>
      <c r="T361">
        <f t="shared" si="79"/>
        <v>0.33165754318079166</v>
      </c>
      <c r="U361">
        <f t="shared" si="80"/>
        <v>5.5666982239807053E-2</v>
      </c>
      <c r="V361">
        <f t="shared" si="81"/>
        <v>0.90231005836245626</v>
      </c>
      <c r="X361" s="13">
        <f t="shared" si="83"/>
        <v>1.839440643187773</v>
      </c>
      <c r="Y361" s="10"/>
      <c r="Z361" s="10"/>
      <c r="AB361" s="10" t="str">
        <f t="shared" si="84"/>
        <v>Non-Distress</v>
      </c>
      <c r="AC361" s="10">
        <f t="shared" si="85"/>
        <v>0</v>
      </c>
      <c r="AE361" s="10">
        <f t="shared" si="86"/>
        <v>0</v>
      </c>
      <c r="AG361" s="13">
        <f t="shared" si="87"/>
        <v>0.5</v>
      </c>
      <c r="AH361" s="13">
        <f t="shared" si="88"/>
        <v>0.5</v>
      </c>
      <c r="AI361" s="10">
        <f t="shared" si="89"/>
        <v>0.25</v>
      </c>
    </row>
    <row r="362" spans="1:35" x14ac:dyDescent="0.3">
      <c r="A362" t="s">
        <v>105</v>
      </c>
      <c r="B362">
        <v>2024</v>
      </c>
      <c r="C362" s="3">
        <v>419942000000</v>
      </c>
      <c r="D362" s="3">
        <v>106691000000</v>
      </c>
      <c r="E362" s="3">
        <v>6060384000000</v>
      </c>
      <c r="F362" s="3">
        <v>2582070000000</v>
      </c>
      <c r="G362" s="3">
        <v>2929660000000</v>
      </c>
      <c r="H362" s="3">
        <v>2226311000000</v>
      </c>
      <c r="I362" s="3">
        <v>2871765000000</v>
      </c>
      <c r="J362" s="3">
        <v>2132846000000</v>
      </c>
      <c r="K362" s="3">
        <v>355759000000</v>
      </c>
      <c r="M362" s="3">
        <v>7722382000000</v>
      </c>
      <c r="N362" s="3">
        <v>220360000000</v>
      </c>
      <c r="O362" s="3">
        <v>1182452000000</v>
      </c>
      <c r="P362">
        <f t="shared" si="76"/>
        <v>3.0272865398790225</v>
      </c>
      <c r="Q362">
        <f t="shared" si="77"/>
        <v>0</v>
      </c>
      <c r="R362" t="str">
        <f t="shared" si="82"/>
        <v>Safe</v>
      </c>
      <c r="S362">
        <f t="shared" si="78"/>
        <v>5.8702385855417739E-2</v>
      </c>
      <c r="T362">
        <f t="shared" si="79"/>
        <v>0.35193248480624328</v>
      </c>
      <c r="U362">
        <f t="shared" si="80"/>
        <v>6.9292968894380289E-2</v>
      </c>
      <c r="V362">
        <f t="shared" si="81"/>
        <v>0.98023832117037468</v>
      </c>
      <c r="X362" s="13">
        <f t="shared" si="83"/>
        <v>1.8895868456021732</v>
      </c>
      <c r="Y362" s="10"/>
      <c r="Z362" s="10"/>
      <c r="AB362" s="10" t="str">
        <f t="shared" si="84"/>
        <v>Non-Distress</v>
      </c>
      <c r="AC362" s="10">
        <f t="shared" si="85"/>
        <v>0</v>
      </c>
      <c r="AE362" s="10">
        <f t="shared" si="86"/>
        <v>0</v>
      </c>
      <c r="AG362" s="13">
        <f t="shared" si="87"/>
        <v>0.5</v>
      </c>
      <c r="AH362" s="13">
        <f t="shared" si="88"/>
        <v>0.5</v>
      </c>
      <c r="AI362" s="10">
        <f t="shared" si="89"/>
        <v>0.25</v>
      </c>
    </row>
    <row r="363" spans="1:35" x14ac:dyDescent="0.3">
      <c r="A363" t="s">
        <v>105</v>
      </c>
      <c r="B363">
        <v>2023</v>
      </c>
      <c r="C363" s="3">
        <v>328051000000</v>
      </c>
      <c r="D363" s="3">
        <v>95757000000</v>
      </c>
      <c r="E363" s="3">
        <v>5628540000000</v>
      </c>
      <c r="F363" s="3">
        <v>2518719000000</v>
      </c>
      <c r="G363" s="3">
        <v>2655480000000</v>
      </c>
      <c r="H363" s="3">
        <v>2141580000000</v>
      </c>
      <c r="I363" s="3">
        <v>2699099000000</v>
      </c>
      <c r="J363" s="3">
        <v>1936653000000</v>
      </c>
      <c r="K363" s="3">
        <v>377139000000</v>
      </c>
      <c r="M363" s="3">
        <v>7316902000000</v>
      </c>
      <c r="N363" s="3">
        <v>160943000000</v>
      </c>
      <c r="O363" s="3">
        <v>1035331000000</v>
      </c>
      <c r="P363">
        <f t="shared" si="76"/>
        <v>3.0201557860960535</v>
      </c>
      <c r="Q363">
        <f t="shared" si="77"/>
        <v>0</v>
      </c>
      <c r="R363" t="str">
        <f t="shared" si="82"/>
        <v>Safe</v>
      </c>
      <c r="S363">
        <f t="shared" si="78"/>
        <v>6.7004765001225888E-2</v>
      </c>
      <c r="T363">
        <f t="shared" si="79"/>
        <v>0.34407732733533031</v>
      </c>
      <c r="U363">
        <f t="shared" si="80"/>
        <v>5.8283498029684432E-2</v>
      </c>
      <c r="V363">
        <f t="shared" si="81"/>
        <v>1.0164260322051004</v>
      </c>
      <c r="X363" s="13">
        <f t="shared" si="83"/>
        <v>1.8628825781927232</v>
      </c>
      <c r="Y363" s="10"/>
      <c r="Z363" s="10"/>
      <c r="AB363" s="10" t="str">
        <f t="shared" si="84"/>
        <v>Non-Distress</v>
      </c>
      <c r="AC363" s="10">
        <f t="shared" si="85"/>
        <v>0</v>
      </c>
      <c r="AE363" s="10">
        <f t="shared" si="86"/>
        <v>0</v>
      </c>
      <c r="AG363" s="13">
        <f t="shared" si="87"/>
        <v>0.5</v>
      </c>
      <c r="AH363" s="13">
        <f t="shared" si="88"/>
        <v>0.5</v>
      </c>
      <c r="AI363" s="10">
        <f t="shared" si="89"/>
        <v>0.25</v>
      </c>
    </row>
    <row r="364" spans="1:35" x14ac:dyDescent="0.3">
      <c r="A364" t="s">
        <v>105</v>
      </c>
      <c r="B364">
        <v>2022</v>
      </c>
      <c r="C364" s="3">
        <v>577263000000</v>
      </c>
      <c r="D364" s="3">
        <v>138538000000</v>
      </c>
      <c r="E364" s="3">
        <v>6094139000000</v>
      </c>
      <c r="F364" s="3">
        <v>2747344000000</v>
      </c>
      <c r="G364" s="3">
        <v>3107428000000</v>
      </c>
      <c r="H364" s="3">
        <v>2253473000000</v>
      </c>
      <c r="I364" s="3">
        <v>2707608000000</v>
      </c>
      <c r="J364" s="3">
        <v>1841012000000</v>
      </c>
      <c r="K364" s="3">
        <v>493871000000</v>
      </c>
      <c r="M364" s="3">
        <v>7879115000000</v>
      </c>
      <c r="N364" s="3">
        <v>321012000000</v>
      </c>
      <c r="O364" s="3">
        <v>1373789000000</v>
      </c>
      <c r="P364">
        <f t="shared" ref="P364:P414" si="90">6.56*(F364-H364)/E364+3.26*J364/E364+6.72*C364/E364+1.05*I364/G364</f>
        <v>3.0679039251803344</v>
      </c>
      <c r="Q364">
        <f t="shared" ref="Q364:Q414" si="91">IF(VALUE(TRIM(P364))&lt;=1.1, 1, 0)</f>
        <v>0</v>
      </c>
      <c r="R364" t="str">
        <f t="shared" si="82"/>
        <v>Safe</v>
      </c>
      <c r="S364">
        <f t="shared" ref="S364:S414" si="92">MAX(-2,MIN(K364/E364,2))</f>
        <v>8.1040324154076568E-2</v>
      </c>
      <c r="T364">
        <f t="shared" ref="T364:T414" si="93" xml:space="preserve"> J364/E364</f>
        <v>0.30209550520590356</v>
      </c>
      <c r="U364">
        <f t="shared" ref="U364:U414" si="94">C364/E364</f>
        <v>9.4724291651371917E-2</v>
      </c>
      <c r="V364">
        <f t="shared" ref="V364:V414" si="95">I364/G364</f>
        <v>0.87133410653440724</v>
      </c>
      <c r="X364" s="13">
        <f t="shared" si="83"/>
        <v>1.9811105887724807</v>
      </c>
      <c r="Y364" s="10"/>
      <c r="Z364" s="10"/>
      <c r="AB364" s="10" t="str">
        <f t="shared" si="84"/>
        <v>Non-Distress</v>
      </c>
      <c r="AC364" s="10">
        <f t="shared" si="85"/>
        <v>0</v>
      </c>
      <c r="AE364" s="10">
        <f t="shared" si="86"/>
        <v>0</v>
      </c>
      <c r="AG364" s="13">
        <f t="shared" si="87"/>
        <v>0.5</v>
      </c>
      <c r="AH364" s="13">
        <f t="shared" si="88"/>
        <v>0.5</v>
      </c>
      <c r="AI364" s="10">
        <f t="shared" si="89"/>
        <v>0.25</v>
      </c>
    </row>
    <row r="365" spans="1:35" x14ac:dyDescent="0.3">
      <c r="A365" t="s">
        <v>106</v>
      </c>
      <c r="B365">
        <v>2025</v>
      </c>
      <c r="C365" s="3">
        <v>600074735000</v>
      </c>
      <c r="D365" s="3">
        <v>98777721000</v>
      </c>
      <c r="E365" s="3">
        <v>5704660843000</v>
      </c>
      <c r="F365" s="3">
        <v>3057956975000</v>
      </c>
      <c r="G365" s="3">
        <v>2826245607000</v>
      </c>
      <c r="H365" s="3">
        <v>1984624030000</v>
      </c>
      <c r="I365" s="3">
        <v>2880924876000</v>
      </c>
      <c r="J365" s="3">
        <v>2055843523000</v>
      </c>
      <c r="K365" s="3">
        <v>1073332945000</v>
      </c>
      <c r="M365" s="3">
        <v>12692871511000</v>
      </c>
      <c r="N365" s="3">
        <v>393615777000</v>
      </c>
      <c r="O365" s="3">
        <v>1235742153000</v>
      </c>
      <c r="P365">
        <f t="shared" si="90"/>
        <v>4.1862955609020158</v>
      </c>
      <c r="Q365">
        <f t="shared" si="91"/>
        <v>0</v>
      </c>
      <c r="R365" t="str">
        <f t="shared" si="82"/>
        <v>Safe</v>
      </c>
      <c r="S365">
        <f t="shared" si="92"/>
        <v>0.18815017659061209</v>
      </c>
      <c r="T365">
        <f t="shared" si="93"/>
        <v>0.36037962283466113</v>
      </c>
      <c r="U365">
        <f t="shared" si="94"/>
        <v>0.10519025609319646</v>
      </c>
      <c r="V365">
        <f t="shared" si="95"/>
        <v>1.0193469629336429</v>
      </c>
      <c r="X365" s="13">
        <f t="shared" si="83"/>
        <v>2.8837795315741048</v>
      </c>
      <c r="Y365" s="10"/>
      <c r="Z365" s="10"/>
      <c r="AB365" s="10" t="str">
        <f t="shared" si="84"/>
        <v>Non-Distress</v>
      </c>
      <c r="AC365" s="10">
        <f t="shared" si="85"/>
        <v>0</v>
      </c>
      <c r="AE365" s="10">
        <f t="shared" si="86"/>
        <v>0</v>
      </c>
      <c r="AG365" s="13">
        <f t="shared" si="87"/>
        <v>0.5</v>
      </c>
      <c r="AH365" s="13">
        <f t="shared" si="88"/>
        <v>0.5</v>
      </c>
      <c r="AI365" s="10">
        <f t="shared" si="89"/>
        <v>0.25</v>
      </c>
    </row>
    <row r="366" spans="1:35" x14ac:dyDescent="0.3">
      <c r="A366" t="s">
        <v>106</v>
      </c>
      <c r="B366">
        <v>2024</v>
      </c>
      <c r="C366" s="3">
        <v>773980197000</v>
      </c>
      <c r="D366" s="3">
        <v>135815647000</v>
      </c>
      <c r="E366" s="3">
        <v>5380045840000</v>
      </c>
      <c r="F366" s="3">
        <v>2848076485000</v>
      </c>
      <c r="G366" s="3">
        <v>2747743014000</v>
      </c>
      <c r="H366" s="3">
        <v>1725205580000</v>
      </c>
      <c r="I366" s="3">
        <v>2634786614000</v>
      </c>
      <c r="J366" s="3">
        <v>1805554470000</v>
      </c>
      <c r="K366" s="3">
        <v>1122870905000</v>
      </c>
      <c r="M366" s="3">
        <v>12502826561000</v>
      </c>
      <c r="N366" s="3">
        <v>488029417000</v>
      </c>
      <c r="O366" s="3">
        <v>1189354202000</v>
      </c>
      <c r="P366">
        <f t="shared" si="90"/>
        <v>4.4367856560913284</v>
      </c>
      <c r="Q366">
        <f t="shared" si="91"/>
        <v>0</v>
      </c>
      <c r="R366" t="str">
        <f t="shared" si="82"/>
        <v>Safe</v>
      </c>
      <c r="S366">
        <f t="shared" si="92"/>
        <v>0.20871028582165388</v>
      </c>
      <c r="T366">
        <f t="shared" si="93"/>
        <v>0.33560206059508224</v>
      </c>
      <c r="U366">
        <f t="shared" si="94"/>
        <v>0.14386126438655028</v>
      </c>
      <c r="V366">
        <f t="shared" si="95"/>
        <v>0.9588912065558981</v>
      </c>
      <c r="X366" s="13">
        <f t="shared" si="83"/>
        <v>3.1126983301951179</v>
      </c>
      <c r="Y366" s="10"/>
      <c r="Z366" s="10"/>
      <c r="AB366" s="10" t="str">
        <f t="shared" si="84"/>
        <v>Non-Distress</v>
      </c>
      <c r="AC366" s="10">
        <f t="shared" si="85"/>
        <v>0</v>
      </c>
      <c r="AE366" s="10">
        <f t="shared" si="86"/>
        <v>0</v>
      </c>
      <c r="AG366" s="13">
        <f t="shared" si="87"/>
        <v>0.5</v>
      </c>
      <c r="AH366" s="13">
        <f t="shared" si="88"/>
        <v>0.5</v>
      </c>
      <c r="AI366" s="10">
        <f t="shared" si="89"/>
        <v>0.25</v>
      </c>
    </row>
    <row r="367" spans="1:35" x14ac:dyDescent="0.3">
      <c r="A367" t="s">
        <v>106</v>
      </c>
      <c r="B367">
        <v>2023</v>
      </c>
      <c r="C367" s="3">
        <v>279311170000</v>
      </c>
      <c r="D367" s="3">
        <v>167915557000</v>
      </c>
      <c r="E367" s="3">
        <v>5517296880000</v>
      </c>
      <c r="F367" s="3">
        <v>2821248975000</v>
      </c>
      <c r="G367" s="3">
        <v>3377015031000</v>
      </c>
      <c r="H367" s="3">
        <v>2383084198000</v>
      </c>
      <c r="I367" s="3">
        <v>2142693927000</v>
      </c>
      <c r="J367" s="3">
        <v>1315651784000</v>
      </c>
      <c r="K367" s="3">
        <v>438164777000</v>
      </c>
      <c r="M367" s="3">
        <v>12058023085000</v>
      </c>
      <c r="N367" s="3">
        <v>63373085000</v>
      </c>
      <c r="O367" s="3">
        <v>2122904651000</v>
      </c>
      <c r="P367">
        <f t="shared" si="90"/>
        <v>2.3047663151935476</v>
      </c>
      <c r="Q367">
        <f t="shared" si="91"/>
        <v>0</v>
      </c>
      <c r="R367" t="str">
        <f t="shared" si="82"/>
        <v>Grey Area</v>
      </c>
      <c r="S367">
        <f t="shared" si="92"/>
        <v>7.9416566940294864E-2</v>
      </c>
      <c r="T367">
        <f t="shared" si="93"/>
        <v>0.23845948706678985</v>
      </c>
      <c r="U367">
        <f t="shared" si="94"/>
        <v>5.0624640303930865E-2</v>
      </c>
      <c r="V367">
        <f t="shared" si="95"/>
        <v>0.63449345274767888</v>
      </c>
      <c r="X367" s="13">
        <f t="shared" si="83"/>
        <v>1.5391129979384406</v>
      </c>
      <c r="Y367" s="10"/>
      <c r="Z367" s="10"/>
      <c r="AB367" s="10" t="str">
        <f t="shared" si="84"/>
        <v>Non-Distress</v>
      </c>
      <c r="AC367" s="10">
        <f t="shared" si="85"/>
        <v>0</v>
      </c>
      <c r="AE367" s="10">
        <f t="shared" si="86"/>
        <v>0</v>
      </c>
      <c r="AG367" s="13">
        <f t="shared" si="87"/>
        <v>0.5</v>
      </c>
      <c r="AH367" s="13">
        <f t="shared" si="88"/>
        <v>0.5</v>
      </c>
      <c r="AI367" s="10">
        <f t="shared" si="89"/>
        <v>0.25</v>
      </c>
    </row>
    <row r="368" spans="1:35" x14ac:dyDescent="0.3">
      <c r="A368" t="s">
        <v>106</v>
      </c>
      <c r="B368">
        <v>2022</v>
      </c>
      <c r="C368" s="3">
        <v>191747506000</v>
      </c>
      <c r="D368" s="3">
        <v>159918292000</v>
      </c>
      <c r="E368" s="3">
        <v>5746998087000</v>
      </c>
      <c r="F368" s="3">
        <v>2952189309000</v>
      </c>
      <c r="G368" s="3">
        <v>3671859617000</v>
      </c>
      <c r="H368" s="3">
        <v>2524889763000</v>
      </c>
      <c r="I368" s="3">
        <v>2077340824000</v>
      </c>
      <c r="J368" s="3">
        <v>1250298681000</v>
      </c>
      <c r="K368" s="3">
        <v>427299546000</v>
      </c>
      <c r="M368" s="3">
        <v>11101647275000</v>
      </c>
      <c r="N368" s="3">
        <v>26239995000</v>
      </c>
      <c r="O368" s="3">
        <v>2713550547000</v>
      </c>
      <c r="P368">
        <f t="shared" si="90"/>
        <v>2.0152280475865094</v>
      </c>
      <c r="Q368">
        <f t="shared" si="91"/>
        <v>0</v>
      </c>
      <c r="R368" t="str">
        <f t="shared" si="82"/>
        <v>Grey Area</v>
      </c>
      <c r="S368">
        <f t="shared" si="92"/>
        <v>7.4351781492075511E-2</v>
      </c>
      <c r="T368">
        <f t="shared" si="93"/>
        <v>0.21755682916064281</v>
      </c>
      <c r="U368">
        <f t="shared" si="94"/>
        <v>3.3364811175723645E-2</v>
      </c>
      <c r="V368">
        <f t="shared" si="95"/>
        <v>0.56574625412755808</v>
      </c>
      <c r="X368" s="13">
        <f t="shared" si="83"/>
        <v>1.3532016205949082</v>
      </c>
      <c r="Y368" s="10"/>
      <c r="Z368" s="10"/>
      <c r="AB368" s="10" t="str">
        <f t="shared" si="84"/>
        <v>Non-Distress</v>
      </c>
      <c r="AC368" s="10">
        <f t="shared" si="85"/>
        <v>0</v>
      </c>
      <c r="AE368" s="10">
        <f t="shared" si="86"/>
        <v>0</v>
      </c>
      <c r="AG368" s="13">
        <f t="shared" si="87"/>
        <v>0.5</v>
      </c>
      <c r="AH368" s="13">
        <f t="shared" si="88"/>
        <v>0.5</v>
      </c>
      <c r="AI368" s="10">
        <f t="shared" si="89"/>
        <v>0.25</v>
      </c>
    </row>
    <row r="369" spans="1:35" x14ac:dyDescent="0.3">
      <c r="A369" t="s">
        <v>107</v>
      </c>
      <c r="B369">
        <v>2025</v>
      </c>
      <c r="C369" s="3">
        <v>364831749959</v>
      </c>
      <c r="D369" s="3">
        <v>1506803636</v>
      </c>
      <c r="E369" s="3">
        <v>1022751968456</v>
      </c>
      <c r="F369" s="3">
        <v>494561283743</v>
      </c>
      <c r="G369" s="3">
        <v>120118739831</v>
      </c>
      <c r="H369" s="3">
        <v>109138966435</v>
      </c>
      <c r="I369" s="3">
        <v>899774196821</v>
      </c>
      <c r="J369" s="3">
        <v>746118043656</v>
      </c>
      <c r="K369" s="3">
        <v>385422317308</v>
      </c>
      <c r="M369" s="3">
        <v>837311837328</v>
      </c>
      <c r="N369" s="3">
        <v>283878978712</v>
      </c>
      <c r="O369" s="3">
        <v>65957886631</v>
      </c>
      <c r="P369">
        <f t="shared" si="90"/>
        <v>15.112731498224743</v>
      </c>
      <c r="Q369">
        <f t="shared" si="91"/>
        <v>0</v>
      </c>
      <c r="R369" t="str">
        <f t="shared" si="82"/>
        <v>Safe</v>
      </c>
      <c r="S369">
        <f t="shared" si="92"/>
        <v>0.37684827719261565</v>
      </c>
      <c r="T369">
        <f t="shared" si="93"/>
        <v>0.72952002701337149</v>
      </c>
      <c r="U369">
        <f t="shared" si="94"/>
        <v>0.35671576414540579</v>
      </c>
      <c r="V369">
        <f t="shared" si="95"/>
        <v>7.4907062635433022</v>
      </c>
      <c r="X369" s="13">
        <f t="shared" si="83"/>
        <v>6.741710064684395</v>
      </c>
      <c r="Y369" s="10"/>
      <c r="Z369" s="10"/>
      <c r="AB369" s="10" t="str">
        <f t="shared" si="84"/>
        <v>Non-Distress</v>
      </c>
      <c r="AC369" s="10">
        <f t="shared" si="85"/>
        <v>0</v>
      </c>
      <c r="AE369" s="10">
        <f t="shared" si="86"/>
        <v>0</v>
      </c>
      <c r="AG369" s="13">
        <f t="shared" si="87"/>
        <v>0.5</v>
      </c>
      <c r="AH369" s="13">
        <f t="shared" si="88"/>
        <v>0.5</v>
      </c>
      <c r="AI369" s="10">
        <f t="shared" si="89"/>
        <v>0.25</v>
      </c>
    </row>
    <row r="370" spans="1:35" x14ac:dyDescent="0.3">
      <c r="A370" t="s">
        <v>107</v>
      </c>
      <c r="B370">
        <v>2024</v>
      </c>
      <c r="C370" s="3">
        <v>368773168832</v>
      </c>
      <c r="D370" s="3">
        <v>1700641877</v>
      </c>
      <c r="E370" s="3">
        <v>955841009395</v>
      </c>
      <c r="F370" s="3">
        <v>430265056672</v>
      </c>
      <c r="G370" s="3">
        <v>94944743662</v>
      </c>
      <c r="H370" s="3">
        <v>81027032647</v>
      </c>
      <c r="I370" s="3">
        <v>858069551634</v>
      </c>
      <c r="J370" s="3">
        <v>728239086644</v>
      </c>
      <c r="K370" s="3">
        <v>349238024025</v>
      </c>
      <c r="M370" s="3">
        <v>909986179510</v>
      </c>
      <c r="N370" s="3">
        <v>286535082278</v>
      </c>
      <c r="O370" s="3">
        <v>31008626887</v>
      </c>
      <c r="P370">
        <f t="shared" si="90"/>
        <v>16.962672820856465</v>
      </c>
      <c r="Q370">
        <f t="shared" si="91"/>
        <v>0</v>
      </c>
      <c r="R370" t="str">
        <f t="shared" si="82"/>
        <v>Safe</v>
      </c>
      <c r="S370">
        <f t="shared" si="92"/>
        <v>0.36537250504249696</v>
      </c>
      <c r="T370">
        <f t="shared" si="93"/>
        <v>0.76188307415784473</v>
      </c>
      <c r="U370">
        <f t="shared" si="94"/>
        <v>0.38581015588085632</v>
      </c>
      <c r="V370">
        <f t="shared" si="95"/>
        <v>9.0375677319083394</v>
      </c>
      <c r="X370" s="13">
        <f t="shared" si="83"/>
        <v>6.9848355841778664</v>
      </c>
      <c r="Y370" s="10"/>
      <c r="Z370" s="10"/>
      <c r="AB370" s="10" t="str">
        <f t="shared" si="84"/>
        <v>Non-Distress</v>
      </c>
      <c r="AC370" s="10">
        <f t="shared" si="85"/>
        <v>0</v>
      </c>
      <c r="AE370" s="10">
        <f t="shared" si="86"/>
        <v>0</v>
      </c>
      <c r="AG370" s="13">
        <f t="shared" si="87"/>
        <v>0.5</v>
      </c>
      <c r="AH370" s="13">
        <f t="shared" si="88"/>
        <v>0.5</v>
      </c>
      <c r="AI370" s="10">
        <f t="shared" si="89"/>
        <v>0.25</v>
      </c>
    </row>
    <row r="371" spans="1:35" x14ac:dyDescent="0.3">
      <c r="A371" t="s">
        <v>107</v>
      </c>
      <c r="B371">
        <v>2023</v>
      </c>
      <c r="C371" s="3">
        <v>204049407741</v>
      </c>
      <c r="D371" s="3">
        <v>3211637085</v>
      </c>
      <c r="E371" s="3">
        <v>951550724256</v>
      </c>
      <c r="F371" s="3">
        <v>423036125486</v>
      </c>
      <c r="G371" s="3">
        <v>111449183332</v>
      </c>
      <c r="H371" s="3">
        <v>83438133201</v>
      </c>
      <c r="I371" s="3">
        <v>837316875163</v>
      </c>
      <c r="J371" s="3">
        <v>707704026066</v>
      </c>
      <c r="K371" s="3">
        <v>339597992285</v>
      </c>
      <c r="M371" s="3">
        <v>559468977416</v>
      </c>
      <c r="N371" s="3">
        <v>156015763164</v>
      </c>
      <c r="O371" s="3">
        <v>57363291746</v>
      </c>
      <c r="P371">
        <f t="shared" si="90"/>
        <v>14.095447284069721</v>
      </c>
      <c r="Q371">
        <f t="shared" si="91"/>
        <v>0</v>
      </c>
      <c r="R371" t="str">
        <f t="shared" si="82"/>
        <v>Safe</v>
      </c>
      <c r="S371">
        <f t="shared" si="92"/>
        <v>0.35688900615416524</v>
      </c>
      <c r="T371">
        <f t="shared" si="93"/>
        <v>0.7437375728123593</v>
      </c>
      <c r="U371">
        <f t="shared" si="94"/>
        <v>0.21443881291829447</v>
      </c>
      <c r="V371">
        <f t="shared" si="95"/>
        <v>7.5129924700182551</v>
      </c>
      <c r="X371" s="13">
        <f t="shared" si="83"/>
        <v>5.9790355404323003</v>
      </c>
      <c r="Y371" s="10"/>
      <c r="Z371" s="10"/>
      <c r="AB371" s="10" t="str">
        <f t="shared" si="84"/>
        <v>Non-Distress</v>
      </c>
      <c r="AC371" s="10">
        <f t="shared" si="85"/>
        <v>0</v>
      </c>
      <c r="AE371" s="10">
        <f t="shared" si="86"/>
        <v>0</v>
      </c>
      <c r="AG371" s="13">
        <f t="shared" si="87"/>
        <v>0.5</v>
      </c>
      <c r="AH371" s="13">
        <f t="shared" si="88"/>
        <v>0.5</v>
      </c>
      <c r="AI371" s="10">
        <f t="shared" si="89"/>
        <v>0.25</v>
      </c>
    </row>
    <row r="372" spans="1:35" x14ac:dyDescent="0.3">
      <c r="A372" t="s">
        <v>107</v>
      </c>
      <c r="B372">
        <v>2022</v>
      </c>
      <c r="C372" s="3">
        <v>320732448790</v>
      </c>
      <c r="D372" s="3">
        <v>3666241353</v>
      </c>
      <c r="E372" s="3">
        <v>1005368365991</v>
      </c>
      <c r="F372" s="3">
        <v>436258395750</v>
      </c>
      <c r="G372" s="3">
        <v>161587275147</v>
      </c>
      <c r="H372" s="3">
        <v>111916306055</v>
      </c>
      <c r="I372" s="3">
        <v>841019436046</v>
      </c>
      <c r="J372" s="3">
        <v>703688302590</v>
      </c>
      <c r="K372" s="3">
        <v>324342089695</v>
      </c>
      <c r="M372" s="3">
        <v>823656040401</v>
      </c>
      <c r="N372" s="3">
        <v>243091834703</v>
      </c>
      <c r="O372" s="3">
        <v>121451356877</v>
      </c>
      <c r="P372">
        <f t="shared" si="90"/>
        <v>12.006885591016379</v>
      </c>
      <c r="Q372">
        <f t="shared" si="91"/>
        <v>0</v>
      </c>
      <c r="R372" t="str">
        <f t="shared" si="82"/>
        <v>Safe</v>
      </c>
      <c r="S372">
        <f t="shared" si="92"/>
        <v>0.32261020006860203</v>
      </c>
      <c r="T372">
        <f t="shared" si="93"/>
        <v>0.69993081779171418</v>
      </c>
      <c r="U372">
        <f t="shared" si="94"/>
        <v>0.31901983356503499</v>
      </c>
      <c r="V372">
        <f t="shared" si="95"/>
        <v>5.2047380295317405</v>
      </c>
      <c r="X372" s="13">
        <f t="shared" si="83"/>
        <v>6.0326759661083846</v>
      </c>
      <c r="Y372" s="10"/>
      <c r="Z372" s="10"/>
      <c r="AB372" s="10" t="str">
        <f t="shared" si="84"/>
        <v>Non-Distress</v>
      </c>
      <c r="AC372" s="10">
        <f t="shared" si="85"/>
        <v>0</v>
      </c>
      <c r="AE372" s="10">
        <f t="shared" si="86"/>
        <v>0</v>
      </c>
      <c r="AG372" s="13">
        <f t="shared" si="87"/>
        <v>0.5</v>
      </c>
      <c r="AH372" s="13">
        <f t="shared" si="88"/>
        <v>0.5</v>
      </c>
      <c r="AI372" s="10">
        <f t="shared" si="89"/>
        <v>0.25</v>
      </c>
    </row>
    <row r="373" spans="1:35" x14ac:dyDescent="0.3">
      <c r="A373" t="s">
        <v>108</v>
      </c>
      <c r="B373">
        <v>2025</v>
      </c>
      <c r="C373" s="3">
        <v>-27654111477</v>
      </c>
      <c r="D373" s="3">
        <v>15525100067</v>
      </c>
      <c r="E373" s="3">
        <v>1837417052405</v>
      </c>
      <c r="F373" s="3">
        <v>1230042730217</v>
      </c>
      <c r="G373" s="3">
        <v>748962679333</v>
      </c>
      <c r="H373" s="3">
        <v>704713984924</v>
      </c>
      <c r="I373" s="3">
        <v>163683307382</v>
      </c>
      <c r="J373" s="3">
        <v>413428873089</v>
      </c>
      <c r="K373" s="3">
        <v>525328745293</v>
      </c>
      <c r="M373" s="3">
        <v>4737712122968</v>
      </c>
      <c r="N373" s="3">
        <v>-38405729622</v>
      </c>
      <c r="O373" s="3">
        <v>322833007184</v>
      </c>
      <c r="P373">
        <f t="shared" si="90"/>
        <v>2.7373962416662709</v>
      </c>
      <c r="Q373">
        <f t="shared" si="91"/>
        <v>0</v>
      </c>
      <c r="R373" t="str">
        <f t="shared" si="82"/>
        <v>Safe</v>
      </c>
      <c r="S373">
        <f t="shared" si="92"/>
        <v>0.28590610096134456</v>
      </c>
      <c r="T373">
        <f t="shared" si="93"/>
        <v>0.22500546217738748</v>
      </c>
      <c r="U373">
        <f t="shared" si="94"/>
        <v>-1.50505359906198E-2</v>
      </c>
      <c r="V373">
        <f t="shared" si="95"/>
        <v>0.21854668049384068</v>
      </c>
      <c r="X373" s="13">
        <f t="shared" si="83"/>
        <v>2.4215089082834327</v>
      </c>
      <c r="Y373" s="10"/>
      <c r="Z373" s="10"/>
      <c r="AB373" s="10" t="str">
        <f t="shared" si="84"/>
        <v>Non-Distress</v>
      </c>
      <c r="AC373" s="10">
        <f t="shared" si="85"/>
        <v>0</v>
      </c>
      <c r="AE373" s="10">
        <f t="shared" si="86"/>
        <v>0</v>
      </c>
      <c r="AG373" s="13">
        <f t="shared" si="87"/>
        <v>0.5</v>
      </c>
      <c r="AH373" s="13">
        <f t="shared" si="88"/>
        <v>0.5</v>
      </c>
      <c r="AI373" s="10">
        <f t="shared" si="89"/>
        <v>0.25</v>
      </c>
    </row>
    <row r="374" spans="1:35" x14ac:dyDescent="0.3">
      <c r="A374" t="s">
        <v>108</v>
      </c>
      <c r="B374">
        <v>2024</v>
      </c>
      <c r="C374" s="3">
        <v>-14741038700</v>
      </c>
      <c r="D374" s="3">
        <v>19720347668</v>
      </c>
      <c r="E374" s="3">
        <v>1891583175214</v>
      </c>
      <c r="F374" s="3">
        <v>1240529388098</v>
      </c>
      <c r="G374" s="3">
        <v>762627861201</v>
      </c>
      <c r="H374" s="3">
        <v>747301612856</v>
      </c>
      <c r="I374" s="3">
        <v>186109129436</v>
      </c>
      <c r="J374" s="3">
        <v>451834602711</v>
      </c>
      <c r="K374" s="3">
        <v>493227775242</v>
      </c>
      <c r="M374" s="3">
        <v>7143639757997</v>
      </c>
      <c r="N374" s="3">
        <v>-15541238</v>
      </c>
      <c r="O374" s="3">
        <v>352767859344</v>
      </c>
      <c r="P374">
        <f t="shared" si="90"/>
        <v>2.6930835767347228</v>
      </c>
      <c r="Q374">
        <f t="shared" si="91"/>
        <v>0</v>
      </c>
      <c r="R374" t="str">
        <f t="shared" si="82"/>
        <v>Safe</v>
      </c>
      <c r="S374">
        <f t="shared" si="92"/>
        <v>0.26074865842798572</v>
      </c>
      <c r="T374">
        <f t="shared" si="93"/>
        <v>0.23886583927766364</v>
      </c>
      <c r="U374">
        <f t="shared" si="94"/>
        <v>-7.7929635308435783E-3</v>
      </c>
      <c r="V374">
        <f t="shared" si="95"/>
        <v>0.24403662507544902</v>
      </c>
      <c r="X374" s="13">
        <f t="shared" si="83"/>
        <v>2.3493789986063875</v>
      </c>
      <c r="Y374" s="10"/>
      <c r="Z374" s="10"/>
      <c r="AB374" s="10" t="str">
        <f t="shared" si="84"/>
        <v>Non-Distress</v>
      </c>
      <c r="AC374" s="10">
        <f t="shared" si="85"/>
        <v>0</v>
      </c>
      <c r="AE374" s="10">
        <f t="shared" si="86"/>
        <v>0</v>
      </c>
      <c r="AG374" s="13">
        <f t="shared" si="87"/>
        <v>0.5</v>
      </c>
      <c r="AH374" s="13">
        <f t="shared" si="88"/>
        <v>0.5</v>
      </c>
      <c r="AI374" s="10">
        <f t="shared" si="89"/>
        <v>0.25</v>
      </c>
    </row>
    <row r="375" spans="1:35" x14ac:dyDescent="0.3">
      <c r="A375" t="s">
        <v>108</v>
      </c>
      <c r="B375">
        <v>2023</v>
      </c>
      <c r="C375" s="3">
        <v>29228756761</v>
      </c>
      <c r="D375" s="3">
        <v>17981446285</v>
      </c>
      <c r="E375" s="3">
        <v>1989974666238</v>
      </c>
      <c r="F375" s="3">
        <v>1276232504419</v>
      </c>
      <c r="G375" s="3">
        <v>820031889078</v>
      </c>
      <c r="H375" s="3">
        <v>661462748671</v>
      </c>
      <c r="I375" s="3">
        <v>187270964974</v>
      </c>
      <c r="J375" s="3">
        <v>451939940422</v>
      </c>
      <c r="K375" s="3">
        <v>614769755748</v>
      </c>
      <c r="M375" s="3">
        <v>11697145185042</v>
      </c>
      <c r="N375" s="3">
        <v>540846919</v>
      </c>
      <c r="O375" s="3">
        <v>368418672236</v>
      </c>
      <c r="P375">
        <f t="shared" si="90"/>
        <v>3.1054690864919672</v>
      </c>
      <c r="Q375">
        <f t="shared" si="91"/>
        <v>0</v>
      </c>
      <c r="R375" t="str">
        <f t="shared" si="82"/>
        <v>Safe</v>
      </c>
      <c r="S375">
        <f t="shared" si="92"/>
        <v>0.30893345838930086</v>
      </c>
      <c r="T375">
        <f t="shared" si="93"/>
        <v>0.22710838891048887</v>
      </c>
      <c r="U375">
        <f t="shared" si="94"/>
        <v>1.4688004453974418E-2</v>
      </c>
      <c r="V375">
        <f t="shared" si="95"/>
        <v>0.22837034445643017</v>
      </c>
      <c r="X375" s="13">
        <f t="shared" si="83"/>
        <v>2.7134209440411272</v>
      </c>
      <c r="Y375" s="10"/>
      <c r="Z375" s="10"/>
      <c r="AB375" s="10" t="str">
        <f t="shared" si="84"/>
        <v>Non-Distress</v>
      </c>
      <c r="AC375" s="10">
        <f t="shared" si="85"/>
        <v>0</v>
      </c>
      <c r="AE375" s="10">
        <f t="shared" si="86"/>
        <v>0</v>
      </c>
      <c r="AG375" s="13">
        <f t="shared" si="87"/>
        <v>0.5</v>
      </c>
      <c r="AH375" s="13">
        <f t="shared" si="88"/>
        <v>0.5</v>
      </c>
      <c r="AI375" s="10">
        <f t="shared" si="89"/>
        <v>0.25</v>
      </c>
    </row>
    <row r="376" spans="1:35" x14ac:dyDescent="0.3">
      <c r="A376" t="s">
        <v>108</v>
      </c>
      <c r="B376">
        <v>2022</v>
      </c>
      <c r="C376" s="3">
        <v>59063392020</v>
      </c>
      <c r="D376" s="3">
        <v>18533988689</v>
      </c>
      <c r="E376" s="3">
        <v>1911368459547</v>
      </c>
      <c r="F376" s="3">
        <v>1310660900412</v>
      </c>
      <c r="G376" s="3">
        <v>616978306607</v>
      </c>
      <c r="H376" s="3">
        <v>583495864253</v>
      </c>
      <c r="I376" s="3">
        <v>303993777907</v>
      </c>
      <c r="J376" s="3">
        <v>451499093503</v>
      </c>
      <c r="K376" s="3">
        <v>727165036159</v>
      </c>
      <c r="M376" s="3">
        <v>12314877728637</v>
      </c>
      <c r="N376" s="3">
        <v>24813647907</v>
      </c>
      <c r="O376" s="3">
        <v>229025026968</v>
      </c>
      <c r="P376">
        <f t="shared" si="90"/>
        <v>3.9907749366703946</v>
      </c>
      <c r="Q376">
        <f t="shared" si="91"/>
        <v>0</v>
      </c>
      <c r="R376" t="str">
        <f t="shared" si="82"/>
        <v>Safe</v>
      </c>
      <c r="S376">
        <f t="shared" si="92"/>
        <v>0.38044210289592217</v>
      </c>
      <c r="T376">
        <f t="shared" si="93"/>
        <v>0.23621771681322326</v>
      </c>
      <c r="U376">
        <f t="shared" si="94"/>
        <v>3.0901102152746728E-2</v>
      </c>
      <c r="V376">
        <f t="shared" si="95"/>
        <v>0.49271388418626616</v>
      </c>
      <c r="X376" s="13">
        <f t="shared" si="83"/>
        <v>3.270119540740692</v>
      </c>
      <c r="Y376" s="10"/>
      <c r="Z376" s="10"/>
      <c r="AB376" s="10" t="str">
        <f t="shared" si="84"/>
        <v>Non-Distress</v>
      </c>
      <c r="AC376" s="10">
        <f t="shared" si="85"/>
        <v>0</v>
      </c>
      <c r="AE376" s="10">
        <f t="shared" si="86"/>
        <v>0</v>
      </c>
      <c r="AG376" s="13">
        <f t="shared" si="87"/>
        <v>0.5</v>
      </c>
      <c r="AH376" s="13">
        <f t="shared" si="88"/>
        <v>0.5</v>
      </c>
      <c r="AI376" s="10">
        <f t="shared" si="89"/>
        <v>0.25</v>
      </c>
    </row>
    <row r="377" spans="1:35" x14ac:dyDescent="0.3">
      <c r="A377" t="s">
        <v>109</v>
      </c>
      <c r="B377">
        <v>2025</v>
      </c>
      <c r="C377" s="3">
        <v>329086410000</v>
      </c>
      <c r="D377" s="3">
        <v>1748098000</v>
      </c>
      <c r="E377" s="3">
        <v>1272202396000</v>
      </c>
      <c r="F377" s="3">
        <v>1047414078000</v>
      </c>
      <c r="G377" s="3">
        <v>296488082000</v>
      </c>
      <c r="H377" s="3">
        <v>245958984000</v>
      </c>
      <c r="I377" s="3">
        <v>975714314000</v>
      </c>
      <c r="J377" s="3">
        <v>931272797000</v>
      </c>
      <c r="K377" s="3">
        <v>801455094000</v>
      </c>
      <c r="M377" s="3">
        <v>1200666779000</v>
      </c>
      <c r="N377" s="3">
        <v>243896434000</v>
      </c>
      <c r="O377" s="3">
        <v>14228509000</v>
      </c>
      <c r="P377">
        <f t="shared" si="90"/>
        <v>11.712749839647925</v>
      </c>
      <c r="Q377">
        <f t="shared" si="91"/>
        <v>0</v>
      </c>
      <c r="R377" t="str">
        <f t="shared" si="82"/>
        <v>Safe</v>
      </c>
      <c r="S377">
        <f t="shared" si="92"/>
        <v>0.62997452018633049</v>
      </c>
      <c r="T377">
        <f t="shared" si="93"/>
        <v>0.73201622629234542</v>
      </c>
      <c r="U377">
        <f t="shared" si="94"/>
        <v>0.25867457177780695</v>
      </c>
      <c r="V377">
        <f t="shared" si="95"/>
        <v>3.2909056830149415</v>
      </c>
      <c r="X377" s="13">
        <f t="shared" si="83"/>
        <v>7.6423087384301045</v>
      </c>
      <c r="Y377" s="10"/>
      <c r="Z377" s="10"/>
      <c r="AB377" s="10" t="str">
        <f t="shared" si="84"/>
        <v>Non-Distress</v>
      </c>
      <c r="AC377" s="10">
        <f t="shared" si="85"/>
        <v>0</v>
      </c>
      <c r="AE377" s="10">
        <f t="shared" si="86"/>
        <v>0</v>
      </c>
      <c r="AG377" s="13">
        <f t="shared" si="87"/>
        <v>0.5</v>
      </c>
      <c r="AH377" s="13">
        <f t="shared" si="88"/>
        <v>0.5</v>
      </c>
      <c r="AI377" s="10">
        <f t="shared" si="89"/>
        <v>0.25</v>
      </c>
    </row>
    <row r="378" spans="1:35" x14ac:dyDescent="0.3">
      <c r="A378" t="s">
        <v>109</v>
      </c>
      <c r="B378">
        <v>2024</v>
      </c>
      <c r="C378" s="3">
        <v>199600514000</v>
      </c>
      <c r="D378" s="3">
        <v>4535767000</v>
      </c>
      <c r="E378" s="3">
        <v>956936728000</v>
      </c>
      <c r="F378" s="3">
        <v>709599779000</v>
      </c>
      <c r="G378" s="3">
        <v>149663172000</v>
      </c>
      <c r="H378" s="3">
        <v>108891459000</v>
      </c>
      <c r="I378" s="3">
        <v>807273556000</v>
      </c>
      <c r="J378" s="3">
        <v>762832039000</v>
      </c>
      <c r="K378" s="3">
        <v>600708320000</v>
      </c>
      <c r="M378" s="3">
        <v>1036747709000</v>
      </c>
      <c r="N378" s="3">
        <v>153463416000</v>
      </c>
      <c r="O378" s="3">
        <v>20213006000</v>
      </c>
      <c r="P378">
        <f t="shared" si="90"/>
        <v>13.782032010959778</v>
      </c>
      <c r="Q378">
        <f t="shared" si="91"/>
        <v>0</v>
      </c>
      <c r="R378" t="str">
        <f t="shared" si="82"/>
        <v>Safe</v>
      </c>
      <c r="S378">
        <f t="shared" si="92"/>
        <v>0.62774089699272151</v>
      </c>
      <c r="T378">
        <f t="shared" si="93"/>
        <v>0.79716037296877584</v>
      </c>
      <c r="U378">
        <f t="shared" si="94"/>
        <v>0.20858277058418015</v>
      </c>
      <c r="V378">
        <f t="shared" si="95"/>
        <v>5.3939358976034528</v>
      </c>
      <c r="X378" s="13">
        <f t="shared" si="83"/>
        <v>7.6902079446342473</v>
      </c>
      <c r="Y378" s="10"/>
      <c r="Z378" s="10"/>
      <c r="AB378" s="10" t="str">
        <f t="shared" si="84"/>
        <v>Non-Distress</v>
      </c>
      <c r="AC378" s="10">
        <f t="shared" si="85"/>
        <v>0</v>
      </c>
      <c r="AE378" s="10">
        <f t="shared" si="86"/>
        <v>0</v>
      </c>
      <c r="AG378" s="13">
        <f t="shared" si="87"/>
        <v>0.5</v>
      </c>
      <c r="AH378" s="13">
        <f t="shared" si="88"/>
        <v>0.5</v>
      </c>
      <c r="AI378" s="10">
        <f t="shared" si="89"/>
        <v>0.25</v>
      </c>
    </row>
    <row r="379" spans="1:35" x14ac:dyDescent="0.3">
      <c r="A379" t="s">
        <v>109</v>
      </c>
      <c r="B379">
        <v>2023</v>
      </c>
      <c r="C379" s="3">
        <v>207174045000</v>
      </c>
      <c r="D379" s="3">
        <v>4041059000</v>
      </c>
      <c r="E379" s="3">
        <v>957814110000</v>
      </c>
      <c r="F379" s="3">
        <v>718193526000</v>
      </c>
      <c r="G379" s="3">
        <v>161935317000</v>
      </c>
      <c r="H379" s="3">
        <v>125031384000</v>
      </c>
      <c r="I379" s="3">
        <v>795878793000</v>
      </c>
      <c r="J379" s="3">
        <v>751437276000</v>
      </c>
      <c r="K379" s="3">
        <v>593162142000</v>
      </c>
      <c r="M379" s="3">
        <v>961433965000</v>
      </c>
      <c r="N379" s="3">
        <v>178240003000</v>
      </c>
      <c r="O379" s="3">
        <v>18132710000</v>
      </c>
      <c r="P379">
        <f t="shared" si="90"/>
        <v>13.234166254701798</v>
      </c>
      <c r="Q379">
        <f t="shared" si="91"/>
        <v>0</v>
      </c>
      <c r="R379" t="str">
        <f t="shared" si="82"/>
        <v>Safe</v>
      </c>
      <c r="S379">
        <f t="shared" si="92"/>
        <v>0.61928732914573581</v>
      </c>
      <c r="T379">
        <f t="shared" si="93"/>
        <v>0.78453352081021233</v>
      </c>
      <c r="U379">
        <f t="shared" si="94"/>
        <v>0.21629880248892971</v>
      </c>
      <c r="V379">
        <f t="shared" si="95"/>
        <v>4.9147944237513057</v>
      </c>
      <c r="X379" s="13">
        <f t="shared" si="83"/>
        <v>7.6138956667704276</v>
      </c>
      <c r="Y379" s="10"/>
      <c r="Z379" s="10"/>
      <c r="AB379" s="10" t="str">
        <f t="shared" si="84"/>
        <v>Non-Distress</v>
      </c>
      <c r="AC379" s="10">
        <f t="shared" si="85"/>
        <v>0</v>
      </c>
      <c r="AE379" s="10">
        <f t="shared" si="86"/>
        <v>0</v>
      </c>
      <c r="AG379" s="13">
        <f t="shared" si="87"/>
        <v>0.5</v>
      </c>
      <c r="AH379" s="13">
        <f t="shared" si="88"/>
        <v>0.5</v>
      </c>
      <c r="AI379" s="10">
        <f t="shared" si="89"/>
        <v>0.25</v>
      </c>
    </row>
    <row r="380" spans="1:35" x14ac:dyDescent="0.3">
      <c r="A380" t="s">
        <v>109</v>
      </c>
      <c r="B380">
        <v>2022</v>
      </c>
      <c r="C380" s="3">
        <v>241174142000</v>
      </c>
      <c r="D380" s="3">
        <v>3395773000</v>
      </c>
      <c r="E380" s="3">
        <v>1037647240000</v>
      </c>
      <c r="F380" s="3">
        <v>795587313000</v>
      </c>
      <c r="G380" s="3">
        <v>280405591000</v>
      </c>
      <c r="H380" s="3">
        <v>239074429000</v>
      </c>
      <c r="I380" s="3">
        <v>757241649000</v>
      </c>
      <c r="J380" s="3">
        <v>717280132000</v>
      </c>
      <c r="K380" s="3">
        <v>556512884000</v>
      </c>
      <c r="M380" s="3">
        <v>1124599738000</v>
      </c>
      <c r="N380" s="3">
        <v>179837759000</v>
      </c>
      <c r="O380" s="3">
        <v>16183164000</v>
      </c>
      <c r="P380">
        <f t="shared" si="90"/>
        <v>10.169204853275581</v>
      </c>
      <c r="Q380">
        <f t="shared" si="91"/>
        <v>0</v>
      </c>
      <c r="R380" t="str">
        <f t="shared" si="82"/>
        <v>Safe</v>
      </c>
      <c r="S380">
        <f t="shared" si="92"/>
        <v>0.53632184671931471</v>
      </c>
      <c r="T380">
        <f t="shared" si="93"/>
        <v>0.69125624234301442</v>
      </c>
      <c r="U380">
        <f t="shared" si="94"/>
        <v>0.23242401916859529</v>
      </c>
      <c r="V380">
        <f t="shared" si="95"/>
        <v>2.7005226475673232</v>
      </c>
      <c r="X380" s="13">
        <f t="shared" si="83"/>
        <v>6.7839674120581828</v>
      </c>
      <c r="Y380" s="10"/>
      <c r="Z380" s="10"/>
      <c r="AB380" s="10" t="str">
        <f t="shared" si="84"/>
        <v>Non-Distress</v>
      </c>
      <c r="AC380" s="10">
        <f t="shared" si="85"/>
        <v>0</v>
      </c>
      <c r="AE380" s="10">
        <f t="shared" si="86"/>
        <v>0</v>
      </c>
      <c r="AG380" s="13">
        <f t="shared" si="87"/>
        <v>0.5</v>
      </c>
      <c r="AH380" s="13">
        <f t="shared" si="88"/>
        <v>0.5</v>
      </c>
      <c r="AI380" s="10">
        <f t="shared" si="89"/>
        <v>0.25</v>
      </c>
    </row>
    <row r="381" spans="1:35" x14ac:dyDescent="0.3">
      <c r="A381" t="s">
        <v>110</v>
      </c>
      <c r="B381">
        <v>2025</v>
      </c>
      <c r="C381" s="3">
        <v>-5806928268</v>
      </c>
      <c r="D381" s="3">
        <v>2572320146</v>
      </c>
      <c r="E381" s="3">
        <v>187913019699</v>
      </c>
      <c r="F381" s="3">
        <v>171154099518</v>
      </c>
      <c r="G381" s="3">
        <v>59739988344</v>
      </c>
      <c r="H381" s="3">
        <v>47542844915</v>
      </c>
      <c r="I381" s="3">
        <v>127197337830</v>
      </c>
      <c r="J381" s="3">
        <v>44642158717</v>
      </c>
      <c r="K381" s="3">
        <v>123611254603</v>
      </c>
      <c r="M381" s="3">
        <v>127866478461</v>
      </c>
      <c r="N381" s="3">
        <v>-9019490202</v>
      </c>
      <c r="O381" s="3">
        <v>16361068</v>
      </c>
      <c r="P381">
        <f t="shared" si="90"/>
        <v>7.117691370379478</v>
      </c>
      <c r="Q381">
        <f t="shared" si="91"/>
        <v>0</v>
      </c>
      <c r="R381" t="str">
        <f t="shared" si="82"/>
        <v>Safe</v>
      </c>
      <c r="S381">
        <f t="shared" si="92"/>
        <v>0.65781101703863365</v>
      </c>
      <c r="T381">
        <f t="shared" si="93"/>
        <v>0.23756820463269671</v>
      </c>
      <c r="U381">
        <f t="shared" si="94"/>
        <v>-3.0902213573607441E-2</v>
      </c>
      <c r="V381">
        <f t="shared" si="95"/>
        <v>2.129182501636278</v>
      </c>
      <c r="X381" s="13">
        <f t="shared" si="83"/>
        <v>4.7411503390108463</v>
      </c>
      <c r="Y381" s="10"/>
      <c r="Z381" s="10"/>
      <c r="AB381" s="10" t="str">
        <f t="shared" si="84"/>
        <v>Non-Distress</v>
      </c>
      <c r="AC381" s="10">
        <f t="shared" si="85"/>
        <v>0</v>
      </c>
      <c r="AE381" s="10">
        <f t="shared" si="86"/>
        <v>0</v>
      </c>
      <c r="AG381" s="13">
        <f t="shared" si="87"/>
        <v>0.5</v>
      </c>
      <c r="AH381" s="13">
        <f t="shared" si="88"/>
        <v>0.5</v>
      </c>
      <c r="AI381" s="10">
        <f t="shared" si="89"/>
        <v>0.25</v>
      </c>
    </row>
    <row r="382" spans="1:35" x14ac:dyDescent="0.3">
      <c r="A382" t="s">
        <v>110</v>
      </c>
      <c r="B382">
        <v>2024</v>
      </c>
      <c r="C382" s="3">
        <v>19833693794</v>
      </c>
      <c r="D382" s="3">
        <v>9200364594</v>
      </c>
      <c r="E382" s="3">
        <v>268081066174</v>
      </c>
      <c r="F382" s="3">
        <v>237382697498</v>
      </c>
      <c r="G382" s="3">
        <v>130991846193</v>
      </c>
      <c r="H382" s="3">
        <v>115068917524</v>
      </c>
      <c r="I382" s="3">
        <v>136155777335</v>
      </c>
      <c r="J382" s="3">
        <v>53661648912</v>
      </c>
      <c r="K382" s="3">
        <v>122313779974</v>
      </c>
      <c r="M382" s="3">
        <v>208808125380</v>
      </c>
      <c r="N382" s="3">
        <v>6600646057</v>
      </c>
      <c r="O382" s="3">
        <v>5269490196</v>
      </c>
      <c r="P382">
        <f t="shared" si="90"/>
        <v>5.2341613566752274</v>
      </c>
      <c r="Q382">
        <f t="shared" si="91"/>
        <v>0</v>
      </c>
      <c r="R382" t="str">
        <f t="shared" si="82"/>
        <v>Safe</v>
      </c>
      <c r="S382">
        <f t="shared" si="92"/>
        <v>0.45625669026029364</v>
      </c>
      <c r="T382">
        <f t="shared" si="93"/>
        <v>0.20016948484221003</v>
      </c>
      <c r="U382">
        <f t="shared" si="94"/>
        <v>7.3983941040904375E-2</v>
      </c>
      <c r="V382">
        <f t="shared" si="95"/>
        <v>1.0394217754163995</v>
      </c>
      <c r="X382" s="13">
        <f t="shared" si="83"/>
        <v>3.8472352173777438</v>
      </c>
      <c r="Y382" s="10"/>
      <c r="Z382" s="10"/>
      <c r="AB382" s="10" t="str">
        <f t="shared" si="84"/>
        <v>Non-Distress</v>
      </c>
      <c r="AC382" s="10">
        <f t="shared" si="85"/>
        <v>0</v>
      </c>
      <c r="AE382" s="10">
        <f t="shared" si="86"/>
        <v>0</v>
      </c>
      <c r="AG382" s="13">
        <f t="shared" si="87"/>
        <v>0.5</v>
      </c>
      <c r="AH382" s="13">
        <f t="shared" si="88"/>
        <v>0.5</v>
      </c>
      <c r="AI382" s="10">
        <f t="shared" si="89"/>
        <v>0.25</v>
      </c>
    </row>
    <row r="383" spans="1:35" x14ac:dyDescent="0.3">
      <c r="A383" t="s">
        <v>110</v>
      </c>
      <c r="B383">
        <v>2023</v>
      </c>
      <c r="C383" s="3">
        <v>30345859456</v>
      </c>
      <c r="D383" s="3">
        <v>6748840144</v>
      </c>
      <c r="E383" s="3">
        <v>299320482133</v>
      </c>
      <c r="F383" s="3">
        <v>224646252539</v>
      </c>
      <c r="G383" s="3">
        <v>169189365568</v>
      </c>
      <c r="H383" s="3">
        <v>131694729103</v>
      </c>
      <c r="I383" s="3">
        <v>129375282407</v>
      </c>
      <c r="J383" s="3">
        <v>47061002855</v>
      </c>
      <c r="K383" s="3">
        <v>92951523436</v>
      </c>
      <c r="M383" s="3">
        <v>211473675042</v>
      </c>
      <c r="N383" s="3">
        <v>18126879057</v>
      </c>
      <c r="O383" s="3">
        <v>34235169781</v>
      </c>
      <c r="P383">
        <f t="shared" si="90"/>
        <v>4.0339131327016498</v>
      </c>
      <c r="Q383">
        <f t="shared" si="91"/>
        <v>0</v>
      </c>
      <c r="R383" t="str">
        <f t="shared" si="82"/>
        <v>Safe</v>
      </c>
      <c r="S383">
        <f t="shared" si="92"/>
        <v>0.31054180714134338</v>
      </c>
      <c r="T383">
        <f t="shared" si="93"/>
        <v>0.15722613607874961</v>
      </c>
      <c r="U383">
        <f t="shared" si="94"/>
        <v>0.10138250225895376</v>
      </c>
      <c r="V383">
        <f t="shared" si="95"/>
        <v>0.76467738957861353</v>
      </c>
      <c r="X383" s="13">
        <f t="shared" si="83"/>
        <v>2.9366142211354158</v>
      </c>
      <c r="Y383" s="10"/>
      <c r="Z383" s="10"/>
      <c r="AB383" s="10" t="str">
        <f t="shared" si="84"/>
        <v>Non-Distress</v>
      </c>
      <c r="AC383" s="10">
        <f t="shared" si="85"/>
        <v>0</v>
      </c>
      <c r="AE383" s="10">
        <f t="shared" si="86"/>
        <v>0</v>
      </c>
      <c r="AG383" s="13">
        <f t="shared" si="87"/>
        <v>0.5</v>
      </c>
      <c r="AH383" s="13">
        <f t="shared" si="88"/>
        <v>0.5</v>
      </c>
      <c r="AI383" s="10">
        <f t="shared" si="89"/>
        <v>0.25</v>
      </c>
    </row>
    <row r="384" spans="1:35" x14ac:dyDescent="0.3">
      <c r="A384" t="s">
        <v>110</v>
      </c>
      <c r="B384">
        <v>2022</v>
      </c>
      <c r="C384" s="3">
        <v>24622130504</v>
      </c>
      <c r="D384" s="3">
        <v>5786561246</v>
      </c>
      <c r="E384" s="3">
        <v>268440380053</v>
      </c>
      <c r="F384" s="3">
        <v>194985926085</v>
      </c>
      <c r="G384" s="3">
        <v>157341737751</v>
      </c>
      <c r="H384" s="3">
        <v>119459533244</v>
      </c>
      <c r="I384" s="3">
        <v>110842163306</v>
      </c>
      <c r="J384" s="3">
        <v>28934123798</v>
      </c>
      <c r="K384" s="3">
        <v>75526392841</v>
      </c>
      <c r="M384" s="3">
        <v>166545619384</v>
      </c>
      <c r="N384" s="3">
        <v>15464570449</v>
      </c>
      <c r="O384" s="3">
        <v>44754238846</v>
      </c>
      <c r="P384">
        <f t="shared" si="90"/>
        <v>3.5531243013039973</v>
      </c>
      <c r="Q384">
        <f t="shared" si="91"/>
        <v>0</v>
      </c>
      <c r="R384" t="str">
        <f t="shared" si="82"/>
        <v>Safe</v>
      </c>
      <c r="S384">
        <f t="shared" si="92"/>
        <v>0.28135257752983478</v>
      </c>
      <c r="T384">
        <f t="shared" si="93"/>
        <v>0.10778603350318361</v>
      </c>
      <c r="U384">
        <f t="shared" si="94"/>
        <v>9.1722901372508436E-2</v>
      </c>
      <c r="V384">
        <f t="shared" si="95"/>
        <v>0.7044676440615677</v>
      </c>
      <c r="X384" s="13">
        <f t="shared" si="83"/>
        <v>2.5468523969896357</v>
      </c>
      <c r="Y384" s="10"/>
      <c r="Z384" s="10"/>
      <c r="AB384" s="10" t="str">
        <f t="shared" si="84"/>
        <v>Non-Distress</v>
      </c>
      <c r="AC384" s="10">
        <f t="shared" si="85"/>
        <v>0</v>
      </c>
      <c r="AE384" s="10">
        <f t="shared" si="86"/>
        <v>0</v>
      </c>
      <c r="AG384" s="13">
        <f t="shared" si="87"/>
        <v>0.5</v>
      </c>
      <c r="AH384" s="13">
        <f t="shared" si="88"/>
        <v>0.5</v>
      </c>
      <c r="AI384" s="10">
        <f t="shared" si="89"/>
        <v>0.25</v>
      </c>
    </row>
    <row r="385" spans="1:35" x14ac:dyDescent="0.3">
      <c r="A385" t="s">
        <v>111</v>
      </c>
      <c r="B385">
        <v>2025</v>
      </c>
      <c r="C385" s="3">
        <v>28244068050</v>
      </c>
      <c r="D385" s="3">
        <v>104754675151</v>
      </c>
      <c r="E385" s="3">
        <v>2725486093336</v>
      </c>
      <c r="F385" s="3">
        <v>945605568807</v>
      </c>
      <c r="G385" s="3">
        <v>2316890776580</v>
      </c>
      <c r="H385" s="3">
        <v>1708329416322</v>
      </c>
      <c r="I385" s="3">
        <v>346851037049</v>
      </c>
      <c r="J385" s="3">
        <v>-132378227998</v>
      </c>
      <c r="K385" s="3">
        <v>-762723847515</v>
      </c>
      <c r="M385" s="3">
        <v>6332064741801</v>
      </c>
      <c r="N385" s="3">
        <v>-48260994016</v>
      </c>
      <c r="O385" s="3">
        <v>2096055267761</v>
      </c>
      <c r="P385">
        <f t="shared" si="90"/>
        <v>-1.7673179038733526</v>
      </c>
      <c r="Q385">
        <f t="shared" si="91"/>
        <v>1</v>
      </c>
      <c r="R385" t="str">
        <f t="shared" si="82"/>
        <v>Distress</v>
      </c>
      <c r="S385">
        <f t="shared" si="92"/>
        <v>-0.27984873941566313</v>
      </c>
      <c r="T385">
        <f t="shared" si="93"/>
        <v>-4.8570502091965839E-2</v>
      </c>
      <c r="U385">
        <f t="shared" si="94"/>
        <v>1.0362947042385827E-2</v>
      </c>
      <c r="V385">
        <f t="shared" si="95"/>
        <v>0.14970538989368865</v>
      </c>
      <c r="X385" s="13">
        <f t="shared" si="83"/>
        <v>-1.8130574805121382</v>
      </c>
      <c r="Y385" s="10"/>
      <c r="Z385" s="10"/>
      <c r="AB385" s="10" t="str">
        <f t="shared" si="84"/>
        <v>Distress</v>
      </c>
      <c r="AC385" s="10">
        <f t="shared" si="85"/>
        <v>1</v>
      </c>
      <c r="AE385" s="10">
        <f t="shared" si="86"/>
        <v>1</v>
      </c>
      <c r="AG385" s="13">
        <f t="shared" si="87"/>
        <v>0.7310585786300049</v>
      </c>
      <c r="AH385" s="13">
        <f t="shared" si="88"/>
        <v>-0.2689414213699951</v>
      </c>
      <c r="AI385" s="10">
        <f t="shared" si="89"/>
        <v>0.19661193324148185</v>
      </c>
    </row>
    <row r="386" spans="1:35" x14ac:dyDescent="0.3">
      <c r="A386" t="s">
        <v>111</v>
      </c>
      <c r="B386">
        <v>2024</v>
      </c>
      <c r="C386" s="3">
        <v>90332164633</v>
      </c>
      <c r="D386" s="3">
        <v>109691401202</v>
      </c>
      <c r="E386" s="3">
        <v>3073741392825</v>
      </c>
      <c r="F386" s="3">
        <v>1055604862961</v>
      </c>
      <c r="G386" s="3">
        <v>2568849352080</v>
      </c>
      <c r="H386" s="3">
        <v>1804281034857</v>
      </c>
      <c r="I386" s="3">
        <v>442462440391</v>
      </c>
      <c r="J386" s="3">
        <v>-85160621155</v>
      </c>
      <c r="K386" s="3">
        <v>-748676171896</v>
      </c>
      <c r="M386" s="3">
        <v>4685265054372</v>
      </c>
      <c r="N386" s="3">
        <v>-20850947852</v>
      </c>
      <c r="O386" s="3">
        <v>2315271266681</v>
      </c>
      <c r="P386">
        <f t="shared" si="90"/>
        <v>-1.3098076786540978</v>
      </c>
      <c r="Q386">
        <f t="shared" si="91"/>
        <v>1</v>
      </c>
      <c r="R386" t="str">
        <f t="shared" ref="R386:R449" si="96">IF(P386&lt;1.1, "Distress", IF(P386&lt;=2.6, "Grey Area", "Safe"))</f>
        <v>Distress</v>
      </c>
      <c r="S386">
        <f t="shared" si="92"/>
        <v>-0.24357162045044725</v>
      </c>
      <c r="T386">
        <f t="shared" si="93"/>
        <v>-2.7705851036716845E-2</v>
      </c>
      <c r="U386">
        <f t="shared" si="94"/>
        <v>2.9388342442816223E-2</v>
      </c>
      <c r="V386">
        <f t="shared" si="95"/>
        <v>0.17224149015695986</v>
      </c>
      <c r="X386" s="13">
        <f t="shared" ref="X386:X449" si="97">(S386 * $T$729) + (T386 * $T$730) + (U386 * $T$731) + (V386 * $T$732)</f>
        <v>-1.4299468827126098</v>
      </c>
      <c r="Y386" s="10"/>
      <c r="Z386" s="10"/>
      <c r="AB386" s="10" t="str">
        <f t="shared" si="84"/>
        <v>Distress</v>
      </c>
      <c r="AC386" s="10">
        <f t="shared" si="85"/>
        <v>1</v>
      </c>
      <c r="AE386" s="10">
        <f t="shared" si="86"/>
        <v>1</v>
      </c>
      <c r="AG386" s="13">
        <f t="shared" si="87"/>
        <v>0.7310585786300049</v>
      </c>
      <c r="AH386" s="13">
        <f t="shared" si="88"/>
        <v>-0.2689414213699951</v>
      </c>
      <c r="AI386" s="10">
        <f t="shared" si="89"/>
        <v>0.19661193324148185</v>
      </c>
    </row>
    <row r="387" spans="1:35" x14ac:dyDescent="0.3">
      <c r="A387" t="s">
        <v>111</v>
      </c>
      <c r="B387">
        <v>2023</v>
      </c>
      <c r="C387" s="3">
        <v>-46306859369</v>
      </c>
      <c r="D387" s="3">
        <v>117733374597</v>
      </c>
      <c r="E387" s="3">
        <v>2680206187969</v>
      </c>
      <c r="F387" s="3">
        <v>1425676108473</v>
      </c>
      <c r="G387" s="3">
        <v>2159141552883</v>
      </c>
      <c r="H387" s="3">
        <v>1693114250515</v>
      </c>
      <c r="I387" s="3">
        <v>460466342496</v>
      </c>
      <c r="J387" s="3">
        <v>-64309673303</v>
      </c>
      <c r="K387" s="3">
        <v>-267438142042</v>
      </c>
      <c r="M387" s="3">
        <v>5425478049944</v>
      </c>
      <c r="N387" s="3">
        <v>-152233515056</v>
      </c>
      <c r="O387" s="3">
        <v>1926989986406</v>
      </c>
      <c r="P387">
        <f t="shared" si="90"/>
        <v>-0.6249727551063804</v>
      </c>
      <c r="Q387">
        <f t="shared" si="91"/>
        <v>1</v>
      </c>
      <c r="R387" t="str">
        <f t="shared" si="96"/>
        <v>Distress</v>
      </c>
      <c r="S387">
        <f t="shared" si="92"/>
        <v>-9.9782674647378014E-2</v>
      </c>
      <c r="T387">
        <f t="shared" si="93"/>
        <v>-2.3994300733904517E-2</v>
      </c>
      <c r="U387">
        <f t="shared" si="94"/>
        <v>-1.7277349622153621E-2</v>
      </c>
      <c r="V387">
        <f t="shared" si="95"/>
        <v>0.21326361946078107</v>
      </c>
      <c r="X387" s="13">
        <f t="shared" si="97"/>
        <v>-0.76292572531439351</v>
      </c>
      <c r="Y387" s="10"/>
      <c r="Z387" s="10"/>
      <c r="AB387" s="10" t="str">
        <f t="shared" ref="AB387:AB450" si="98">IF(X387 &lt; AA387, "Distress", "Non-Distress")</f>
        <v>Distress</v>
      </c>
      <c r="AC387" s="10">
        <f t="shared" ref="AC387:AC450" si="99">IF(X387 &lt; AA387, 1, 0)</f>
        <v>1</v>
      </c>
      <c r="AE387" s="10">
        <f t="shared" ref="AE387:AE450" si="100">IF(VALUE(TRIM(P387))&lt;=1.1, 1, 0)</f>
        <v>1</v>
      </c>
      <c r="AG387" s="13">
        <f t="shared" ref="AG387:AG450" si="101">1/(1+EXP(-Q387))</f>
        <v>0.7310585786300049</v>
      </c>
      <c r="AH387" s="13">
        <f t="shared" ref="AH387:AH450" si="102">AG387-Q387</f>
        <v>-0.2689414213699951</v>
      </c>
      <c r="AI387" s="10">
        <f t="shared" ref="AI387:AI450" si="103">AG387*(1-AG387)</f>
        <v>0.19661193324148185</v>
      </c>
    </row>
    <row r="388" spans="1:35" x14ac:dyDescent="0.3">
      <c r="A388" t="s">
        <v>111</v>
      </c>
      <c r="B388">
        <v>2022</v>
      </c>
      <c r="C388" s="3">
        <v>88981718478</v>
      </c>
      <c r="D388" s="3">
        <v>95604259344</v>
      </c>
      <c r="E388" s="3">
        <v>2561664000157</v>
      </c>
      <c r="F388" s="3">
        <v>1429234676110</v>
      </c>
      <c r="G388" s="3">
        <v>1916291204140</v>
      </c>
      <c r="H388" s="3">
        <v>1359463510265</v>
      </c>
      <c r="I388" s="3">
        <v>606893257484</v>
      </c>
      <c r="J388" s="3">
        <v>87923841753</v>
      </c>
      <c r="K388" s="3">
        <v>69771165845</v>
      </c>
      <c r="M388" s="3">
        <v>7505700941167</v>
      </c>
      <c r="N388" s="3">
        <v>-20104462276</v>
      </c>
      <c r="O388" s="3">
        <v>1672107582967</v>
      </c>
      <c r="P388">
        <f t="shared" si="90"/>
        <v>0.85652764712893736</v>
      </c>
      <c r="Q388">
        <f t="shared" si="91"/>
        <v>1</v>
      </c>
      <c r="R388" t="str">
        <f t="shared" si="96"/>
        <v>Distress</v>
      </c>
      <c r="S388">
        <f t="shared" si="92"/>
        <v>2.7236657828943939E-2</v>
      </c>
      <c r="T388">
        <f t="shared" si="93"/>
        <v>3.432294077115941E-2</v>
      </c>
      <c r="U388">
        <f t="shared" si="94"/>
        <v>3.4735905439802588E-2</v>
      </c>
      <c r="V388">
        <f t="shared" si="95"/>
        <v>0.31670200028724954</v>
      </c>
      <c r="X388" s="13">
        <f t="shared" si="97"/>
        <v>0.46060090046832419</v>
      </c>
      <c r="Y388" s="10"/>
      <c r="Z388" s="10"/>
      <c r="AB388" s="10" t="str">
        <f t="shared" si="98"/>
        <v>Non-Distress</v>
      </c>
      <c r="AC388" s="10">
        <f t="shared" si="99"/>
        <v>0</v>
      </c>
      <c r="AE388" s="10">
        <f t="shared" si="100"/>
        <v>1</v>
      </c>
      <c r="AG388" s="13">
        <f t="shared" si="101"/>
        <v>0.7310585786300049</v>
      </c>
      <c r="AH388" s="13">
        <f t="shared" si="102"/>
        <v>-0.2689414213699951</v>
      </c>
      <c r="AI388" s="10">
        <f t="shared" si="103"/>
        <v>0.19661193324148185</v>
      </c>
    </row>
    <row r="389" spans="1:35" x14ac:dyDescent="0.3">
      <c r="A389" t="s">
        <v>112</v>
      </c>
      <c r="B389">
        <v>2025</v>
      </c>
      <c r="C389" s="3">
        <v>96284691507</v>
      </c>
      <c r="D389" s="3">
        <v>29265726690</v>
      </c>
      <c r="E389" s="3">
        <v>1477594202828</v>
      </c>
      <c r="F389" s="3">
        <v>790920492426</v>
      </c>
      <c r="G389" s="3">
        <v>509124193577</v>
      </c>
      <c r="H389" s="3">
        <v>461601766660</v>
      </c>
      <c r="I389" s="3">
        <v>968454598119</v>
      </c>
      <c r="J389" s="3">
        <v>582385023535</v>
      </c>
      <c r="K389" s="3">
        <v>329318725766</v>
      </c>
      <c r="M389" s="3">
        <v>1210505004443</v>
      </c>
      <c r="N389" s="3">
        <v>43613985246</v>
      </c>
      <c r="O389" s="3">
        <v>315477065504</v>
      </c>
      <c r="P389">
        <f t="shared" si="90"/>
        <v>5.1821727577547909</v>
      </c>
      <c r="Q389">
        <f t="shared" si="91"/>
        <v>0</v>
      </c>
      <c r="R389" t="str">
        <f t="shared" si="96"/>
        <v>Safe</v>
      </c>
      <c r="S389">
        <f t="shared" si="92"/>
        <v>0.22287494437627708</v>
      </c>
      <c r="T389">
        <f t="shared" si="93"/>
        <v>0.3941440907255595</v>
      </c>
      <c r="U389">
        <f t="shared" si="94"/>
        <v>6.5163149207487836E-2</v>
      </c>
      <c r="V389">
        <f t="shared" si="95"/>
        <v>1.9021971659112107</v>
      </c>
      <c r="X389" s="13">
        <f t="shared" si="97"/>
        <v>3.050984575351217</v>
      </c>
      <c r="Y389" s="10"/>
      <c r="Z389" s="10"/>
      <c r="AB389" s="10" t="str">
        <f t="shared" si="98"/>
        <v>Non-Distress</v>
      </c>
      <c r="AC389" s="10">
        <f t="shared" si="99"/>
        <v>0</v>
      </c>
      <c r="AE389" s="10">
        <f t="shared" si="100"/>
        <v>0</v>
      </c>
      <c r="AG389" s="13">
        <f t="shared" si="101"/>
        <v>0.5</v>
      </c>
      <c r="AH389" s="13">
        <f t="shared" si="102"/>
        <v>0.5</v>
      </c>
      <c r="AI389" s="10">
        <f t="shared" si="103"/>
        <v>0.25</v>
      </c>
    </row>
    <row r="390" spans="1:35" x14ac:dyDescent="0.3">
      <c r="A390" t="s">
        <v>112</v>
      </c>
      <c r="B390">
        <v>2024</v>
      </c>
      <c r="C390" s="3">
        <v>84422676633</v>
      </c>
      <c r="D390" s="3">
        <v>27366522154</v>
      </c>
      <c r="E390" s="3">
        <v>1418635350493</v>
      </c>
      <c r="F390" s="3">
        <v>740887584725</v>
      </c>
      <c r="G390" s="3">
        <v>491009884144</v>
      </c>
      <c r="H390" s="3">
        <v>439075256330</v>
      </c>
      <c r="I390" s="3">
        <v>927610038739</v>
      </c>
      <c r="J390" s="3">
        <v>544690078289</v>
      </c>
      <c r="K390" s="3">
        <v>301812328395</v>
      </c>
      <c r="M390" s="3">
        <v>1117588738384</v>
      </c>
      <c r="N390" s="3">
        <v>42125321338</v>
      </c>
      <c r="O390" s="3">
        <v>302399354325</v>
      </c>
      <c r="P390">
        <f t="shared" si="90"/>
        <v>5.0308709801170348</v>
      </c>
      <c r="Q390">
        <f t="shared" si="91"/>
        <v>0</v>
      </c>
      <c r="R390" t="str">
        <f t="shared" si="96"/>
        <v>Safe</v>
      </c>
      <c r="S390">
        <f t="shared" si="92"/>
        <v>0.21274834881995225</v>
      </c>
      <c r="T390">
        <f t="shared" si="93"/>
        <v>0.38395354951482841</v>
      </c>
      <c r="U390">
        <f t="shared" si="94"/>
        <v>5.9509779312676564E-2</v>
      </c>
      <c r="V390">
        <f t="shared" si="95"/>
        <v>1.889188117579639</v>
      </c>
      <c r="X390" s="13">
        <f t="shared" si="97"/>
        <v>2.9277845784314898</v>
      </c>
      <c r="Y390" s="10"/>
      <c r="Z390" s="10"/>
      <c r="AB390" s="10" t="str">
        <f t="shared" si="98"/>
        <v>Non-Distress</v>
      </c>
      <c r="AC390" s="10">
        <f t="shared" si="99"/>
        <v>0</v>
      </c>
      <c r="AE390" s="10">
        <f t="shared" si="100"/>
        <v>0</v>
      </c>
      <c r="AG390" s="13">
        <f t="shared" si="101"/>
        <v>0.5</v>
      </c>
      <c r="AH390" s="13">
        <f t="shared" si="102"/>
        <v>0.5</v>
      </c>
      <c r="AI390" s="10">
        <f t="shared" si="103"/>
        <v>0.25</v>
      </c>
    </row>
    <row r="391" spans="1:35" x14ac:dyDescent="0.3">
      <c r="A391" t="s">
        <v>112</v>
      </c>
      <c r="B391">
        <v>2023</v>
      </c>
      <c r="C391" s="3">
        <v>74242150094</v>
      </c>
      <c r="D391" s="3">
        <v>26951854266</v>
      </c>
      <c r="E391" s="3">
        <v>1328983366677</v>
      </c>
      <c r="F391" s="3">
        <v>639934726944</v>
      </c>
      <c r="G391" s="3">
        <v>438308664436</v>
      </c>
      <c r="H391" s="3">
        <v>387705961475</v>
      </c>
      <c r="I391" s="3">
        <v>890659237679</v>
      </c>
      <c r="J391" s="3">
        <v>508483796951</v>
      </c>
      <c r="K391" s="3">
        <v>252228765469</v>
      </c>
      <c r="M391" s="3">
        <v>1086594171978</v>
      </c>
      <c r="N391" s="3">
        <v>34369389220</v>
      </c>
      <c r="O391" s="3">
        <v>284644546168</v>
      </c>
      <c r="P391">
        <f t="shared" si="90"/>
        <v>5.0013831965155724</v>
      </c>
      <c r="Q391">
        <f t="shared" si="91"/>
        <v>0</v>
      </c>
      <c r="R391" t="str">
        <f t="shared" si="96"/>
        <v>Safe</v>
      </c>
      <c r="S391">
        <f t="shared" si="92"/>
        <v>0.18979076171560724</v>
      </c>
      <c r="T391">
        <f t="shared" si="93"/>
        <v>0.38261110688120703</v>
      </c>
      <c r="U391">
        <f t="shared" si="94"/>
        <v>5.5863867039687362E-2</v>
      </c>
      <c r="V391">
        <f t="shared" si="95"/>
        <v>2.0320365759254808</v>
      </c>
      <c r="X391" s="13">
        <f t="shared" si="97"/>
        <v>2.77156903439462</v>
      </c>
      <c r="Y391" s="10"/>
      <c r="Z391" s="10"/>
      <c r="AB391" s="10" t="str">
        <f t="shared" si="98"/>
        <v>Non-Distress</v>
      </c>
      <c r="AC391" s="10">
        <f t="shared" si="99"/>
        <v>0</v>
      </c>
      <c r="AE391" s="10">
        <f t="shared" si="100"/>
        <v>0</v>
      </c>
      <c r="AG391" s="13">
        <f t="shared" si="101"/>
        <v>0.5</v>
      </c>
      <c r="AH391" s="13">
        <f t="shared" si="102"/>
        <v>0.5</v>
      </c>
      <c r="AI391" s="10">
        <f t="shared" si="103"/>
        <v>0.25</v>
      </c>
    </row>
    <row r="392" spans="1:35" x14ac:dyDescent="0.3">
      <c r="A392" t="s">
        <v>112</v>
      </c>
      <c r="B392">
        <v>2022</v>
      </c>
      <c r="C392" s="3">
        <v>90731897860</v>
      </c>
      <c r="D392" s="3">
        <v>23072929586</v>
      </c>
      <c r="E392" s="3">
        <v>1196101828789</v>
      </c>
      <c r="F392" s="3">
        <v>634097322447</v>
      </c>
      <c r="G392" s="3">
        <v>447086996864</v>
      </c>
      <c r="H392" s="3">
        <v>412018374942</v>
      </c>
      <c r="I392" s="3">
        <v>748999420178</v>
      </c>
      <c r="J392" s="3">
        <v>477073927731</v>
      </c>
      <c r="K392" s="3">
        <v>222078947505</v>
      </c>
      <c r="M392" s="3">
        <v>974636523540</v>
      </c>
      <c r="N392" s="3">
        <v>47712090745</v>
      </c>
      <c r="O392" s="3">
        <v>279100606884</v>
      </c>
      <c r="P392">
        <f t="shared" si="90"/>
        <v>4.7870697444956409</v>
      </c>
      <c r="Q392">
        <f t="shared" si="91"/>
        <v>0</v>
      </c>
      <c r="R392" t="str">
        <f t="shared" si="96"/>
        <v>Safe</v>
      </c>
      <c r="S392">
        <f t="shared" si="92"/>
        <v>0.18566893065437837</v>
      </c>
      <c r="T392">
        <f t="shared" si="93"/>
        <v>0.39885728476313442</v>
      </c>
      <c r="U392">
        <f t="shared" si="94"/>
        <v>7.5856332359145393E-2</v>
      </c>
      <c r="V392">
        <f t="shared" si="95"/>
        <v>1.6752878644015656</v>
      </c>
      <c r="X392" s="13">
        <f t="shared" si="97"/>
        <v>2.8810097547995315</v>
      </c>
      <c r="Y392" s="10"/>
      <c r="Z392" s="10"/>
      <c r="AB392" s="10" t="str">
        <f t="shared" si="98"/>
        <v>Non-Distress</v>
      </c>
      <c r="AC392" s="10">
        <f t="shared" si="99"/>
        <v>0</v>
      </c>
      <c r="AE392" s="10">
        <f t="shared" si="100"/>
        <v>0</v>
      </c>
      <c r="AG392" s="13">
        <f t="shared" si="101"/>
        <v>0.5</v>
      </c>
      <c r="AH392" s="13">
        <f t="shared" si="102"/>
        <v>0.5</v>
      </c>
      <c r="AI392" s="10">
        <f t="shared" si="103"/>
        <v>0.25</v>
      </c>
    </row>
    <row r="393" spans="1:35" x14ac:dyDescent="0.3">
      <c r="A393" t="s">
        <v>113</v>
      </c>
      <c r="B393">
        <v>2025</v>
      </c>
      <c r="C393" s="3">
        <v>126718291000</v>
      </c>
      <c r="D393" s="3">
        <v>44971405000</v>
      </c>
      <c r="E393" s="3">
        <v>1539364251000</v>
      </c>
      <c r="F393" s="3">
        <v>692848796000</v>
      </c>
      <c r="G393" s="3">
        <v>870528643000</v>
      </c>
      <c r="H393" s="3">
        <v>199053388000</v>
      </c>
      <c r="I393" s="3">
        <v>666926214000</v>
      </c>
      <c r="J393" s="3">
        <v>159232952000</v>
      </c>
      <c r="K393" s="3">
        <v>493795408000</v>
      </c>
      <c r="M393" s="3">
        <v>1246050864000</v>
      </c>
      <c r="N393" s="3">
        <v>54882631000</v>
      </c>
      <c r="O393" s="3">
        <v>757737584000</v>
      </c>
      <c r="P393">
        <f t="shared" si="90"/>
        <v>3.7991287090034405</v>
      </c>
      <c r="Q393">
        <f t="shared" si="91"/>
        <v>0</v>
      </c>
      <c r="R393" t="str">
        <f t="shared" si="96"/>
        <v>Safe</v>
      </c>
      <c r="S393">
        <f t="shared" si="92"/>
        <v>0.32077879402436504</v>
      </c>
      <c r="T393">
        <f t="shared" si="93"/>
        <v>0.10344072359518501</v>
      </c>
      <c r="U393">
        <f t="shared" si="94"/>
        <v>8.2318587636215024E-2</v>
      </c>
      <c r="V393">
        <f t="shared" si="95"/>
        <v>0.766116335588512</v>
      </c>
      <c r="X393" s="13">
        <f t="shared" si="97"/>
        <v>2.7307379769244355</v>
      </c>
      <c r="Y393" s="10"/>
      <c r="Z393" s="10"/>
      <c r="AB393" s="10" t="str">
        <f t="shared" si="98"/>
        <v>Non-Distress</v>
      </c>
      <c r="AC393" s="10">
        <f t="shared" si="99"/>
        <v>0</v>
      </c>
      <c r="AE393" s="10">
        <f t="shared" si="100"/>
        <v>0</v>
      </c>
      <c r="AG393" s="13">
        <f t="shared" si="101"/>
        <v>0.5</v>
      </c>
      <c r="AH393" s="13">
        <f t="shared" si="102"/>
        <v>0.5</v>
      </c>
      <c r="AI393" s="10">
        <f t="shared" si="103"/>
        <v>0.25</v>
      </c>
    </row>
    <row r="394" spans="1:35" x14ac:dyDescent="0.3">
      <c r="A394" t="s">
        <v>113</v>
      </c>
      <c r="B394">
        <v>2024</v>
      </c>
      <c r="C394" s="3">
        <v>118322301000</v>
      </c>
      <c r="D394" s="3">
        <v>38267952000</v>
      </c>
      <c r="E394" s="3">
        <v>1518438495000</v>
      </c>
      <c r="F394" s="3">
        <v>668757689000</v>
      </c>
      <c r="G394" s="3">
        <v>889102445000</v>
      </c>
      <c r="H394" s="3">
        <v>171440965000</v>
      </c>
      <c r="I394" s="3">
        <v>627636087000</v>
      </c>
      <c r="J394" s="3">
        <v>133484863000</v>
      </c>
      <c r="K394" s="3">
        <v>497316724000</v>
      </c>
      <c r="M394" s="3">
        <v>1006858372000</v>
      </c>
      <c r="N394" s="3">
        <v>52036897000</v>
      </c>
      <c r="O394" s="3">
        <v>805130947000</v>
      </c>
      <c r="P394">
        <f t="shared" si="90"/>
        <v>3.6999699005079156</v>
      </c>
      <c r="Q394">
        <f t="shared" si="91"/>
        <v>0</v>
      </c>
      <c r="R394" t="str">
        <f t="shared" si="96"/>
        <v>Safe</v>
      </c>
      <c r="S394">
        <f t="shared" si="92"/>
        <v>0.32751851697490059</v>
      </c>
      <c r="T394">
        <f t="shared" si="93"/>
        <v>8.7909298558714419E-2</v>
      </c>
      <c r="U394">
        <f t="shared" si="94"/>
        <v>7.7923670527069985E-2</v>
      </c>
      <c r="V394">
        <f t="shared" si="95"/>
        <v>0.70592099991357016</v>
      </c>
      <c r="X394" s="13">
        <f t="shared" si="97"/>
        <v>2.6971792879214687</v>
      </c>
      <c r="Y394" s="10"/>
      <c r="Z394" s="10"/>
      <c r="AB394" s="10" t="str">
        <f t="shared" si="98"/>
        <v>Non-Distress</v>
      </c>
      <c r="AC394" s="10">
        <f t="shared" si="99"/>
        <v>0</v>
      </c>
      <c r="AE394" s="10">
        <f t="shared" si="100"/>
        <v>0</v>
      </c>
      <c r="AG394" s="13">
        <f t="shared" si="101"/>
        <v>0.5</v>
      </c>
      <c r="AH394" s="13">
        <f t="shared" si="102"/>
        <v>0.5</v>
      </c>
      <c r="AI394" s="10">
        <f t="shared" si="103"/>
        <v>0.25</v>
      </c>
    </row>
    <row r="395" spans="1:35" x14ac:dyDescent="0.3">
      <c r="A395" t="s">
        <v>113</v>
      </c>
      <c r="B395">
        <v>2023</v>
      </c>
      <c r="C395" s="3">
        <v>104274992000</v>
      </c>
      <c r="D395" s="3">
        <v>34516317000</v>
      </c>
      <c r="E395" s="3">
        <v>1331794557000</v>
      </c>
      <c r="F395" s="3">
        <v>538016466000</v>
      </c>
      <c r="G395" s="3">
        <v>747318549000</v>
      </c>
      <c r="H395" s="3">
        <v>166153040000</v>
      </c>
      <c r="I395" s="3">
        <v>582984665000</v>
      </c>
      <c r="J395" s="3">
        <v>103571447000</v>
      </c>
      <c r="K395" s="3">
        <v>371863426000</v>
      </c>
      <c r="M395" s="3">
        <v>710983008000</v>
      </c>
      <c r="N395" s="3">
        <v>51241374000</v>
      </c>
      <c r="O395" s="3">
        <v>671935762000</v>
      </c>
      <c r="P395">
        <f t="shared" si="90"/>
        <v>3.4304669859098182</v>
      </c>
      <c r="Q395">
        <f t="shared" si="91"/>
        <v>0</v>
      </c>
      <c r="R395" t="str">
        <f t="shared" si="96"/>
        <v>Safe</v>
      </c>
      <c r="S395">
        <f t="shared" si="92"/>
        <v>0.27921981212902647</v>
      </c>
      <c r="T395">
        <f t="shared" si="93"/>
        <v>7.7768336306543409E-2</v>
      </c>
      <c r="U395">
        <f t="shared" si="94"/>
        <v>7.8296604721744628E-2</v>
      </c>
      <c r="V395">
        <f t="shared" si="95"/>
        <v>0.78010196024185663</v>
      </c>
      <c r="X395" s="13">
        <f t="shared" si="97"/>
        <v>2.3737324857793767</v>
      </c>
      <c r="Y395" s="10"/>
      <c r="Z395" s="10"/>
      <c r="AB395" s="10" t="str">
        <f t="shared" si="98"/>
        <v>Non-Distress</v>
      </c>
      <c r="AC395" s="10">
        <f t="shared" si="99"/>
        <v>0</v>
      </c>
      <c r="AE395" s="10">
        <f t="shared" si="100"/>
        <v>0</v>
      </c>
      <c r="AG395" s="13">
        <f t="shared" si="101"/>
        <v>0.5</v>
      </c>
      <c r="AH395" s="13">
        <f t="shared" si="102"/>
        <v>0.5</v>
      </c>
      <c r="AI395" s="10">
        <f t="shared" si="103"/>
        <v>0.25</v>
      </c>
    </row>
    <row r="396" spans="1:35" x14ac:dyDescent="0.3">
      <c r="A396" t="s">
        <v>113</v>
      </c>
      <c r="B396">
        <v>2022</v>
      </c>
      <c r="C396" s="3">
        <v>122690358000</v>
      </c>
      <c r="D396" s="3">
        <v>32731070000</v>
      </c>
      <c r="E396" s="3">
        <v>966235747000</v>
      </c>
      <c r="F396" s="3">
        <v>460445854000</v>
      </c>
      <c r="G396" s="3">
        <v>422827959000</v>
      </c>
      <c r="H396" s="3">
        <v>211339579000</v>
      </c>
      <c r="I396" s="3">
        <v>542050461000</v>
      </c>
      <c r="J396" s="3">
        <v>76643674000</v>
      </c>
      <c r="K396" s="3">
        <v>249106275000</v>
      </c>
      <c r="M396" s="3">
        <v>627880911000</v>
      </c>
      <c r="N396" s="3">
        <v>61523703000</v>
      </c>
      <c r="O396" s="3">
        <v>355295405000</v>
      </c>
      <c r="P396">
        <f t="shared" si="90"/>
        <v>4.1491827942837416</v>
      </c>
      <c r="Q396">
        <f t="shared" si="91"/>
        <v>0</v>
      </c>
      <c r="R396" t="str">
        <f t="shared" si="96"/>
        <v>Safe</v>
      </c>
      <c r="S396">
        <f t="shared" si="92"/>
        <v>0.25781107330528108</v>
      </c>
      <c r="T396">
        <f t="shared" si="93"/>
        <v>7.932191935349707E-2</v>
      </c>
      <c r="U396">
        <f t="shared" si="94"/>
        <v>0.12697766397168911</v>
      </c>
      <c r="V396">
        <f t="shared" si="95"/>
        <v>1.281964566113283</v>
      </c>
      <c r="X396" s="13">
        <f t="shared" si="97"/>
        <v>2.5050215978728607</v>
      </c>
      <c r="Y396" s="10"/>
      <c r="Z396" s="10"/>
      <c r="AB396" s="10" t="str">
        <f t="shared" si="98"/>
        <v>Non-Distress</v>
      </c>
      <c r="AC396" s="10">
        <f t="shared" si="99"/>
        <v>0</v>
      </c>
      <c r="AE396" s="10">
        <f t="shared" si="100"/>
        <v>0</v>
      </c>
      <c r="AG396" s="13">
        <f t="shared" si="101"/>
        <v>0.5</v>
      </c>
      <c r="AH396" s="13">
        <f t="shared" si="102"/>
        <v>0.5</v>
      </c>
      <c r="AI396" s="10">
        <f t="shared" si="103"/>
        <v>0.25</v>
      </c>
    </row>
    <row r="397" spans="1:35" x14ac:dyDescent="0.3">
      <c r="A397" t="s">
        <v>114</v>
      </c>
      <c r="B397">
        <v>2025</v>
      </c>
      <c r="C397" s="3">
        <v>1561760000000</v>
      </c>
      <c r="D397" s="3">
        <v>10453000000</v>
      </c>
      <c r="E397" s="3">
        <v>3456646000000</v>
      </c>
      <c r="F397" s="3">
        <v>1846043000000</v>
      </c>
      <c r="G397" s="3">
        <v>2098696000000</v>
      </c>
      <c r="H397" s="3">
        <v>1980324000000</v>
      </c>
      <c r="I397" s="3">
        <v>1357331000000</v>
      </c>
      <c r="J397" s="3">
        <v>1316676000000</v>
      </c>
      <c r="K397" s="3">
        <v>-134281000000</v>
      </c>
      <c r="M397" s="3">
        <v>3542528000000</v>
      </c>
      <c r="N397" s="3">
        <v>1183344000000</v>
      </c>
      <c r="O397" s="3">
        <v>106868000000</v>
      </c>
      <c r="P397">
        <f t="shared" si="90"/>
        <v>4.7022089005266361</v>
      </c>
      <c r="Q397">
        <f t="shared" si="91"/>
        <v>0</v>
      </c>
      <c r="R397" t="str">
        <f t="shared" si="96"/>
        <v>Safe</v>
      </c>
      <c r="S397">
        <f t="shared" si="92"/>
        <v>-3.8847194650536966E-2</v>
      </c>
      <c r="T397">
        <f t="shared" si="93"/>
        <v>0.38091143842904363</v>
      </c>
      <c r="U397">
        <f t="shared" si="94"/>
        <v>0.45181369454667908</v>
      </c>
      <c r="V397">
        <f t="shared" si="95"/>
        <v>0.64674969600170773</v>
      </c>
      <c r="X397" s="13">
        <f t="shared" si="97"/>
        <v>3.2244044709536124</v>
      </c>
      <c r="Y397" s="10"/>
      <c r="Z397" s="10"/>
      <c r="AB397" s="10" t="str">
        <f t="shared" si="98"/>
        <v>Non-Distress</v>
      </c>
      <c r="AC397" s="10">
        <f t="shared" si="99"/>
        <v>0</v>
      </c>
      <c r="AE397" s="10">
        <f t="shared" si="100"/>
        <v>0</v>
      </c>
      <c r="AG397" s="13">
        <f t="shared" si="101"/>
        <v>0.5</v>
      </c>
      <c r="AH397" s="13">
        <f t="shared" si="102"/>
        <v>0.5</v>
      </c>
      <c r="AI397" s="10">
        <f t="shared" si="103"/>
        <v>0.25</v>
      </c>
    </row>
    <row r="398" spans="1:35" x14ac:dyDescent="0.3">
      <c r="A398" t="s">
        <v>114</v>
      </c>
      <c r="B398">
        <v>2024</v>
      </c>
      <c r="C398" s="3">
        <v>1476104000000</v>
      </c>
      <c r="D398" s="3">
        <v>28180000000</v>
      </c>
      <c r="E398" s="3">
        <v>3441088000000</v>
      </c>
      <c r="F398" s="3">
        <v>1803762000000</v>
      </c>
      <c r="G398" s="3">
        <v>2124203000000</v>
      </c>
      <c r="H398" s="3">
        <v>1999641000000</v>
      </c>
      <c r="I398" s="3">
        <v>1316167000000</v>
      </c>
      <c r="J398" s="3">
        <v>1275522000000</v>
      </c>
      <c r="K398" s="3">
        <v>-195879000000</v>
      </c>
      <c r="M398" s="3">
        <v>3383969000000</v>
      </c>
      <c r="N398" s="3">
        <v>1141948000000</v>
      </c>
      <c r="O398" s="3">
        <v>230909000000</v>
      </c>
      <c r="P398">
        <f t="shared" si="90"/>
        <v>4.3682044159448186</v>
      </c>
      <c r="Q398">
        <f t="shared" si="91"/>
        <v>0</v>
      </c>
      <c r="R398" t="str">
        <f t="shared" si="96"/>
        <v>Safe</v>
      </c>
      <c r="S398">
        <f t="shared" si="92"/>
        <v>-5.6923566034928486E-2</v>
      </c>
      <c r="T398">
        <f t="shared" si="93"/>
        <v>0.370674042628378</v>
      </c>
      <c r="U398">
        <f t="shared" si="94"/>
        <v>0.42896432756151542</v>
      </c>
      <c r="V398">
        <f t="shared" si="95"/>
        <v>0.61960509424005139</v>
      </c>
      <c r="X398" s="13">
        <f t="shared" si="97"/>
        <v>2.9686721783678474</v>
      </c>
      <c r="Y398" s="10"/>
      <c r="Z398" s="10"/>
      <c r="AB398" s="10" t="str">
        <f t="shared" si="98"/>
        <v>Non-Distress</v>
      </c>
      <c r="AC398" s="10">
        <f t="shared" si="99"/>
        <v>0</v>
      </c>
      <c r="AE398" s="10">
        <f t="shared" si="100"/>
        <v>0</v>
      </c>
      <c r="AG398" s="13">
        <f t="shared" si="101"/>
        <v>0.5</v>
      </c>
      <c r="AH398" s="13">
        <f t="shared" si="102"/>
        <v>0.5</v>
      </c>
      <c r="AI398" s="10">
        <f t="shared" si="103"/>
        <v>0.25</v>
      </c>
    </row>
    <row r="399" spans="1:35" x14ac:dyDescent="0.3">
      <c r="A399" t="s">
        <v>114</v>
      </c>
      <c r="B399">
        <v>2023</v>
      </c>
      <c r="C399" s="3">
        <v>1424558000000</v>
      </c>
      <c r="D399" s="3">
        <v>26838000000</v>
      </c>
      <c r="E399" s="3">
        <v>3407442000000</v>
      </c>
      <c r="F399" s="3">
        <v>1733206000000</v>
      </c>
      <c r="G399" s="3">
        <v>2015987000000</v>
      </c>
      <c r="H399" s="3">
        <v>1870445000000</v>
      </c>
      <c r="I399" s="3">
        <v>1390685000000</v>
      </c>
      <c r="J399" s="3">
        <v>1367757000000</v>
      </c>
      <c r="K399" s="3">
        <v>-137239000000</v>
      </c>
      <c r="M399" s="3">
        <v>3322282000000</v>
      </c>
      <c r="N399" s="3">
        <v>1066178000000</v>
      </c>
      <c r="O399" s="3">
        <v>389080000000</v>
      </c>
      <c r="P399">
        <f t="shared" si="90"/>
        <v>4.5781285088212664</v>
      </c>
      <c r="Q399">
        <f t="shared" si="91"/>
        <v>0</v>
      </c>
      <c r="R399" t="str">
        <f t="shared" si="96"/>
        <v>Safe</v>
      </c>
      <c r="S399">
        <f t="shared" si="92"/>
        <v>-4.0276254151941547E-2</v>
      </c>
      <c r="T399">
        <f t="shared" si="93"/>
        <v>0.40140287054042301</v>
      </c>
      <c r="U399">
        <f t="shared" si="94"/>
        <v>0.41807256000248866</v>
      </c>
      <c r="V399">
        <f t="shared" si="95"/>
        <v>0.68982835702809586</v>
      </c>
      <c r="X399" s="13">
        <f t="shared" si="97"/>
        <v>3.1214664617236818</v>
      </c>
      <c r="Y399" s="10"/>
      <c r="Z399" s="10"/>
      <c r="AB399" s="10" t="str">
        <f t="shared" si="98"/>
        <v>Non-Distress</v>
      </c>
      <c r="AC399" s="10">
        <f t="shared" si="99"/>
        <v>0</v>
      </c>
      <c r="AE399" s="10">
        <f t="shared" si="100"/>
        <v>0</v>
      </c>
      <c r="AG399" s="13">
        <f t="shared" si="101"/>
        <v>0.5</v>
      </c>
      <c r="AH399" s="13">
        <f t="shared" si="102"/>
        <v>0.5</v>
      </c>
      <c r="AI399" s="10">
        <f t="shared" si="103"/>
        <v>0.25</v>
      </c>
    </row>
    <row r="400" spans="1:35" x14ac:dyDescent="0.3">
      <c r="A400" t="s">
        <v>114</v>
      </c>
      <c r="B400">
        <v>2022</v>
      </c>
      <c r="C400" s="3">
        <v>1268446000000</v>
      </c>
      <c r="D400" s="3">
        <v>21959000000</v>
      </c>
      <c r="E400" s="3">
        <v>3374502000000</v>
      </c>
      <c r="F400" s="3">
        <v>1649257000000</v>
      </c>
      <c r="G400" s="3">
        <v>2301227000000</v>
      </c>
      <c r="H400" s="3">
        <v>2154777000000</v>
      </c>
      <c r="I400" s="3">
        <v>1072657000000</v>
      </c>
      <c r="J400" s="3">
        <v>1049739000000</v>
      </c>
      <c r="K400" s="3">
        <v>-505520000000</v>
      </c>
      <c r="M400" s="3">
        <v>3114907000000</v>
      </c>
      <c r="N400" s="3">
        <v>924767000000</v>
      </c>
      <c r="O400" s="3">
        <v>441096000000</v>
      </c>
      <c r="P400">
        <f t="shared" si="90"/>
        <v>3.0468134386084524</v>
      </c>
      <c r="Q400">
        <f t="shared" si="91"/>
        <v>0</v>
      </c>
      <c r="R400" t="str">
        <f t="shared" si="96"/>
        <v>Safe</v>
      </c>
      <c r="S400">
        <f t="shared" si="92"/>
        <v>-0.1498058083829851</v>
      </c>
      <c r="T400">
        <f t="shared" si="93"/>
        <v>0.31107967931268082</v>
      </c>
      <c r="U400">
        <f t="shared" si="94"/>
        <v>0.37589131670391662</v>
      </c>
      <c r="V400">
        <f t="shared" si="95"/>
        <v>0.46612394170588123</v>
      </c>
      <c r="X400" s="13">
        <f t="shared" si="97"/>
        <v>1.9423277819542024</v>
      </c>
      <c r="Y400" s="10"/>
      <c r="Z400" s="10"/>
      <c r="AB400" s="10" t="str">
        <f t="shared" si="98"/>
        <v>Non-Distress</v>
      </c>
      <c r="AC400" s="10">
        <f t="shared" si="99"/>
        <v>0</v>
      </c>
      <c r="AE400" s="10">
        <f t="shared" si="100"/>
        <v>0</v>
      </c>
      <c r="AG400" s="13">
        <f t="shared" si="101"/>
        <v>0.5</v>
      </c>
      <c r="AH400" s="13">
        <f t="shared" si="102"/>
        <v>0.5</v>
      </c>
      <c r="AI400" s="10">
        <f t="shared" si="103"/>
        <v>0.25</v>
      </c>
    </row>
    <row r="401" spans="1:35" x14ac:dyDescent="0.3">
      <c r="A401" t="s">
        <v>115</v>
      </c>
      <c r="B401">
        <v>2025</v>
      </c>
      <c r="C401" s="3">
        <v>56924572000</v>
      </c>
      <c r="D401" s="3">
        <v>63298628000</v>
      </c>
      <c r="E401" s="3">
        <v>7367794144000</v>
      </c>
      <c r="F401" s="3">
        <v>2407049919000</v>
      </c>
      <c r="G401" s="3">
        <v>1969998895000</v>
      </c>
      <c r="H401" s="3">
        <v>950242049000</v>
      </c>
      <c r="I401" s="3">
        <v>5397795249000</v>
      </c>
      <c r="J401" s="3">
        <v>787682063000</v>
      </c>
      <c r="K401" s="3">
        <v>1456807870000</v>
      </c>
      <c r="M401" s="3">
        <v>4105678357000</v>
      </c>
      <c r="N401" s="3">
        <v>-4545821000</v>
      </c>
      <c r="O401" s="3">
        <v>889893072000</v>
      </c>
      <c r="P401">
        <f t="shared" si="90"/>
        <v>4.5745270025978737</v>
      </c>
      <c r="Q401">
        <f t="shared" si="91"/>
        <v>0</v>
      </c>
      <c r="R401" t="str">
        <f t="shared" si="96"/>
        <v>Safe</v>
      </c>
      <c r="S401">
        <f t="shared" si="92"/>
        <v>0.19772646215778963</v>
      </c>
      <c r="T401">
        <f t="shared" si="93"/>
        <v>0.10690880439995094</v>
      </c>
      <c r="U401">
        <f t="shared" si="94"/>
        <v>7.7261349716667652E-3</v>
      </c>
      <c r="V401">
        <f t="shared" si="95"/>
        <v>2.7399991252279357</v>
      </c>
      <c r="X401" s="13">
        <f t="shared" si="97"/>
        <v>1.7139828203863239</v>
      </c>
      <c r="Y401" s="10"/>
      <c r="Z401" s="10"/>
      <c r="AB401" s="10" t="str">
        <f t="shared" si="98"/>
        <v>Non-Distress</v>
      </c>
      <c r="AC401" s="10">
        <f t="shared" si="99"/>
        <v>0</v>
      </c>
      <c r="AE401" s="10">
        <f t="shared" si="100"/>
        <v>0</v>
      </c>
      <c r="AG401" s="13">
        <f t="shared" si="101"/>
        <v>0.5</v>
      </c>
      <c r="AH401" s="13">
        <f t="shared" si="102"/>
        <v>0.5</v>
      </c>
      <c r="AI401" s="10">
        <f t="shared" si="103"/>
        <v>0.25</v>
      </c>
    </row>
    <row r="402" spans="1:35" x14ac:dyDescent="0.3">
      <c r="A402" t="s">
        <v>115</v>
      </c>
      <c r="B402">
        <v>2024</v>
      </c>
      <c r="C402" s="3">
        <v>468746575000</v>
      </c>
      <c r="D402" s="3">
        <v>67856915000</v>
      </c>
      <c r="E402" s="3">
        <v>7047137434000</v>
      </c>
      <c r="F402" s="3">
        <v>2403424680000</v>
      </c>
      <c r="G402" s="3">
        <v>1688821710000</v>
      </c>
      <c r="H402" s="3">
        <v>894832004000</v>
      </c>
      <c r="I402" s="3">
        <v>5358315724000</v>
      </c>
      <c r="J402" s="3">
        <v>838532884000</v>
      </c>
      <c r="K402" s="3">
        <v>1508592676000</v>
      </c>
      <c r="M402" s="3">
        <v>4417035469000</v>
      </c>
      <c r="N402" s="3">
        <v>311074075000</v>
      </c>
      <c r="O402" s="3">
        <v>674003318000</v>
      </c>
      <c r="P402">
        <f t="shared" si="90"/>
        <v>5.570655506646335</v>
      </c>
      <c r="Q402">
        <f t="shared" si="91"/>
        <v>0</v>
      </c>
      <c r="R402" t="str">
        <f t="shared" si="96"/>
        <v>Safe</v>
      </c>
      <c r="S402">
        <f t="shared" si="92"/>
        <v>0.21407169792397723</v>
      </c>
      <c r="T402">
        <f t="shared" si="93"/>
        <v>0.11898914869381842</v>
      </c>
      <c r="U402">
        <f t="shared" si="94"/>
        <v>6.6515883845043228E-2</v>
      </c>
      <c r="V402">
        <f t="shared" si="95"/>
        <v>3.1728131467471483</v>
      </c>
      <c r="X402" s="13">
        <f t="shared" si="97"/>
        <v>2.1564579357662179</v>
      </c>
      <c r="Y402" s="10"/>
      <c r="Z402" s="10"/>
      <c r="AB402" s="10" t="str">
        <f t="shared" si="98"/>
        <v>Non-Distress</v>
      </c>
      <c r="AC402" s="10">
        <f t="shared" si="99"/>
        <v>0</v>
      </c>
      <c r="AE402" s="10">
        <f t="shared" si="100"/>
        <v>0</v>
      </c>
      <c r="AG402" s="13">
        <f t="shared" si="101"/>
        <v>0.5</v>
      </c>
      <c r="AH402" s="13">
        <f t="shared" si="102"/>
        <v>0.5</v>
      </c>
      <c r="AI402" s="10">
        <f t="shared" si="103"/>
        <v>0.25</v>
      </c>
    </row>
    <row r="403" spans="1:35" x14ac:dyDescent="0.3">
      <c r="A403" t="s">
        <v>115</v>
      </c>
      <c r="B403">
        <v>2023</v>
      </c>
      <c r="C403" s="3">
        <v>805342485000</v>
      </c>
      <c r="D403" s="3">
        <v>87603144000</v>
      </c>
      <c r="E403" s="3">
        <v>7017221425000</v>
      </c>
      <c r="F403" s="3">
        <v>2441619884000</v>
      </c>
      <c r="G403" s="3">
        <v>2059037171000</v>
      </c>
      <c r="H403" s="3">
        <v>1123458245000</v>
      </c>
      <c r="I403" s="3">
        <v>4958184254000</v>
      </c>
      <c r="J403" s="3">
        <v>692833809000</v>
      </c>
      <c r="K403" s="3">
        <v>1318161639000</v>
      </c>
      <c r="M403" s="3">
        <v>4806411306000</v>
      </c>
      <c r="N403" s="3">
        <v>562628681000</v>
      </c>
      <c r="O403" s="3">
        <v>925507803000</v>
      </c>
      <c r="P403">
        <f t="shared" si="90"/>
        <v>4.8537878530362075</v>
      </c>
      <c r="Q403">
        <f t="shared" si="91"/>
        <v>0</v>
      </c>
      <c r="R403" t="str">
        <f t="shared" si="96"/>
        <v>Safe</v>
      </c>
      <c r="S403">
        <f t="shared" si="92"/>
        <v>0.18784666453645504</v>
      </c>
      <c r="T403">
        <f t="shared" si="93"/>
        <v>9.8733354277758159E-2</v>
      </c>
      <c r="U403">
        <f t="shared" si="94"/>
        <v>0.11476657728525362</v>
      </c>
      <c r="V403">
        <f t="shared" si="95"/>
        <v>2.4080110470234923</v>
      </c>
      <c r="X403" s="13">
        <f t="shared" si="97"/>
        <v>2.1303305370189749</v>
      </c>
      <c r="Y403" s="10"/>
      <c r="Z403" s="10"/>
      <c r="AB403" s="10" t="str">
        <f t="shared" si="98"/>
        <v>Non-Distress</v>
      </c>
      <c r="AC403" s="10">
        <f t="shared" si="99"/>
        <v>0</v>
      </c>
      <c r="AE403" s="10">
        <f t="shared" si="100"/>
        <v>0</v>
      </c>
      <c r="AG403" s="13">
        <f t="shared" si="101"/>
        <v>0.5</v>
      </c>
      <c r="AH403" s="13">
        <f t="shared" si="102"/>
        <v>0.5</v>
      </c>
      <c r="AI403" s="10">
        <f t="shared" si="103"/>
        <v>0.25</v>
      </c>
    </row>
    <row r="404" spans="1:35" x14ac:dyDescent="0.3">
      <c r="A404" t="s">
        <v>115</v>
      </c>
      <c r="B404">
        <v>2022</v>
      </c>
      <c r="C404" s="3">
        <v>1196303521000</v>
      </c>
      <c r="D404" s="3">
        <v>103490059000</v>
      </c>
      <c r="E404" s="3">
        <v>6806945264000</v>
      </c>
      <c r="F404" s="3">
        <v>2328864897000</v>
      </c>
      <c r="G404" s="3">
        <v>2323807207000</v>
      </c>
      <c r="H404" s="3">
        <v>1158518478000</v>
      </c>
      <c r="I404" s="3">
        <v>4483138057000</v>
      </c>
      <c r="J404" s="3">
        <v>362037128000</v>
      </c>
      <c r="K404" s="3">
        <v>1170346419000</v>
      </c>
      <c r="M404" s="3">
        <v>5073812958000</v>
      </c>
      <c r="N404" s="3">
        <v>853707145000</v>
      </c>
      <c r="O404" s="3">
        <v>1109125596000</v>
      </c>
      <c r="P404">
        <f t="shared" si="90"/>
        <v>4.5079811961502809</v>
      </c>
      <c r="Q404">
        <f t="shared" si="91"/>
        <v>0</v>
      </c>
      <c r="R404" t="str">
        <f t="shared" si="96"/>
        <v>Safe</v>
      </c>
      <c r="S404">
        <f t="shared" si="92"/>
        <v>0.17193416042136106</v>
      </c>
      <c r="T404">
        <f t="shared" si="93"/>
        <v>5.3186431498826875E-2</v>
      </c>
      <c r="U404">
        <f t="shared" si="94"/>
        <v>0.17574748651600147</v>
      </c>
      <c r="V404">
        <f t="shared" si="95"/>
        <v>1.9292211692499497</v>
      </c>
      <c r="X404" s="13">
        <f t="shared" si="97"/>
        <v>2.158205663642057</v>
      </c>
      <c r="Y404" s="10"/>
      <c r="Z404" s="10"/>
      <c r="AB404" s="10" t="str">
        <f t="shared" si="98"/>
        <v>Non-Distress</v>
      </c>
      <c r="AC404" s="10">
        <f t="shared" si="99"/>
        <v>0</v>
      </c>
      <c r="AE404" s="10">
        <f t="shared" si="100"/>
        <v>0</v>
      </c>
      <c r="AG404" s="13">
        <f t="shared" si="101"/>
        <v>0.5</v>
      </c>
      <c r="AH404" s="13">
        <f t="shared" si="102"/>
        <v>0.5</v>
      </c>
      <c r="AI404" s="10">
        <f t="shared" si="103"/>
        <v>0.25</v>
      </c>
    </row>
    <row r="405" spans="1:35" x14ac:dyDescent="0.3">
      <c r="A405" t="s">
        <v>116</v>
      </c>
      <c r="B405">
        <v>2025</v>
      </c>
      <c r="C405" s="3">
        <v>134560099000</v>
      </c>
      <c r="D405" s="3">
        <v>14695335000</v>
      </c>
      <c r="E405" s="3">
        <v>1614059668000</v>
      </c>
      <c r="F405" s="3">
        <v>805032679000</v>
      </c>
      <c r="G405" s="3">
        <v>172026179000</v>
      </c>
      <c r="H405" s="3">
        <v>102496764000</v>
      </c>
      <c r="I405" s="3">
        <v>1237124624000</v>
      </c>
      <c r="J405" s="3">
        <v>696605983000</v>
      </c>
      <c r="K405" s="3">
        <v>702535915000</v>
      </c>
      <c r="M405" s="3">
        <v>1497999187000</v>
      </c>
      <c r="N405" s="3">
        <v>75455816000</v>
      </c>
      <c r="O405" s="3">
        <v>13255445000</v>
      </c>
      <c r="P405">
        <f t="shared" si="90"/>
        <v>12.373572549023113</v>
      </c>
      <c r="Q405">
        <f t="shared" si="91"/>
        <v>0</v>
      </c>
      <c r="R405" t="str">
        <f t="shared" si="96"/>
        <v>Safe</v>
      </c>
      <c r="S405">
        <f t="shared" si="92"/>
        <v>0.43526018828691776</v>
      </c>
      <c r="T405">
        <f t="shared" si="93"/>
        <v>0.43158626462872501</v>
      </c>
      <c r="U405">
        <f t="shared" si="94"/>
        <v>8.3367487378415803E-2</v>
      </c>
      <c r="V405">
        <f t="shared" si="95"/>
        <v>7.1914904533222241</v>
      </c>
      <c r="X405" s="13">
        <f t="shared" si="97"/>
        <v>4.7870794604059439</v>
      </c>
      <c r="Y405" s="10"/>
      <c r="Z405" s="10"/>
      <c r="AB405" s="10" t="str">
        <f t="shared" si="98"/>
        <v>Non-Distress</v>
      </c>
      <c r="AC405" s="10">
        <f t="shared" si="99"/>
        <v>0</v>
      </c>
      <c r="AE405" s="10">
        <f t="shared" si="100"/>
        <v>0</v>
      </c>
      <c r="AG405" s="13">
        <f t="shared" si="101"/>
        <v>0.5</v>
      </c>
      <c r="AH405" s="13">
        <f t="shared" si="102"/>
        <v>0.5</v>
      </c>
      <c r="AI405" s="10">
        <f t="shared" si="103"/>
        <v>0.25</v>
      </c>
    </row>
    <row r="406" spans="1:35" x14ac:dyDescent="0.3">
      <c r="A406" t="s">
        <v>116</v>
      </c>
      <c r="B406">
        <v>2024</v>
      </c>
      <c r="C406" s="3">
        <v>63383893000</v>
      </c>
      <c r="D406" s="3">
        <v>30145352000</v>
      </c>
      <c r="E406" s="3">
        <v>1932495722000</v>
      </c>
      <c r="F406" s="3">
        <v>1078123117000</v>
      </c>
      <c r="G406" s="3">
        <v>578323545000</v>
      </c>
      <c r="H406" s="3">
        <v>509302248000</v>
      </c>
      <c r="I406" s="3">
        <v>1163777196000</v>
      </c>
      <c r="J406" s="3">
        <v>622150167000</v>
      </c>
      <c r="K406" s="3">
        <v>568820869000</v>
      </c>
      <c r="M406" s="3">
        <v>1392544305000</v>
      </c>
      <c r="N406" s="3">
        <v>12950433000</v>
      </c>
      <c r="O406" s="3">
        <v>430466904000</v>
      </c>
      <c r="P406">
        <f t="shared" si="90"/>
        <v>5.3137877482578384</v>
      </c>
      <c r="Q406">
        <f t="shared" si="91"/>
        <v>0</v>
      </c>
      <c r="R406" t="str">
        <f t="shared" si="96"/>
        <v>Safe</v>
      </c>
      <c r="S406">
        <f t="shared" si="92"/>
        <v>0.29434521511453055</v>
      </c>
      <c r="T406">
        <f t="shared" si="93"/>
        <v>0.32194129069332034</v>
      </c>
      <c r="U406">
        <f t="shared" si="94"/>
        <v>3.279898230998516E-2</v>
      </c>
      <c r="V406">
        <f t="shared" si="95"/>
        <v>2.0123289222125651</v>
      </c>
      <c r="X406" s="13">
        <f t="shared" si="97"/>
        <v>3.0993299776553682</v>
      </c>
      <c r="Y406" s="10"/>
      <c r="Z406" s="10"/>
      <c r="AB406" s="10" t="str">
        <f t="shared" si="98"/>
        <v>Non-Distress</v>
      </c>
      <c r="AC406" s="10">
        <f t="shared" si="99"/>
        <v>0</v>
      </c>
      <c r="AE406" s="10">
        <f t="shared" si="100"/>
        <v>0</v>
      </c>
      <c r="AG406" s="13">
        <f t="shared" si="101"/>
        <v>0.5</v>
      </c>
      <c r="AH406" s="13">
        <f t="shared" si="102"/>
        <v>0.5</v>
      </c>
      <c r="AI406" s="10">
        <f t="shared" si="103"/>
        <v>0.25</v>
      </c>
    </row>
    <row r="407" spans="1:35" x14ac:dyDescent="0.3">
      <c r="A407" t="s">
        <v>116</v>
      </c>
      <c r="B407">
        <v>2023</v>
      </c>
      <c r="C407" s="3">
        <v>156642457000</v>
      </c>
      <c r="D407" s="3">
        <v>36426887000</v>
      </c>
      <c r="E407" s="3">
        <v>2019929220000</v>
      </c>
      <c r="F407" s="3">
        <v>1144764673000</v>
      </c>
      <c r="G407" s="3">
        <v>669321468000</v>
      </c>
      <c r="H407" s="3">
        <v>588637605000</v>
      </c>
      <c r="I407" s="3">
        <v>1161114160000</v>
      </c>
      <c r="J407" s="3">
        <v>620197696000</v>
      </c>
      <c r="K407" s="3">
        <v>556127068000</v>
      </c>
      <c r="M407" s="3">
        <v>1448228617000</v>
      </c>
      <c r="N407" s="3">
        <v>83512769000</v>
      </c>
      <c r="O407" s="3">
        <v>525119559000</v>
      </c>
      <c r="P407">
        <f t="shared" si="90"/>
        <v>5.1496749460239872</v>
      </c>
      <c r="Q407">
        <f t="shared" si="91"/>
        <v>0</v>
      </c>
      <c r="R407" t="str">
        <f t="shared" si="96"/>
        <v>Safe</v>
      </c>
      <c r="S407">
        <f t="shared" si="92"/>
        <v>0.27532007680942405</v>
      </c>
      <c r="T407">
        <f t="shared" si="93"/>
        <v>0.30703932091244268</v>
      </c>
      <c r="U407">
        <f t="shared" si="94"/>
        <v>7.7548488060388568E-2</v>
      </c>
      <c r="V407">
        <f t="shared" si="95"/>
        <v>1.7347630630607533</v>
      </c>
      <c r="X407" s="13">
        <f t="shared" si="97"/>
        <v>3.1387506922513744</v>
      </c>
      <c r="Y407" s="10"/>
      <c r="Z407" s="10"/>
      <c r="AB407" s="10" t="str">
        <f t="shared" si="98"/>
        <v>Non-Distress</v>
      </c>
      <c r="AC407" s="10">
        <f t="shared" si="99"/>
        <v>0</v>
      </c>
      <c r="AE407" s="10">
        <f t="shared" si="100"/>
        <v>0</v>
      </c>
      <c r="AG407" s="13">
        <f t="shared" si="101"/>
        <v>0.5</v>
      </c>
      <c r="AH407" s="13">
        <f t="shared" si="102"/>
        <v>0.5</v>
      </c>
      <c r="AI407" s="10">
        <f t="shared" si="103"/>
        <v>0.25</v>
      </c>
    </row>
    <row r="408" spans="1:35" x14ac:dyDescent="0.3">
      <c r="A408" t="s">
        <v>116</v>
      </c>
      <c r="B408">
        <v>2022</v>
      </c>
      <c r="C408" s="3">
        <v>81186553000</v>
      </c>
      <c r="D408" s="3">
        <v>37366055000</v>
      </c>
      <c r="E408" s="3">
        <v>1896261085000</v>
      </c>
      <c r="F408" s="3">
        <v>1021595101000</v>
      </c>
      <c r="G408" s="3">
        <v>640559702000</v>
      </c>
      <c r="H408" s="3">
        <v>508757119000</v>
      </c>
      <c r="I408" s="3">
        <v>1074495908000</v>
      </c>
      <c r="J408" s="3">
        <v>537684927000</v>
      </c>
      <c r="K408" s="3">
        <v>512837982000</v>
      </c>
      <c r="M408" s="3">
        <v>1515319792000</v>
      </c>
      <c r="N408" s="3">
        <v>22523399000</v>
      </c>
      <c r="O408" s="3">
        <v>512723717000</v>
      </c>
      <c r="P408">
        <f t="shared" si="90"/>
        <v>4.7475197197475145</v>
      </c>
      <c r="Q408">
        <f t="shared" si="91"/>
        <v>0</v>
      </c>
      <c r="R408" t="str">
        <f t="shared" si="96"/>
        <v>Safe</v>
      </c>
      <c r="S408">
        <f t="shared" si="92"/>
        <v>0.27044692635244372</v>
      </c>
      <c r="T408">
        <f t="shared" si="93"/>
        <v>0.28355005080959089</v>
      </c>
      <c r="U408">
        <f t="shared" si="94"/>
        <v>4.2814016298815732E-2</v>
      </c>
      <c r="V408">
        <f t="shared" si="95"/>
        <v>1.6774328835315961</v>
      </c>
      <c r="X408" s="13">
        <f t="shared" si="97"/>
        <v>2.8614924402080661</v>
      </c>
      <c r="Y408" s="10"/>
      <c r="Z408" s="10"/>
      <c r="AB408" s="10" t="str">
        <f t="shared" si="98"/>
        <v>Non-Distress</v>
      </c>
      <c r="AC408" s="10">
        <f t="shared" si="99"/>
        <v>0</v>
      </c>
      <c r="AE408" s="10">
        <f t="shared" si="100"/>
        <v>0</v>
      </c>
      <c r="AG408" s="13">
        <f t="shared" si="101"/>
        <v>0.5</v>
      </c>
      <c r="AH408" s="13">
        <f t="shared" si="102"/>
        <v>0.5</v>
      </c>
      <c r="AI408" s="10">
        <f t="shared" si="103"/>
        <v>0.25</v>
      </c>
    </row>
    <row r="409" spans="1:35" x14ac:dyDescent="0.3">
      <c r="A409" t="s">
        <v>117</v>
      </c>
      <c r="B409">
        <v>2025</v>
      </c>
      <c r="C409" s="3">
        <v>15935958338</v>
      </c>
      <c r="D409" s="3">
        <v>14104901441</v>
      </c>
      <c r="E409" s="3">
        <v>878777664407</v>
      </c>
      <c r="F409" s="3">
        <v>579311729337</v>
      </c>
      <c r="G409" s="3">
        <v>247130467731</v>
      </c>
      <c r="H409" s="3">
        <v>207805188412</v>
      </c>
      <c r="I409" s="3">
        <v>574245948155</v>
      </c>
      <c r="J409" s="3">
        <v>241984466780</v>
      </c>
      <c r="K409" s="3">
        <v>371506540925</v>
      </c>
      <c r="M409" s="3">
        <v>423517455955</v>
      </c>
      <c r="N409" s="3">
        <v>415888750</v>
      </c>
      <c r="O409" s="3">
        <v>124642567105</v>
      </c>
      <c r="P409">
        <f t="shared" si="90"/>
        <v>6.2326536686665683</v>
      </c>
      <c r="Q409">
        <f t="shared" si="91"/>
        <v>0</v>
      </c>
      <c r="R409" t="str">
        <f t="shared" si="96"/>
        <v>Safe</v>
      </c>
      <c r="S409">
        <f t="shared" si="92"/>
        <v>0.42275373620891121</v>
      </c>
      <c r="T409">
        <f t="shared" si="93"/>
        <v>0.27536483524907446</v>
      </c>
      <c r="U409">
        <f t="shared" si="94"/>
        <v>1.8134232335949959E-2</v>
      </c>
      <c r="V409">
        <f t="shared" si="95"/>
        <v>2.3236550046919477</v>
      </c>
      <c r="X409" s="13">
        <f t="shared" si="97"/>
        <v>3.6739336769030841</v>
      </c>
      <c r="Y409" s="10"/>
      <c r="Z409" s="10"/>
      <c r="AB409" s="10" t="str">
        <f t="shared" si="98"/>
        <v>Non-Distress</v>
      </c>
      <c r="AC409" s="10">
        <f t="shared" si="99"/>
        <v>0</v>
      </c>
      <c r="AE409" s="10">
        <f t="shared" si="100"/>
        <v>0</v>
      </c>
      <c r="AG409" s="13">
        <f t="shared" si="101"/>
        <v>0.5</v>
      </c>
      <c r="AH409" s="13">
        <f t="shared" si="102"/>
        <v>0.5</v>
      </c>
      <c r="AI409" s="10">
        <f t="shared" si="103"/>
        <v>0.25</v>
      </c>
    </row>
    <row r="410" spans="1:35" x14ac:dyDescent="0.3">
      <c r="A410" t="s">
        <v>117</v>
      </c>
      <c r="B410">
        <v>2024</v>
      </c>
      <c r="C410" s="3">
        <v>15595577753</v>
      </c>
      <c r="D410" s="3">
        <v>14351837567</v>
      </c>
      <c r="E410" s="3">
        <v>818435708264</v>
      </c>
      <c r="F410" s="3">
        <v>527354772708</v>
      </c>
      <c r="G410" s="3">
        <v>244780362194</v>
      </c>
      <c r="H410" s="3">
        <v>192818326822</v>
      </c>
      <c r="I410" s="3">
        <v>573583817521</v>
      </c>
      <c r="J410" s="3">
        <v>241568578030</v>
      </c>
      <c r="K410" s="3">
        <v>334536445886</v>
      </c>
      <c r="M410" s="3">
        <v>333562949947</v>
      </c>
      <c r="N410" s="3">
        <v>-5122538773</v>
      </c>
      <c r="O410" s="3">
        <v>133383558766</v>
      </c>
      <c r="P410">
        <f t="shared" si="90"/>
        <v>6.2320988316469803</v>
      </c>
      <c r="Q410">
        <f t="shared" si="91"/>
        <v>0</v>
      </c>
      <c r="R410" t="str">
        <f t="shared" si="96"/>
        <v>Safe</v>
      </c>
      <c r="S410">
        <f t="shared" si="92"/>
        <v>0.4087510387292263</v>
      </c>
      <c r="T410">
        <f t="shared" si="93"/>
        <v>0.29515889347300822</v>
      </c>
      <c r="U410">
        <f t="shared" si="94"/>
        <v>1.9055348630963434E-2</v>
      </c>
      <c r="V410">
        <f t="shared" si="95"/>
        <v>2.3432591257725477</v>
      </c>
      <c r="X410" s="13">
        <f t="shared" si="97"/>
        <v>3.6585249266938535</v>
      </c>
      <c r="Y410" s="10"/>
      <c r="Z410" s="10"/>
      <c r="AB410" s="10" t="str">
        <f t="shared" si="98"/>
        <v>Non-Distress</v>
      </c>
      <c r="AC410" s="10">
        <f t="shared" si="99"/>
        <v>0</v>
      </c>
      <c r="AE410" s="10">
        <f t="shared" si="100"/>
        <v>0</v>
      </c>
      <c r="AG410" s="13">
        <f t="shared" si="101"/>
        <v>0.5</v>
      </c>
      <c r="AH410" s="13">
        <f t="shared" si="102"/>
        <v>0.5</v>
      </c>
      <c r="AI410" s="10">
        <f t="shared" si="103"/>
        <v>0.25</v>
      </c>
    </row>
    <row r="411" spans="1:35" x14ac:dyDescent="0.3">
      <c r="A411" t="s">
        <v>117</v>
      </c>
      <c r="B411">
        <v>2023</v>
      </c>
      <c r="C411" s="3">
        <v>671108627</v>
      </c>
      <c r="D411" s="3">
        <v>13866470900</v>
      </c>
      <c r="E411" s="3">
        <v>634207335645</v>
      </c>
      <c r="F411" s="3">
        <v>536240708878</v>
      </c>
      <c r="G411" s="3">
        <v>232316210715</v>
      </c>
      <c r="H411" s="3">
        <v>191132222451</v>
      </c>
      <c r="I411" s="3">
        <v>401838786060</v>
      </c>
      <c r="J411" s="3">
        <v>246691116803</v>
      </c>
      <c r="K411" s="3">
        <v>345108486427</v>
      </c>
      <c r="M411" s="3">
        <v>300596022300</v>
      </c>
      <c r="N411" s="3">
        <v>-14140399378</v>
      </c>
      <c r="O411" s="3">
        <v>138541655432</v>
      </c>
      <c r="P411">
        <f t="shared" si="90"/>
        <v>6.6610338472390316</v>
      </c>
      <c r="Q411">
        <f t="shared" si="91"/>
        <v>0</v>
      </c>
      <c r="R411" t="str">
        <f t="shared" si="96"/>
        <v>Safe</v>
      </c>
      <c r="S411">
        <f t="shared" si="92"/>
        <v>0.54415719754489844</v>
      </c>
      <c r="T411">
        <f t="shared" si="93"/>
        <v>0.38897550207632148</v>
      </c>
      <c r="U411">
        <f t="shared" si="94"/>
        <v>1.0581849014998711E-3</v>
      </c>
      <c r="V411">
        <f t="shared" si="95"/>
        <v>1.7297061828929634</v>
      </c>
      <c r="X411" s="13">
        <f t="shared" si="97"/>
        <v>4.6801991014685154</v>
      </c>
      <c r="Y411" s="10"/>
      <c r="Z411" s="10"/>
      <c r="AB411" s="10" t="str">
        <f t="shared" si="98"/>
        <v>Non-Distress</v>
      </c>
      <c r="AC411" s="10">
        <f t="shared" si="99"/>
        <v>0</v>
      </c>
      <c r="AE411" s="10">
        <f t="shared" si="100"/>
        <v>0</v>
      </c>
      <c r="AG411" s="13">
        <f t="shared" si="101"/>
        <v>0.5</v>
      </c>
      <c r="AH411" s="13">
        <f t="shared" si="102"/>
        <v>0.5</v>
      </c>
      <c r="AI411" s="10">
        <f t="shared" si="103"/>
        <v>0.25</v>
      </c>
    </row>
    <row r="412" spans="1:35" x14ac:dyDescent="0.3">
      <c r="A412" t="s">
        <v>117</v>
      </c>
      <c r="B412">
        <v>2022</v>
      </c>
      <c r="C412" s="3">
        <v>61170413206</v>
      </c>
      <c r="D412" s="3">
        <v>11732865228</v>
      </c>
      <c r="E412" s="3">
        <v>694780597799</v>
      </c>
      <c r="F412" s="3">
        <v>586852139107</v>
      </c>
      <c r="G412" s="3">
        <v>283395035571</v>
      </c>
      <c r="H412" s="3">
        <v>236276099973</v>
      </c>
      <c r="I412" s="3">
        <v>411360734582</v>
      </c>
      <c r="J412" s="3">
        <v>260831516181</v>
      </c>
      <c r="K412" s="3">
        <v>350576039134</v>
      </c>
      <c r="M412" s="3">
        <v>285177566612</v>
      </c>
      <c r="N412" s="3">
        <v>67833011050</v>
      </c>
      <c r="O412" s="3">
        <v>140262073282</v>
      </c>
      <c r="P412">
        <f t="shared" si="90"/>
        <v>6.6497043016386783</v>
      </c>
      <c r="Q412">
        <f t="shared" si="91"/>
        <v>0</v>
      </c>
      <c r="R412" t="str">
        <f t="shared" si="96"/>
        <v>Safe</v>
      </c>
      <c r="S412">
        <f t="shared" si="92"/>
        <v>0.50458524639949953</v>
      </c>
      <c r="T412">
        <f t="shared" si="93"/>
        <v>0.37541565928480136</v>
      </c>
      <c r="U412">
        <f t="shared" si="94"/>
        <v>8.8042776956901436E-2</v>
      </c>
      <c r="V412">
        <f t="shared" si="95"/>
        <v>1.4515453093706021</v>
      </c>
      <c r="X412" s="13">
        <f t="shared" si="97"/>
        <v>4.802717313940863</v>
      </c>
      <c r="Y412" s="10"/>
      <c r="Z412" s="10"/>
      <c r="AB412" s="10" t="str">
        <f t="shared" si="98"/>
        <v>Non-Distress</v>
      </c>
      <c r="AC412" s="10">
        <f t="shared" si="99"/>
        <v>0</v>
      </c>
      <c r="AE412" s="10">
        <f t="shared" si="100"/>
        <v>0</v>
      </c>
      <c r="AG412" s="13">
        <f t="shared" si="101"/>
        <v>0.5</v>
      </c>
      <c r="AH412" s="13">
        <f t="shared" si="102"/>
        <v>0.5</v>
      </c>
      <c r="AI412" s="10">
        <f t="shared" si="103"/>
        <v>0.25</v>
      </c>
    </row>
    <row r="413" spans="1:35" x14ac:dyDescent="0.3">
      <c r="A413" t="s">
        <v>118</v>
      </c>
      <c r="B413">
        <v>2025</v>
      </c>
      <c r="C413" s="3">
        <v>7633629</v>
      </c>
      <c r="D413" s="3">
        <v>833860</v>
      </c>
      <c r="E413" s="3">
        <v>108329737</v>
      </c>
      <c r="F413" s="3">
        <v>39264489</v>
      </c>
      <c r="G413" s="3">
        <v>21820463</v>
      </c>
      <c r="H413" s="3">
        <v>13460037</v>
      </c>
      <c r="I413" s="3">
        <v>83657445</v>
      </c>
      <c r="J413" s="3">
        <v>10824639</v>
      </c>
      <c r="K413" s="3">
        <v>25804452</v>
      </c>
      <c r="M413" s="3">
        <v>64200896</v>
      </c>
      <c r="N413" s="3">
        <v>5675270</v>
      </c>
      <c r="O413" s="3">
        <v>12250210</v>
      </c>
      <c r="P413">
        <f t="shared" si="90"/>
        <v>6.3874891185288103</v>
      </c>
      <c r="Q413">
        <f t="shared" si="91"/>
        <v>0</v>
      </c>
      <c r="R413" t="str">
        <f t="shared" si="96"/>
        <v>Safe</v>
      </c>
      <c r="S413">
        <f t="shared" si="92"/>
        <v>0.23820284914012116</v>
      </c>
      <c r="T413">
        <f t="shared" si="93"/>
        <v>9.9923061753579262E-2</v>
      </c>
      <c r="U413">
        <f t="shared" si="94"/>
        <v>7.0466606966838666E-2</v>
      </c>
      <c r="V413">
        <f t="shared" si="95"/>
        <v>3.833898712415039</v>
      </c>
      <c r="X413" s="13">
        <f t="shared" si="97"/>
        <v>2.288966059198529</v>
      </c>
      <c r="Y413" s="10"/>
      <c r="Z413" s="10"/>
      <c r="AB413" s="10" t="str">
        <f t="shared" si="98"/>
        <v>Non-Distress</v>
      </c>
      <c r="AC413" s="10">
        <f t="shared" si="99"/>
        <v>0</v>
      </c>
      <c r="AE413" s="10">
        <f t="shared" si="100"/>
        <v>0</v>
      </c>
      <c r="AG413" s="13">
        <f t="shared" si="101"/>
        <v>0.5</v>
      </c>
      <c r="AH413" s="13">
        <f t="shared" si="102"/>
        <v>0.5</v>
      </c>
      <c r="AI413" s="10">
        <f t="shared" si="103"/>
        <v>0.25</v>
      </c>
    </row>
    <row r="414" spans="1:35" x14ac:dyDescent="0.3">
      <c r="A414" t="s">
        <v>118</v>
      </c>
      <c r="B414">
        <v>2024</v>
      </c>
      <c r="C414" s="3">
        <v>6926647</v>
      </c>
      <c r="D414" s="3">
        <v>1298280</v>
      </c>
      <c r="E414" s="3">
        <v>111887577</v>
      </c>
      <c r="F414" s="3">
        <v>43564549</v>
      </c>
      <c r="G414" s="3">
        <v>24339600</v>
      </c>
      <c r="H414" s="3">
        <v>15782815</v>
      </c>
      <c r="I414" s="3">
        <v>84906007</v>
      </c>
      <c r="J414" s="3">
        <v>9347068</v>
      </c>
      <c r="K414" s="3">
        <v>27781734</v>
      </c>
      <c r="M414" s="3">
        <v>68512146</v>
      </c>
      <c r="N414" s="3">
        <v>5504582</v>
      </c>
      <c r="O414" s="3">
        <v>14847204</v>
      </c>
      <c r="P414">
        <f t="shared" si="90"/>
        <v>5.9800161288864215</v>
      </c>
      <c r="Q414">
        <f t="shared" si="91"/>
        <v>0</v>
      </c>
      <c r="R414" t="str">
        <f t="shared" si="96"/>
        <v>Safe</v>
      </c>
      <c r="S414">
        <f t="shared" si="92"/>
        <v>0.24830043464074658</v>
      </c>
      <c r="T414">
        <f t="shared" si="93"/>
        <v>8.3539819617328925E-2</v>
      </c>
      <c r="U414">
        <f t="shared" si="94"/>
        <v>6.1907203513755595E-2</v>
      </c>
      <c r="V414">
        <f t="shared" si="95"/>
        <v>3.4883895791220891</v>
      </c>
      <c r="X414" s="13">
        <f t="shared" si="97"/>
        <v>2.240736631518029</v>
      </c>
      <c r="Y414" s="10"/>
      <c r="Z414" s="10"/>
      <c r="AB414" s="10" t="str">
        <f t="shared" si="98"/>
        <v>Non-Distress</v>
      </c>
      <c r="AC414" s="10">
        <f t="shared" si="99"/>
        <v>0</v>
      </c>
      <c r="AE414" s="10">
        <f t="shared" si="100"/>
        <v>0</v>
      </c>
      <c r="AG414" s="13">
        <f t="shared" si="101"/>
        <v>0.5</v>
      </c>
      <c r="AH414" s="13">
        <f t="shared" si="102"/>
        <v>0.5</v>
      </c>
      <c r="AI414" s="10">
        <f t="shared" si="103"/>
        <v>0.25</v>
      </c>
    </row>
    <row r="415" spans="1:35" x14ac:dyDescent="0.3">
      <c r="A415" t="s">
        <v>118</v>
      </c>
      <c r="B415">
        <v>2023</v>
      </c>
      <c r="C415" s="3">
        <v>10473598</v>
      </c>
      <c r="D415" s="3">
        <v>1010616</v>
      </c>
      <c r="E415" s="3">
        <v>104345756</v>
      </c>
      <c r="F415" s="3">
        <v>41395761</v>
      </c>
      <c r="G415" s="3">
        <v>36445955</v>
      </c>
      <c r="H415" s="3">
        <v>25409554</v>
      </c>
      <c r="I415" s="3">
        <v>65187285</v>
      </c>
      <c r="J415" s="3">
        <v>5663015</v>
      </c>
      <c r="K415" s="3">
        <v>15986207</v>
      </c>
      <c r="M415" s="3">
        <v>70288813</v>
      </c>
      <c r="N415" s="3">
        <v>7322193</v>
      </c>
      <c r="O415" s="3">
        <v>25722879</v>
      </c>
      <c r="P415">
        <f t="shared" ref="P415:P465" si="104">6.56*(F415-H415)/E415+3.26*J415/E415+6.72*C415/E415+1.05*I415/G415</f>
        <v>3.7344895511601193</v>
      </c>
      <c r="Q415">
        <f t="shared" ref="Q415:Q465" si="105">IF(VALUE(TRIM(P415))&lt;=1.1, 1, 0)</f>
        <v>0</v>
      </c>
      <c r="R415" t="str">
        <f t="shared" si="96"/>
        <v>Safe</v>
      </c>
      <c r="S415">
        <f t="shared" ref="S415:S465" si="106">MAX(-2,MIN(K415/E415,2))</f>
        <v>0.15320418973245065</v>
      </c>
      <c r="T415">
        <f t="shared" ref="T415:T465" si="107" xml:space="preserve"> J415/E415</f>
        <v>5.4271637075493519E-2</v>
      </c>
      <c r="U415">
        <f t="shared" ref="U415:U465" si="108">C415/E415</f>
        <v>0.10037397208564956</v>
      </c>
      <c r="V415">
        <f t="shared" ref="V415:V465" si="109">I415/G415</f>
        <v>1.7886013687938758</v>
      </c>
      <c r="X415" s="13">
        <f t="shared" si="97"/>
        <v>1.6766379174574702</v>
      </c>
      <c r="Y415" s="10"/>
      <c r="Z415" s="10"/>
      <c r="AB415" s="10" t="str">
        <f t="shared" si="98"/>
        <v>Non-Distress</v>
      </c>
      <c r="AC415" s="10">
        <f t="shared" si="99"/>
        <v>0</v>
      </c>
      <c r="AE415" s="10">
        <f t="shared" si="100"/>
        <v>0</v>
      </c>
      <c r="AG415" s="13">
        <f t="shared" si="101"/>
        <v>0.5</v>
      </c>
      <c r="AH415" s="13">
        <f t="shared" si="102"/>
        <v>0.5</v>
      </c>
      <c r="AI415" s="10">
        <f t="shared" si="103"/>
        <v>0.25</v>
      </c>
    </row>
    <row r="416" spans="1:35" x14ac:dyDescent="0.3">
      <c r="A416" t="s">
        <v>118</v>
      </c>
      <c r="B416">
        <v>2022</v>
      </c>
      <c r="C416" s="3">
        <v>6342735</v>
      </c>
      <c r="D416" s="3">
        <v>974599</v>
      </c>
      <c r="E416" s="3">
        <v>99678303</v>
      </c>
      <c r="F416" s="3">
        <v>34082983</v>
      </c>
      <c r="G416" s="3">
        <v>30900412</v>
      </c>
      <c r="H416" s="3">
        <v>23666215</v>
      </c>
      <c r="I416" s="3">
        <v>67993109</v>
      </c>
      <c r="J416" s="3">
        <v>31860237</v>
      </c>
      <c r="K416" s="3">
        <v>10416768</v>
      </c>
      <c r="M416" s="3">
        <v>78985178</v>
      </c>
      <c r="N416" s="3">
        <v>4778525</v>
      </c>
      <c r="O416" s="3">
        <v>19178690</v>
      </c>
      <c r="P416">
        <f t="shared" si="104"/>
        <v>4.465563193149654</v>
      </c>
      <c r="Q416">
        <f t="shared" si="105"/>
        <v>0</v>
      </c>
      <c r="R416" t="str">
        <f t="shared" si="96"/>
        <v>Safe</v>
      </c>
      <c r="S416">
        <f t="shared" si="106"/>
        <v>0.10450386580116638</v>
      </c>
      <c r="T416">
        <f t="shared" si="107"/>
        <v>0.31963061209017574</v>
      </c>
      <c r="U416">
        <f t="shared" si="108"/>
        <v>6.3632052403620881E-2</v>
      </c>
      <c r="V416">
        <f t="shared" si="109"/>
        <v>2.2003949008835222</v>
      </c>
      <c r="X416" s="13">
        <f t="shared" si="97"/>
        <v>2.0886839237875265</v>
      </c>
      <c r="Y416" s="10"/>
      <c r="Z416" s="10"/>
      <c r="AB416" s="10" t="str">
        <f t="shared" si="98"/>
        <v>Non-Distress</v>
      </c>
      <c r="AC416" s="10">
        <f t="shared" si="99"/>
        <v>0</v>
      </c>
      <c r="AE416" s="10">
        <f t="shared" si="100"/>
        <v>0</v>
      </c>
      <c r="AG416" s="13">
        <f t="shared" si="101"/>
        <v>0.5</v>
      </c>
      <c r="AH416" s="13">
        <f t="shared" si="102"/>
        <v>0.5</v>
      </c>
      <c r="AI416" s="10">
        <f t="shared" si="103"/>
        <v>0.25</v>
      </c>
    </row>
    <row r="417" spans="1:35" x14ac:dyDescent="0.3">
      <c r="A417" t="s">
        <v>119</v>
      </c>
      <c r="B417">
        <v>2025</v>
      </c>
      <c r="C417" s="3">
        <v>4209596352283</v>
      </c>
      <c r="D417" s="3">
        <v>593097039102</v>
      </c>
      <c r="E417" s="3">
        <v>31379998865878</v>
      </c>
      <c r="F417" s="3">
        <v>21259692155479</v>
      </c>
      <c r="G417" s="3">
        <v>13017009300451</v>
      </c>
      <c r="H417" s="3">
        <v>6294247584854</v>
      </c>
      <c r="I417" s="3">
        <v>18098768234866</v>
      </c>
      <c r="J417" s="3">
        <v>17944375906339</v>
      </c>
      <c r="K417" s="3">
        <v>14965444570625</v>
      </c>
      <c r="M417" s="3">
        <v>38681562261207</v>
      </c>
      <c r="N417" s="3">
        <v>2865185363464</v>
      </c>
      <c r="O417" s="3">
        <v>8387563016079</v>
      </c>
      <c r="P417">
        <f t="shared" si="104"/>
        <v>7.3541287228810281</v>
      </c>
      <c r="Q417">
        <f t="shared" si="105"/>
        <v>0</v>
      </c>
      <c r="R417" t="str">
        <f t="shared" si="96"/>
        <v>Safe</v>
      </c>
      <c r="S417">
        <f t="shared" si="106"/>
        <v>0.47691029673357105</v>
      </c>
      <c r="T417">
        <f t="shared" si="107"/>
        <v>0.57184119040397308</v>
      </c>
      <c r="U417">
        <f t="shared" si="108"/>
        <v>0.13414902818433283</v>
      </c>
      <c r="V417">
        <f t="shared" si="109"/>
        <v>1.3903937392315555</v>
      </c>
      <c r="X417" s="13">
        <f t="shared" si="97"/>
        <v>5.4977795823180546</v>
      </c>
      <c r="Y417" s="10"/>
      <c r="Z417" s="10"/>
      <c r="AB417" s="10" t="str">
        <f t="shared" si="98"/>
        <v>Non-Distress</v>
      </c>
      <c r="AC417" s="10">
        <f t="shared" si="99"/>
        <v>0</v>
      </c>
      <c r="AE417" s="10">
        <f t="shared" si="100"/>
        <v>0</v>
      </c>
      <c r="AG417" s="13">
        <f t="shared" si="101"/>
        <v>0.5</v>
      </c>
      <c r="AH417" s="13">
        <f t="shared" si="102"/>
        <v>0.5</v>
      </c>
      <c r="AI417" s="10">
        <f t="shared" si="103"/>
        <v>0.25</v>
      </c>
    </row>
    <row r="418" spans="1:35" x14ac:dyDescent="0.3">
      <c r="A418" t="s">
        <v>119</v>
      </c>
      <c r="B418">
        <v>2024</v>
      </c>
      <c r="C418" s="3">
        <v>4306290023597</v>
      </c>
      <c r="D418" s="3">
        <v>425195530261</v>
      </c>
      <c r="E418" s="3">
        <v>29728781933757</v>
      </c>
      <c r="F418" s="3">
        <v>19600914916989</v>
      </c>
      <c r="G418" s="3">
        <v>12626353599187</v>
      </c>
      <c r="H418" s="3">
        <v>7383110635195</v>
      </c>
      <c r="I418" s="3">
        <v>16820564648744</v>
      </c>
      <c r="J418" s="3">
        <v>16328892792792</v>
      </c>
      <c r="K418" s="3">
        <v>12217804281794</v>
      </c>
      <c r="M418" s="3">
        <v>36072949285930</v>
      </c>
      <c r="N418" s="3">
        <v>3000372094158</v>
      </c>
      <c r="O418" s="3">
        <v>8148442862490</v>
      </c>
      <c r="P418">
        <f t="shared" si="104"/>
        <v>6.8587916499149779</v>
      </c>
      <c r="Q418">
        <f t="shared" si="105"/>
        <v>0</v>
      </c>
      <c r="R418" t="str">
        <f t="shared" si="96"/>
        <v>Safe</v>
      </c>
      <c r="S418">
        <f t="shared" si="106"/>
        <v>0.4109756097312785</v>
      </c>
      <c r="T418">
        <f t="shared" si="107"/>
        <v>0.5492620864580583</v>
      </c>
      <c r="U418">
        <f t="shared" si="108"/>
        <v>0.1448525551161991</v>
      </c>
      <c r="V418">
        <f t="shared" si="109"/>
        <v>1.3321791217558696</v>
      </c>
      <c r="X418" s="13">
        <f t="shared" si="97"/>
        <v>5.0700600181189364</v>
      </c>
      <c r="Y418" s="10"/>
      <c r="Z418" s="10"/>
      <c r="AB418" s="10" t="str">
        <f t="shared" si="98"/>
        <v>Non-Distress</v>
      </c>
      <c r="AC418" s="10">
        <f t="shared" si="99"/>
        <v>0</v>
      </c>
      <c r="AE418" s="10">
        <f t="shared" si="100"/>
        <v>0</v>
      </c>
      <c r="AG418" s="13">
        <f t="shared" si="101"/>
        <v>0.5</v>
      </c>
      <c r="AH418" s="13">
        <f t="shared" si="102"/>
        <v>0.5</v>
      </c>
      <c r="AI418" s="10">
        <f t="shared" si="103"/>
        <v>0.25</v>
      </c>
    </row>
    <row r="419" spans="1:35" x14ac:dyDescent="0.3">
      <c r="A419" t="s">
        <v>119</v>
      </c>
      <c r="B419">
        <v>2023</v>
      </c>
      <c r="C419" s="3">
        <v>4396292972270</v>
      </c>
      <c r="D419" s="3">
        <v>302577139458</v>
      </c>
      <c r="E419" s="3">
        <v>23870404962472</v>
      </c>
      <c r="F419" s="3">
        <v>14738922387529</v>
      </c>
      <c r="G419" s="3">
        <v>8588315775736</v>
      </c>
      <c r="H419" s="3">
        <v>4013200501414</v>
      </c>
      <c r="I419" s="3">
        <v>15039487611663</v>
      </c>
      <c r="J419" s="3">
        <v>14552037812134</v>
      </c>
      <c r="K419" s="3">
        <v>10725721886115</v>
      </c>
      <c r="M419" s="3">
        <v>31485008185525</v>
      </c>
      <c r="N419" s="3">
        <v>3193816276615</v>
      </c>
      <c r="O419" s="3">
        <v>4267410076475</v>
      </c>
      <c r="P419">
        <f t="shared" si="104"/>
        <v>8.0113567867829669</v>
      </c>
      <c r="Q419">
        <f t="shared" si="105"/>
        <v>0</v>
      </c>
      <c r="R419" t="str">
        <f t="shared" si="96"/>
        <v>Safe</v>
      </c>
      <c r="S419">
        <f t="shared" si="106"/>
        <v>0.44933137510559656</v>
      </c>
      <c r="T419">
        <f t="shared" si="107"/>
        <v>0.60962676733017618</v>
      </c>
      <c r="U419">
        <f t="shared" si="108"/>
        <v>0.18417337197176412</v>
      </c>
      <c r="V419">
        <f t="shared" si="109"/>
        <v>1.751156804708214</v>
      </c>
      <c r="X419" s="13">
        <f t="shared" si="97"/>
        <v>5.7105474695873379</v>
      </c>
      <c r="Y419" s="10"/>
      <c r="Z419" s="10"/>
      <c r="AB419" s="10" t="str">
        <f t="shared" si="98"/>
        <v>Non-Distress</v>
      </c>
      <c r="AC419" s="10">
        <f t="shared" si="99"/>
        <v>0</v>
      </c>
      <c r="AE419" s="10">
        <f t="shared" si="100"/>
        <v>0</v>
      </c>
      <c r="AG419" s="13">
        <f t="shared" si="101"/>
        <v>0.5</v>
      </c>
      <c r="AH419" s="13">
        <f t="shared" si="102"/>
        <v>0.5</v>
      </c>
      <c r="AI419" s="10">
        <f t="shared" si="103"/>
        <v>0.25</v>
      </c>
    </row>
    <row r="420" spans="1:35" x14ac:dyDescent="0.3">
      <c r="A420" t="s">
        <v>119</v>
      </c>
      <c r="B420">
        <v>2022</v>
      </c>
      <c r="C420" s="3">
        <v>2895240195831</v>
      </c>
      <c r="D420" s="3">
        <v>389182677897</v>
      </c>
      <c r="E420" s="3">
        <v>22276160695411</v>
      </c>
      <c r="F420" s="3">
        <v>14772623976128</v>
      </c>
      <c r="G420" s="3">
        <v>9441466604896</v>
      </c>
      <c r="H420" s="3">
        <v>5636627301308</v>
      </c>
      <c r="I420" s="3">
        <v>12628400600637</v>
      </c>
      <c r="J420" s="3">
        <v>12136012917053</v>
      </c>
      <c r="K420" s="3">
        <v>9135996674820</v>
      </c>
      <c r="M420" s="3">
        <v>30669405967404</v>
      </c>
      <c r="N420" s="3">
        <v>1942229752036</v>
      </c>
      <c r="O420" s="3">
        <v>5529177853189</v>
      </c>
      <c r="P420">
        <f t="shared" si="104"/>
        <v>6.7442826997001788</v>
      </c>
      <c r="Q420">
        <f t="shared" si="105"/>
        <v>0</v>
      </c>
      <c r="R420" t="str">
        <f t="shared" si="96"/>
        <v>Safe</v>
      </c>
      <c r="S420">
        <f t="shared" si="106"/>
        <v>0.41012438362873099</v>
      </c>
      <c r="T420">
        <f t="shared" si="107"/>
        <v>0.54479822995499749</v>
      </c>
      <c r="U420">
        <f t="shared" si="108"/>
        <v>0.12997034073413888</v>
      </c>
      <c r="V420">
        <f t="shared" si="109"/>
        <v>1.3375464987704742</v>
      </c>
      <c r="X420" s="13">
        <f t="shared" si="97"/>
        <v>4.978466908604867</v>
      </c>
      <c r="Y420" s="10"/>
      <c r="Z420" s="10"/>
      <c r="AB420" s="10" t="str">
        <f t="shared" si="98"/>
        <v>Non-Distress</v>
      </c>
      <c r="AC420" s="10">
        <f t="shared" si="99"/>
        <v>0</v>
      </c>
      <c r="AE420" s="10">
        <f t="shared" si="100"/>
        <v>0</v>
      </c>
      <c r="AG420" s="13">
        <f t="shared" si="101"/>
        <v>0.5</v>
      </c>
      <c r="AH420" s="13">
        <f t="shared" si="102"/>
        <v>0.5</v>
      </c>
      <c r="AI420" s="10">
        <f t="shared" si="103"/>
        <v>0.25</v>
      </c>
    </row>
    <row r="421" spans="1:35" x14ac:dyDescent="0.3">
      <c r="A421" t="s">
        <v>120</v>
      </c>
      <c r="B421">
        <v>2025</v>
      </c>
      <c r="C421" s="3">
        <v>34854215347</v>
      </c>
      <c r="D421" s="3">
        <v>1008954376</v>
      </c>
      <c r="E421" s="3">
        <v>277268301532</v>
      </c>
      <c r="F421" s="3">
        <v>209316224952</v>
      </c>
      <c r="G421" s="3">
        <v>66469782262</v>
      </c>
      <c r="H421" s="3">
        <v>59442881250</v>
      </c>
      <c r="I421" s="3">
        <v>210798519270</v>
      </c>
      <c r="J421" s="3">
        <v>68067911470</v>
      </c>
      <c r="K421" s="3">
        <v>149873343702</v>
      </c>
      <c r="M421" s="3">
        <v>215703608729</v>
      </c>
      <c r="N421" s="3">
        <v>30706934366</v>
      </c>
      <c r="O421" s="3">
        <v>721783437</v>
      </c>
      <c r="P421">
        <f t="shared" si="104"/>
        <v>8.5208786920281341</v>
      </c>
      <c r="Q421">
        <f t="shared" si="105"/>
        <v>0</v>
      </c>
      <c r="R421" t="str">
        <f t="shared" si="96"/>
        <v>Safe</v>
      </c>
      <c r="S421">
        <f t="shared" si="106"/>
        <v>0.54053544120947006</v>
      </c>
      <c r="T421">
        <f t="shared" si="107"/>
        <v>0.2454947467629803</v>
      </c>
      <c r="U421">
        <f t="shared" si="108"/>
        <v>0.12570573395667234</v>
      </c>
      <c r="V421">
        <f t="shared" si="109"/>
        <v>3.1713436105312933</v>
      </c>
      <c r="X421" s="13">
        <f t="shared" si="97"/>
        <v>4.8526832190252378</v>
      </c>
      <c r="Y421" s="10"/>
      <c r="Z421" s="10"/>
      <c r="AB421" s="10" t="str">
        <f t="shared" si="98"/>
        <v>Non-Distress</v>
      </c>
      <c r="AC421" s="10">
        <f t="shared" si="99"/>
        <v>0</v>
      </c>
      <c r="AE421" s="10">
        <f t="shared" si="100"/>
        <v>0</v>
      </c>
      <c r="AG421" s="13">
        <f t="shared" si="101"/>
        <v>0.5</v>
      </c>
      <c r="AH421" s="13">
        <f t="shared" si="102"/>
        <v>0.5</v>
      </c>
      <c r="AI421" s="10">
        <f t="shared" si="103"/>
        <v>0.25</v>
      </c>
    </row>
    <row r="422" spans="1:35" x14ac:dyDescent="0.3">
      <c r="A422" t="s">
        <v>120</v>
      </c>
      <c r="B422">
        <v>2024</v>
      </c>
      <c r="C422" s="3">
        <v>38179553046</v>
      </c>
      <c r="D422" s="3">
        <v>4106386752</v>
      </c>
      <c r="E422" s="3">
        <v>239959066599</v>
      </c>
      <c r="F422" s="3">
        <v>204021015408</v>
      </c>
      <c r="G422" s="3">
        <v>60434683744</v>
      </c>
      <c r="H422" s="3">
        <v>55857498447</v>
      </c>
      <c r="I422" s="3">
        <v>179524382855</v>
      </c>
      <c r="J422" s="3">
        <v>48110977104</v>
      </c>
      <c r="K422" s="3">
        <v>148163516961</v>
      </c>
      <c r="M422" s="3">
        <v>207168060758</v>
      </c>
      <c r="N422" s="3">
        <v>30901926976</v>
      </c>
      <c r="O422" s="3">
        <v>18654688270</v>
      </c>
      <c r="P422">
        <f t="shared" si="104"/>
        <v>8.8924022068430268</v>
      </c>
      <c r="Q422">
        <f t="shared" si="105"/>
        <v>0</v>
      </c>
      <c r="R422" t="str">
        <f t="shared" si="96"/>
        <v>Safe</v>
      </c>
      <c r="S422">
        <f t="shared" si="106"/>
        <v>0.61745329760178957</v>
      </c>
      <c r="T422">
        <f t="shared" si="107"/>
        <v>0.20049660046560833</v>
      </c>
      <c r="U422">
        <f t="shared" si="108"/>
        <v>0.15910860792687842</v>
      </c>
      <c r="V422">
        <f t="shared" si="109"/>
        <v>2.9705522017036006</v>
      </c>
      <c r="X422" s="13">
        <f t="shared" si="97"/>
        <v>5.3282703763658246</v>
      </c>
      <c r="Y422" s="10"/>
      <c r="Z422" s="10"/>
      <c r="AB422" s="10" t="str">
        <f t="shared" si="98"/>
        <v>Non-Distress</v>
      </c>
      <c r="AC422" s="10">
        <f t="shared" si="99"/>
        <v>0</v>
      </c>
      <c r="AE422" s="10">
        <f t="shared" si="100"/>
        <v>0</v>
      </c>
      <c r="AG422" s="13">
        <f t="shared" si="101"/>
        <v>0.5</v>
      </c>
      <c r="AH422" s="13">
        <f t="shared" si="102"/>
        <v>0.5</v>
      </c>
      <c r="AI422" s="10">
        <f t="shared" si="103"/>
        <v>0.25</v>
      </c>
    </row>
    <row r="423" spans="1:35" x14ac:dyDescent="0.3">
      <c r="A423" t="s">
        <v>120</v>
      </c>
      <c r="B423">
        <v>2023</v>
      </c>
      <c r="C423" s="3">
        <v>19241323997</v>
      </c>
      <c r="D423" s="3">
        <v>4588266384</v>
      </c>
      <c r="E423" s="3">
        <v>189822573875</v>
      </c>
      <c r="F423" s="3">
        <v>163621036382</v>
      </c>
      <c r="G423" s="3">
        <v>117977414829</v>
      </c>
      <c r="H423" s="3">
        <v>113496995900</v>
      </c>
      <c r="I423" s="3">
        <v>71845159046</v>
      </c>
      <c r="J423" s="3">
        <v>17209050128</v>
      </c>
      <c r="K423" s="3">
        <v>50124040482</v>
      </c>
      <c r="M423" s="3">
        <v>124461090431</v>
      </c>
      <c r="N423" s="3">
        <v>13187251809</v>
      </c>
      <c r="O423" s="3">
        <v>40303555570</v>
      </c>
      <c r="P423">
        <f t="shared" si="104"/>
        <v>3.3483569608320161</v>
      </c>
      <c r="Q423">
        <f t="shared" si="105"/>
        <v>0</v>
      </c>
      <c r="R423" t="str">
        <f t="shared" si="96"/>
        <v>Safe</v>
      </c>
      <c r="S423">
        <f t="shared" si="106"/>
        <v>0.26405732183890396</v>
      </c>
      <c r="T423">
        <f t="shared" si="107"/>
        <v>9.0658607017584353E-2</v>
      </c>
      <c r="U423">
        <f t="shared" si="108"/>
        <v>0.10136478293498748</v>
      </c>
      <c r="V423">
        <f t="shared" si="109"/>
        <v>0.60897383749368073</v>
      </c>
      <c r="X423" s="13">
        <f t="shared" si="97"/>
        <v>2.427546251256425</v>
      </c>
      <c r="Y423" s="10"/>
      <c r="Z423" s="10"/>
      <c r="AB423" s="10" t="str">
        <f t="shared" si="98"/>
        <v>Non-Distress</v>
      </c>
      <c r="AC423" s="10">
        <f t="shared" si="99"/>
        <v>0</v>
      </c>
      <c r="AE423" s="10">
        <f t="shared" si="100"/>
        <v>0</v>
      </c>
      <c r="AG423" s="13">
        <f t="shared" si="101"/>
        <v>0.5</v>
      </c>
      <c r="AH423" s="13">
        <f t="shared" si="102"/>
        <v>0.5</v>
      </c>
      <c r="AI423" s="10">
        <f t="shared" si="103"/>
        <v>0.25</v>
      </c>
    </row>
    <row r="424" spans="1:35" x14ac:dyDescent="0.3">
      <c r="A424" t="s">
        <v>120</v>
      </c>
      <c r="B424">
        <v>2022</v>
      </c>
      <c r="C424" s="3">
        <v>15167567185</v>
      </c>
      <c r="D424" s="3">
        <v>3220345681</v>
      </c>
      <c r="E424" s="3">
        <v>112020460626</v>
      </c>
      <c r="F424" s="3">
        <v>97552488206</v>
      </c>
      <c r="G424" s="3">
        <v>80051302056</v>
      </c>
      <c r="H424" s="3">
        <v>63811659013</v>
      </c>
      <c r="I424" s="3">
        <v>31969158570</v>
      </c>
      <c r="J424" s="3">
        <v>17521798319</v>
      </c>
      <c r="K424" s="3">
        <v>33740829193</v>
      </c>
      <c r="M424" s="3">
        <v>105168727481</v>
      </c>
      <c r="N424" s="3">
        <v>10659689551</v>
      </c>
      <c r="O424" s="3">
        <v>50886207727</v>
      </c>
      <c r="P424">
        <f t="shared" si="104"/>
        <v>3.8150180482702325</v>
      </c>
      <c r="Q424">
        <f t="shared" si="105"/>
        <v>0</v>
      </c>
      <c r="R424" t="str">
        <f t="shared" si="96"/>
        <v>Safe</v>
      </c>
      <c r="S424">
        <f t="shared" si="106"/>
        <v>0.30120237860518795</v>
      </c>
      <c r="T424">
        <f t="shared" si="107"/>
        <v>0.15641605311282913</v>
      </c>
      <c r="U424">
        <f t="shared" si="108"/>
        <v>0.13539997157875996</v>
      </c>
      <c r="V424">
        <f t="shared" si="109"/>
        <v>0.39935838329819956</v>
      </c>
      <c r="X424" s="13">
        <f t="shared" si="97"/>
        <v>3.0257369562017935</v>
      </c>
      <c r="Y424" s="10"/>
      <c r="Z424" s="10"/>
      <c r="AB424" s="10" t="str">
        <f t="shared" si="98"/>
        <v>Non-Distress</v>
      </c>
      <c r="AC424" s="10">
        <f t="shared" si="99"/>
        <v>0</v>
      </c>
      <c r="AE424" s="10">
        <f t="shared" si="100"/>
        <v>0</v>
      </c>
      <c r="AG424" s="13">
        <f t="shared" si="101"/>
        <v>0.5</v>
      </c>
      <c r="AH424" s="13">
        <f t="shared" si="102"/>
        <v>0.5</v>
      </c>
      <c r="AI424" s="10">
        <f t="shared" si="103"/>
        <v>0.25</v>
      </c>
    </row>
    <row r="425" spans="1:35" x14ac:dyDescent="0.3">
      <c r="A425" t="s">
        <v>121</v>
      </c>
      <c r="B425">
        <v>2025</v>
      </c>
      <c r="C425" s="3">
        <v>27005832956</v>
      </c>
      <c r="D425" s="3">
        <v>704334</v>
      </c>
      <c r="E425" s="3">
        <v>416110994177</v>
      </c>
      <c r="F425" s="3">
        <v>303526241359</v>
      </c>
      <c r="G425" s="3">
        <v>47933741891</v>
      </c>
      <c r="H425" s="3">
        <v>42438385279</v>
      </c>
      <c r="I425" s="3">
        <v>368176281852</v>
      </c>
      <c r="J425" s="3">
        <v>53248928631</v>
      </c>
      <c r="K425" s="3">
        <v>261087856080</v>
      </c>
      <c r="M425" s="3">
        <v>360839166938</v>
      </c>
      <c r="N425" s="3">
        <v>22943852231</v>
      </c>
      <c r="P425">
        <f t="shared" si="104"/>
        <v>13.034353003942957</v>
      </c>
      <c r="Q425">
        <f t="shared" si="105"/>
        <v>0</v>
      </c>
      <c r="R425" t="str">
        <f t="shared" si="96"/>
        <v>Safe</v>
      </c>
      <c r="S425">
        <f t="shared" si="106"/>
        <v>0.62744762751676242</v>
      </c>
      <c r="T425">
        <f t="shared" si="107"/>
        <v>0.12796808874593121</v>
      </c>
      <c r="U425">
        <f t="shared" si="108"/>
        <v>6.4900551376714175E-2</v>
      </c>
      <c r="V425">
        <f t="shared" si="109"/>
        <v>7.680941802733086</v>
      </c>
      <c r="X425" s="13">
        <f t="shared" si="97"/>
        <v>4.8982746412267772</v>
      </c>
      <c r="Y425" s="10"/>
      <c r="Z425" s="10"/>
      <c r="AB425" s="10" t="str">
        <f t="shared" si="98"/>
        <v>Non-Distress</v>
      </c>
      <c r="AC425" s="10">
        <f t="shared" si="99"/>
        <v>0</v>
      </c>
      <c r="AE425" s="10">
        <f t="shared" si="100"/>
        <v>0</v>
      </c>
      <c r="AG425" s="13">
        <f t="shared" si="101"/>
        <v>0.5</v>
      </c>
      <c r="AH425" s="13">
        <f t="shared" si="102"/>
        <v>0.5</v>
      </c>
      <c r="AI425" s="10">
        <f t="shared" si="103"/>
        <v>0.25</v>
      </c>
    </row>
    <row r="426" spans="1:35" x14ac:dyDescent="0.3">
      <c r="A426" t="s">
        <v>121</v>
      </c>
      <c r="B426">
        <v>2024</v>
      </c>
      <c r="C426" s="3">
        <v>35205540730</v>
      </c>
      <c r="D426" s="3">
        <v>319511250</v>
      </c>
      <c r="E426" s="3">
        <v>471016596756</v>
      </c>
      <c r="F426" s="3">
        <v>348000586381</v>
      </c>
      <c r="G426" s="3">
        <v>115554509507</v>
      </c>
      <c r="H426" s="3">
        <v>108547448728</v>
      </c>
      <c r="I426" s="3">
        <v>355461091340</v>
      </c>
      <c r="J426" s="3">
        <v>30305076400</v>
      </c>
      <c r="K426" s="3">
        <v>239453137653</v>
      </c>
      <c r="M426" s="3">
        <v>541183464172</v>
      </c>
      <c r="N426" s="3">
        <v>27060385491</v>
      </c>
      <c r="O426" s="3">
        <v>0</v>
      </c>
      <c r="P426">
        <f t="shared" si="104"/>
        <v>7.2769065693462007</v>
      </c>
      <c r="Q426">
        <f t="shared" si="105"/>
        <v>0</v>
      </c>
      <c r="R426" t="str">
        <f t="shared" si="96"/>
        <v>Safe</v>
      </c>
      <c r="S426">
        <f t="shared" si="106"/>
        <v>0.50837515981850534</v>
      </c>
      <c r="T426">
        <f t="shared" si="107"/>
        <v>6.4339720954034438E-2</v>
      </c>
      <c r="U426">
        <f t="shared" si="108"/>
        <v>7.4743737211106109E-2</v>
      </c>
      <c r="V426">
        <f t="shared" si="109"/>
        <v>3.0761334443504955</v>
      </c>
      <c r="X426" s="13">
        <f t="shared" si="97"/>
        <v>3.8117554157746261</v>
      </c>
      <c r="Y426" s="10"/>
      <c r="Z426" s="10"/>
      <c r="AB426" s="10" t="str">
        <f t="shared" si="98"/>
        <v>Non-Distress</v>
      </c>
      <c r="AC426" s="10">
        <f t="shared" si="99"/>
        <v>0</v>
      </c>
      <c r="AE426" s="10">
        <f t="shared" si="100"/>
        <v>0</v>
      </c>
      <c r="AG426" s="13">
        <f t="shared" si="101"/>
        <v>0.5</v>
      </c>
      <c r="AH426" s="13">
        <f t="shared" si="102"/>
        <v>0.5</v>
      </c>
      <c r="AI426" s="10">
        <f t="shared" si="103"/>
        <v>0.25</v>
      </c>
    </row>
    <row r="427" spans="1:35" x14ac:dyDescent="0.3">
      <c r="A427" t="s">
        <v>121</v>
      </c>
      <c r="B427">
        <v>2023</v>
      </c>
      <c r="C427" s="3">
        <v>33303594572</v>
      </c>
      <c r="D427" s="3">
        <v>14436695</v>
      </c>
      <c r="E427" s="3">
        <v>317065295937</v>
      </c>
      <c r="F427" s="3">
        <v>200955773492</v>
      </c>
      <c r="G427" s="3">
        <v>128080117608</v>
      </c>
      <c r="H427" s="3">
        <v>123209438211</v>
      </c>
      <c r="I427" s="3">
        <v>188985178329</v>
      </c>
      <c r="J427" s="3">
        <v>27114690909</v>
      </c>
      <c r="K427" s="3">
        <v>77746335281</v>
      </c>
      <c r="M427" s="3">
        <v>600000900101</v>
      </c>
      <c r="N427" s="3">
        <v>25823446366</v>
      </c>
      <c r="O427" s="3">
        <v>22000000000</v>
      </c>
      <c r="P427">
        <f t="shared" si="104"/>
        <v>4.1424875788131788</v>
      </c>
      <c r="Q427">
        <f t="shared" si="105"/>
        <v>0</v>
      </c>
      <c r="R427" t="str">
        <f t="shared" si="96"/>
        <v>Safe</v>
      </c>
      <c r="S427">
        <f t="shared" si="106"/>
        <v>0.24520607041285269</v>
      </c>
      <c r="T427">
        <f t="shared" si="107"/>
        <v>8.5517687544043333E-2</v>
      </c>
      <c r="U427">
        <f t="shared" si="108"/>
        <v>0.10503702233819161</v>
      </c>
      <c r="V427">
        <f t="shared" si="109"/>
        <v>1.475523147998701</v>
      </c>
      <c r="X427" s="13">
        <f t="shared" si="97"/>
        <v>2.350468611936539</v>
      </c>
      <c r="Y427" s="10"/>
      <c r="Z427" s="10"/>
      <c r="AB427" s="10" t="str">
        <f t="shared" si="98"/>
        <v>Non-Distress</v>
      </c>
      <c r="AC427" s="10">
        <f t="shared" si="99"/>
        <v>0</v>
      </c>
      <c r="AE427" s="10">
        <f t="shared" si="100"/>
        <v>0</v>
      </c>
      <c r="AG427" s="13">
        <f t="shared" si="101"/>
        <v>0.5</v>
      </c>
      <c r="AH427" s="13">
        <f t="shared" si="102"/>
        <v>0.5</v>
      </c>
      <c r="AI427" s="10">
        <f t="shared" si="103"/>
        <v>0.25</v>
      </c>
    </row>
    <row r="428" spans="1:35" x14ac:dyDescent="0.3">
      <c r="A428" t="s">
        <v>121</v>
      </c>
      <c r="B428">
        <v>2022</v>
      </c>
      <c r="C428" s="3">
        <v>13675451183</v>
      </c>
      <c r="D428" s="3">
        <v>215491</v>
      </c>
      <c r="E428" s="3">
        <v>123510034620</v>
      </c>
      <c r="F428" s="3">
        <v>115731814775</v>
      </c>
      <c r="G428" s="3">
        <v>70887045873</v>
      </c>
      <c r="H428" s="3">
        <v>66284911775</v>
      </c>
      <c r="I428" s="3">
        <v>52622988747</v>
      </c>
      <c r="J428" s="3">
        <v>52291244543</v>
      </c>
      <c r="K428" s="3">
        <v>49446903000</v>
      </c>
      <c r="M428" s="3">
        <v>440044949150</v>
      </c>
      <c r="N428" s="3">
        <v>9775361195</v>
      </c>
      <c r="O428" s="3">
        <v>0</v>
      </c>
      <c r="P428">
        <f t="shared" si="104"/>
        <v>5.5300139377478406</v>
      </c>
      <c r="Q428">
        <f t="shared" si="105"/>
        <v>0</v>
      </c>
      <c r="R428" t="str">
        <f t="shared" si="96"/>
        <v>Safe</v>
      </c>
      <c r="S428">
        <f t="shared" si="106"/>
        <v>0.40034725236805219</v>
      </c>
      <c r="T428">
        <f t="shared" si="107"/>
        <v>0.4233764868084044</v>
      </c>
      <c r="U428">
        <f t="shared" si="108"/>
        <v>0.11072340174686933</v>
      </c>
      <c r="V428">
        <f t="shared" si="109"/>
        <v>0.74234986236100786</v>
      </c>
      <c r="X428" s="13">
        <f t="shared" si="97"/>
        <v>4.402063456667233</v>
      </c>
      <c r="Y428" s="10"/>
      <c r="Z428" s="10"/>
      <c r="AB428" s="10" t="str">
        <f t="shared" si="98"/>
        <v>Non-Distress</v>
      </c>
      <c r="AC428" s="10">
        <f t="shared" si="99"/>
        <v>0</v>
      </c>
      <c r="AE428" s="10">
        <f t="shared" si="100"/>
        <v>0</v>
      </c>
      <c r="AG428" s="13">
        <f t="shared" si="101"/>
        <v>0.5</v>
      </c>
      <c r="AH428" s="13">
        <f t="shared" si="102"/>
        <v>0.5</v>
      </c>
      <c r="AI428" s="10">
        <f t="shared" si="103"/>
        <v>0.25</v>
      </c>
    </row>
    <row r="429" spans="1:35" x14ac:dyDescent="0.3">
      <c r="A429" t="s">
        <v>122</v>
      </c>
      <c r="B429">
        <v>2025</v>
      </c>
      <c r="C429" s="3">
        <v>3854093</v>
      </c>
      <c r="D429" s="3">
        <v>2433121</v>
      </c>
      <c r="E429" s="3">
        <v>120260045</v>
      </c>
      <c r="F429" s="3">
        <v>91426059</v>
      </c>
      <c r="G429" s="3">
        <v>63389613</v>
      </c>
      <c r="H429" s="3">
        <v>61001412</v>
      </c>
      <c r="I429" s="3">
        <v>56870432</v>
      </c>
      <c r="J429" s="3">
        <v>3617932</v>
      </c>
      <c r="K429" s="3">
        <v>30424647</v>
      </c>
      <c r="M429" s="3">
        <v>139826615</v>
      </c>
      <c r="N429" s="3">
        <v>973386</v>
      </c>
      <c r="O429" s="3">
        <v>54328673</v>
      </c>
      <c r="P429">
        <f t="shared" si="104"/>
        <v>2.91506950471691</v>
      </c>
      <c r="Q429">
        <f t="shared" si="105"/>
        <v>0</v>
      </c>
      <c r="R429" t="str">
        <f t="shared" si="96"/>
        <v>Safe</v>
      </c>
      <c r="S429">
        <f t="shared" si="106"/>
        <v>0.25299048407972907</v>
      </c>
      <c r="T429">
        <f t="shared" si="107"/>
        <v>3.0084239532755869E-2</v>
      </c>
      <c r="U429">
        <f t="shared" si="108"/>
        <v>3.2047992331950319E-2</v>
      </c>
      <c r="V429">
        <f t="shared" si="109"/>
        <v>0.89715695219656888</v>
      </c>
      <c r="X429" s="13">
        <f t="shared" si="97"/>
        <v>1.838438808677169</v>
      </c>
      <c r="Y429" s="10"/>
      <c r="Z429" s="10"/>
      <c r="AB429" s="10" t="str">
        <f t="shared" si="98"/>
        <v>Non-Distress</v>
      </c>
      <c r="AC429" s="10">
        <f t="shared" si="99"/>
        <v>0</v>
      </c>
      <c r="AE429" s="10">
        <f t="shared" si="100"/>
        <v>0</v>
      </c>
      <c r="AG429" s="13">
        <f t="shared" si="101"/>
        <v>0.5</v>
      </c>
      <c r="AH429" s="13">
        <f t="shared" si="102"/>
        <v>0.5</v>
      </c>
      <c r="AI429" s="10">
        <f t="shared" si="103"/>
        <v>0.25</v>
      </c>
    </row>
    <row r="430" spans="1:35" x14ac:dyDescent="0.3">
      <c r="A430" t="s">
        <v>122</v>
      </c>
      <c r="B430">
        <v>2024</v>
      </c>
      <c r="C430" s="3">
        <v>3610240</v>
      </c>
      <c r="D430" s="3">
        <v>3301533</v>
      </c>
      <c r="E430" s="3">
        <v>135260257</v>
      </c>
      <c r="F430" s="3">
        <v>104401919</v>
      </c>
      <c r="G430" s="3">
        <v>79412078</v>
      </c>
      <c r="H430" s="3">
        <v>77180827</v>
      </c>
      <c r="I430" s="3">
        <v>55848179</v>
      </c>
      <c r="J430" s="3">
        <v>2595679</v>
      </c>
      <c r="K430" s="3">
        <v>27221092</v>
      </c>
      <c r="M430" s="3">
        <v>155728216</v>
      </c>
      <c r="N430" s="3">
        <v>-18852</v>
      </c>
      <c r="O430" s="3">
        <v>63314609</v>
      </c>
      <c r="P430">
        <f t="shared" si="104"/>
        <v>2.3005566131210635</v>
      </c>
      <c r="Q430">
        <f t="shared" si="105"/>
        <v>0</v>
      </c>
      <c r="R430" t="str">
        <f t="shared" si="96"/>
        <v>Grey Area</v>
      </c>
      <c r="S430">
        <f t="shared" si="106"/>
        <v>0.20124974330042861</v>
      </c>
      <c r="T430">
        <f t="shared" si="107"/>
        <v>1.9190256307142755E-2</v>
      </c>
      <c r="U430">
        <f t="shared" si="108"/>
        <v>2.6691062697004931E-2</v>
      </c>
      <c r="V430">
        <f t="shared" si="109"/>
        <v>0.70327059065246977</v>
      </c>
      <c r="X430" s="13">
        <f t="shared" si="97"/>
        <v>1.4522530561467233</v>
      </c>
      <c r="Y430" s="10"/>
      <c r="Z430" s="10"/>
      <c r="AB430" s="10" t="str">
        <f t="shared" si="98"/>
        <v>Non-Distress</v>
      </c>
      <c r="AC430" s="10">
        <f t="shared" si="99"/>
        <v>0</v>
      </c>
      <c r="AE430" s="10">
        <f t="shared" si="100"/>
        <v>0</v>
      </c>
      <c r="AG430" s="13">
        <f t="shared" si="101"/>
        <v>0.5</v>
      </c>
      <c r="AH430" s="13">
        <f t="shared" si="102"/>
        <v>0.5</v>
      </c>
      <c r="AI430" s="10">
        <f t="shared" si="103"/>
        <v>0.25</v>
      </c>
    </row>
    <row r="431" spans="1:35" x14ac:dyDescent="0.3">
      <c r="A431" t="s">
        <v>122</v>
      </c>
      <c r="B431">
        <v>2023</v>
      </c>
      <c r="C431" s="3">
        <v>-1153432</v>
      </c>
      <c r="D431" s="3">
        <v>3675921</v>
      </c>
      <c r="E431" s="3">
        <v>135817817</v>
      </c>
      <c r="F431" s="3">
        <v>103527467</v>
      </c>
      <c r="G431" s="3">
        <v>80056950</v>
      </c>
      <c r="H431" s="3">
        <v>78069292</v>
      </c>
      <c r="I431" s="3">
        <v>55760867</v>
      </c>
      <c r="J431" s="3">
        <v>2508367</v>
      </c>
      <c r="K431" s="3">
        <v>25458175</v>
      </c>
      <c r="M431" s="3">
        <v>171087110</v>
      </c>
      <c r="N431" s="3">
        <v>-3666646</v>
      </c>
      <c r="O431" s="3">
        <v>58326722</v>
      </c>
      <c r="P431">
        <f t="shared" si="104"/>
        <v>1.9641086291845562</v>
      </c>
      <c r="Q431">
        <f t="shared" si="105"/>
        <v>0</v>
      </c>
      <c r="R431" t="str">
        <f t="shared" si="96"/>
        <v>Grey Area</v>
      </c>
      <c r="S431">
        <f t="shared" si="106"/>
        <v>0.18744355904350898</v>
      </c>
      <c r="T431">
        <f t="shared" si="107"/>
        <v>1.8468615203850611E-2</v>
      </c>
      <c r="U431">
        <f t="shared" si="108"/>
        <v>-8.4924940297045129E-3</v>
      </c>
      <c r="V431">
        <f t="shared" si="109"/>
        <v>0.696515005880189</v>
      </c>
      <c r="X431" s="13">
        <f t="shared" si="97"/>
        <v>1.1950201557223197</v>
      </c>
      <c r="Y431" s="10"/>
      <c r="Z431" s="10"/>
      <c r="AB431" s="10" t="str">
        <f t="shared" si="98"/>
        <v>Non-Distress</v>
      </c>
      <c r="AC431" s="10">
        <f t="shared" si="99"/>
        <v>0</v>
      </c>
      <c r="AE431" s="10">
        <f t="shared" si="100"/>
        <v>0</v>
      </c>
      <c r="AG431" s="13">
        <f t="shared" si="101"/>
        <v>0.5</v>
      </c>
      <c r="AH431" s="13">
        <f t="shared" si="102"/>
        <v>0.5</v>
      </c>
      <c r="AI431" s="10">
        <f t="shared" si="103"/>
        <v>0.25</v>
      </c>
    </row>
    <row r="432" spans="1:35" x14ac:dyDescent="0.3">
      <c r="A432" t="s">
        <v>122</v>
      </c>
      <c r="B432">
        <v>2022</v>
      </c>
      <c r="C432" s="3">
        <v>12084303</v>
      </c>
      <c r="D432" s="3">
        <v>2933612</v>
      </c>
      <c r="E432" s="3">
        <v>196375128</v>
      </c>
      <c r="F432" s="3">
        <v>166834403</v>
      </c>
      <c r="G432" s="3">
        <v>136473263</v>
      </c>
      <c r="H432" s="3">
        <v>134590132</v>
      </c>
      <c r="I432" s="3">
        <v>59901865</v>
      </c>
      <c r="J432" s="3">
        <v>9386666</v>
      </c>
      <c r="K432" s="3">
        <v>32244271</v>
      </c>
      <c r="M432" s="3">
        <v>255347224</v>
      </c>
      <c r="N432" s="3">
        <v>7127218</v>
      </c>
      <c r="O432" s="3">
        <v>96004229</v>
      </c>
      <c r="P432">
        <f t="shared" si="104"/>
        <v>2.1073627334446816</v>
      </c>
      <c r="Q432">
        <f t="shared" si="105"/>
        <v>0</v>
      </c>
      <c r="R432" t="str">
        <f t="shared" si="96"/>
        <v>Grey Area</v>
      </c>
      <c r="S432">
        <f t="shared" si="106"/>
        <v>0.16419732645572102</v>
      </c>
      <c r="T432">
        <f t="shared" si="107"/>
        <v>4.7799668397924606E-2</v>
      </c>
      <c r="U432">
        <f t="shared" si="108"/>
        <v>6.1536830672364984E-2</v>
      </c>
      <c r="V432">
        <f t="shared" si="109"/>
        <v>0.43892747695202394</v>
      </c>
      <c r="X432" s="13">
        <f t="shared" si="97"/>
        <v>1.4767654710502405</v>
      </c>
      <c r="Y432" s="10"/>
      <c r="Z432" s="10"/>
      <c r="AB432" s="10" t="str">
        <f t="shared" si="98"/>
        <v>Non-Distress</v>
      </c>
      <c r="AC432" s="10">
        <f t="shared" si="99"/>
        <v>0</v>
      </c>
      <c r="AE432" s="10">
        <f t="shared" si="100"/>
        <v>0</v>
      </c>
      <c r="AG432" s="13">
        <f t="shared" si="101"/>
        <v>0.5</v>
      </c>
      <c r="AH432" s="13">
        <f t="shared" si="102"/>
        <v>0.5</v>
      </c>
      <c r="AI432" s="10">
        <f t="shared" si="103"/>
        <v>0.25</v>
      </c>
    </row>
    <row r="433" spans="1:35" x14ac:dyDescent="0.3">
      <c r="A433" t="s">
        <v>123</v>
      </c>
      <c r="B433">
        <v>2025</v>
      </c>
      <c r="C433" s="3">
        <v>923328000000</v>
      </c>
      <c r="D433" s="3">
        <v>149881000000</v>
      </c>
      <c r="E433" s="3">
        <v>4202376000000</v>
      </c>
      <c r="F433" s="3">
        <v>1222452000000</v>
      </c>
      <c r="G433" s="3">
        <v>2261878000000</v>
      </c>
      <c r="H433" s="3">
        <v>877390000000</v>
      </c>
      <c r="I433" s="3">
        <v>1940489000000</v>
      </c>
      <c r="J433" s="3">
        <v>494946000000</v>
      </c>
      <c r="K433" s="3">
        <v>345062000000</v>
      </c>
      <c r="M433" s="3">
        <v>2013801000000</v>
      </c>
      <c r="N433" s="3">
        <v>647824000000</v>
      </c>
      <c r="O433" s="3">
        <v>1765506000000</v>
      </c>
      <c r="P433">
        <f t="shared" si="104"/>
        <v>3.2999000286185209</v>
      </c>
      <c r="Q433">
        <f t="shared" si="105"/>
        <v>0</v>
      </c>
      <c r="R433" t="str">
        <f t="shared" si="96"/>
        <v>Safe</v>
      </c>
      <c r="S433">
        <f t="shared" si="106"/>
        <v>8.2111167587098341E-2</v>
      </c>
      <c r="T433">
        <f t="shared" si="107"/>
        <v>0.11777765721106345</v>
      </c>
      <c r="U433">
        <f t="shared" si="108"/>
        <v>0.21971570368762813</v>
      </c>
      <c r="V433">
        <f t="shared" si="109"/>
        <v>0.85791055043640729</v>
      </c>
      <c r="X433" s="13">
        <f t="shared" si="97"/>
        <v>1.9875825459377805</v>
      </c>
      <c r="Y433" s="10"/>
      <c r="Z433" s="10"/>
      <c r="AB433" s="10" t="str">
        <f t="shared" si="98"/>
        <v>Non-Distress</v>
      </c>
      <c r="AC433" s="10">
        <f t="shared" si="99"/>
        <v>0</v>
      </c>
      <c r="AE433" s="10">
        <f t="shared" si="100"/>
        <v>0</v>
      </c>
      <c r="AG433" s="13">
        <f t="shared" si="101"/>
        <v>0.5</v>
      </c>
      <c r="AH433" s="13">
        <f t="shared" si="102"/>
        <v>0.5</v>
      </c>
      <c r="AI433" s="10">
        <f t="shared" si="103"/>
        <v>0.25</v>
      </c>
    </row>
    <row r="434" spans="1:35" x14ac:dyDescent="0.3">
      <c r="A434" t="s">
        <v>123</v>
      </c>
      <c r="B434">
        <v>2024</v>
      </c>
      <c r="C434" s="3">
        <v>573431000000</v>
      </c>
      <c r="D434" s="3">
        <v>166670000000</v>
      </c>
      <c r="E434" s="3">
        <v>3727745000000</v>
      </c>
      <c r="F434" s="3">
        <v>719582000000</v>
      </c>
      <c r="G434" s="3">
        <v>2362686000000</v>
      </c>
      <c r="H434" s="3">
        <v>627232000000</v>
      </c>
      <c r="I434" s="3">
        <v>1365048000000</v>
      </c>
      <c r="J434" s="3">
        <v>-80495000000</v>
      </c>
      <c r="K434" s="3">
        <v>92350000000</v>
      </c>
      <c r="M434" s="3">
        <v>1489899000000</v>
      </c>
      <c r="N434" s="3">
        <v>304622000000</v>
      </c>
      <c r="O434" s="3">
        <v>1997792000000</v>
      </c>
      <c r="P434">
        <f t="shared" si="104"/>
        <v>1.7324840454939232</v>
      </c>
      <c r="Q434">
        <f t="shared" si="105"/>
        <v>0</v>
      </c>
      <c r="R434" t="str">
        <f t="shared" si="96"/>
        <v>Grey Area</v>
      </c>
      <c r="S434">
        <f t="shared" si="106"/>
        <v>2.4773690260465778E-2</v>
      </c>
      <c r="T434">
        <f t="shared" si="107"/>
        <v>-2.1593483459839663E-2</v>
      </c>
      <c r="U434">
        <f t="shared" si="108"/>
        <v>0.15382785034920576</v>
      </c>
      <c r="V434">
        <f t="shared" si="109"/>
        <v>0.57775260868350686</v>
      </c>
      <c r="X434" s="13">
        <f t="shared" si="97"/>
        <v>0.84957746345022778</v>
      </c>
      <c r="Y434" s="10"/>
      <c r="Z434" s="10"/>
      <c r="AB434" s="10" t="str">
        <f t="shared" si="98"/>
        <v>Non-Distress</v>
      </c>
      <c r="AC434" s="10">
        <f t="shared" si="99"/>
        <v>0</v>
      </c>
      <c r="AE434" s="10">
        <f t="shared" si="100"/>
        <v>0</v>
      </c>
      <c r="AG434" s="13">
        <f t="shared" si="101"/>
        <v>0.5</v>
      </c>
      <c r="AH434" s="13">
        <f t="shared" si="102"/>
        <v>0.5</v>
      </c>
      <c r="AI434" s="10">
        <f t="shared" si="103"/>
        <v>0.25</v>
      </c>
    </row>
    <row r="435" spans="1:35" x14ac:dyDescent="0.3">
      <c r="A435" t="s">
        <v>123</v>
      </c>
      <c r="B435">
        <v>2023</v>
      </c>
      <c r="C435" s="3">
        <v>217788916777</v>
      </c>
      <c r="D435" s="3">
        <v>167036967875</v>
      </c>
      <c r="E435" s="3">
        <v>3672336125308</v>
      </c>
      <c r="F435" s="3">
        <v>635764556733</v>
      </c>
      <c r="G435" s="3">
        <v>2611145323378</v>
      </c>
      <c r="H435" s="3">
        <v>678326799086</v>
      </c>
      <c r="I435" s="3">
        <v>1061184467843</v>
      </c>
      <c r="J435" s="3">
        <v>-381945769757</v>
      </c>
      <c r="K435" s="3">
        <v>-42562242353</v>
      </c>
      <c r="M435" s="3">
        <v>1184580702742</v>
      </c>
      <c r="N435" s="3">
        <v>2093017594</v>
      </c>
      <c r="O435" s="3">
        <v>2105733327987</v>
      </c>
      <c r="P435">
        <f t="shared" si="104"/>
        <v>0.41016709387653022</v>
      </c>
      <c r="Q435">
        <f t="shared" si="105"/>
        <v>1</v>
      </c>
      <c r="R435" t="str">
        <f t="shared" si="96"/>
        <v>Distress</v>
      </c>
      <c r="S435">
        <f t="shared" si="106"/>
        <v>-1.1589963690872739E-2</v>
      </c>
      <c r="T435">
        <f t="shared" si="107"/>
        <v>-0.10400621204709742</v>
      </c>
      <c r="U435">
        <f t="shared" si="108"/>
        <v>5.9305278532676246E-2</v>
      </c>
      <c r="V435">
        <f t="shared" si="109"/>
        <v>0.40640574783105576</v>
      </c>
      <c r="X435" s="13">
        <f t="shared" si="97"/>
        <v>-0.10739048926239389</v>
      </c>
      <c r="Y435" s="10"/>
      <c r="Z435" s="10"/>
      <c r="AB435" s="10" t="str">
        <f t="shared" si="98"/>
        <v>Distress</v>
      </c>
      <c r="AC435" s="10">
        <f t="shared" si="99"/>
        <v>1</v>
      </c>
      <c r="AE435" s="10">
        <f t="shared" si="100"/>
        <v>1</v>
      </c>
      <c r="AG435" s="13">
        <f t="shared" si="101"/>
        <v>0.7310585786300049</v>
      </c>
      <c r="AH435" s="13">
        <f t="shared" si="102"/>
        <v>-0.2689414213699951</v>
      </c>
      <c r="AI435" s="10">
        <f t="shared" si="103"/>
        <v>0.19661193324148185</v>
      </c>
    </row>
    <row r="436" spans="1:35" x14ac:dyDescent="0.3">
      <c r="A436" t="s">
        <v>123</v>
      </c>
      <c r="B436">
        <v>2022</v>
      </c>
      <c r="C436" s="3">
        <v>308884080831</v>
      </c>
      <c r="D436" s="3">
        <v>184936375057</v>
      </c>
      <c r="E436" s="3">
        <v>3035284633562</v>
      </c>
      <c r="F436" s="3">
        <v>330696849531</v>
      </c>
      <c r="G436" s="3">
        <v>2405161276788</v>
      </c>
      <c r="H436" s="3">
        <v>337096783702</v>
      </c>
      <c r="I436" s="3">
        <v>630117293247</v>
      </c>
      <c r="J436" s="3">
        <v>-382378937064</v>
      </c>
      <c r="K436" s="3">
        <v>-6399934171</v>
      </c>
      <c r="M436" s="3">
        <v>1134094562861</v>
      </c>
      <c r="N436" s="3">
        <v>70236297960</v>
      </c>
      <c r="O436" s="3">
        <v>2104601624128</v>
      </c>
      <c r="P436">
        <f t="shared" si="104"/>
        <v>0.53442190502031028</v>
      </c>
      <c r="Q436">
        <f t="shared" si="105"/>
        <v>1</v>
      </c>
      <c r="R436" t="str">
        <f t="shared" si="96"/>
        <v>Distress</v>
      </c>
      <c r="S436">
        <f t="shared" si="106"/>
        <v>-2.1085120321943187E-3</v>
      </c>
      <c r="T436">
        <f t="shared" si="107"/>
        <v>-0.125977950415565</v>
      </c>
      <c r="U436">
        <f t="shared" si="108"/>
        <v>0.10176445313087985</v>
      </c>
      <c r="V436">
        <f t="shared" si="109"/>
        <v>0.26198546406355638</v>
      </c>
      <c r="X436" s="13">
        <f t="shared" si="97"/>
        <v>7.7730019224636279E-2</v>
      </c>
      <c r="Y436" s="10"/>
      <c r="Z436" s="10"/>
      <c r="AB436" s="10" t="str">
        <f t="shared" si="98"/>
        <v>Non-Distress</v>
      </c>
      <c r="AC436" s="10">
        <f t="shared" si="99"/>
        <v>0</v>
      </c>
      <c r="AE436" s="10">
        <f t="shared" si="100"/>
        <v>1</v>
      </c>
      <c r="AG436" s="13">
        <f t="shared" si="101"/>
        <v>0.7310585786300049</v>
      </c>
      <c r="AH436" s="13">
        <f t="shared" si="102"/>
        <v>-0.2689414213699951</v>
      </c>
      <c r="AI436" s="10">
        <f t="shared" si="103"/>
        <v>0.19661193324148185</v>
      </c>
    </row>
    <row r="437" spans="1:35" x14ac:dyDescent="0.3">
      <c r="A437" t="s">
        <v>124</v>
      </c>
      <c r="B437">
        <v>2025</v>
      </c>
      <c r="C437" s="3">
        <v>472112361855</v>
      </c>
      <c r="D437" s="3">
        <v>17182886460</v>
      </c>
      <c r="E437" s="3">
        <v>3197846919933</v>
      </c>
      <c r="F437" s="3">
        <v>2437034105390</v>
      </c>
      <c r="G437" s="3">
        <v>445076974586</v>
      </c>
      <c r="H437" s="3">
        <v>235319634570</v>
      </c>
      <c r="I437" s="3">
        <v>2720450596805</v>
      </c>
      <c r="J437" s="3">
        <v>1729414658286</v>
      </c>
      <c r="K437" s="3">
        <v>2201714470820</v>
      </c>
      <c r="M437" s="3">
        <v>2063816900533</v>
      </c>
      <c r="N437" s="3">
        <v>366948755823</v>
      </c>
      <c r="O437" s="3">
        <v>216110049254</v>
      </c>
      <c r="P437">
        <f t="shared" si="104"/>
        <v>13.689615052594977</v>
      </c>
      <c r="Q437">
        <f t="shared" si="105"/>
        <v>0</v>
      </c>
      <c r="R437" t="str">
        <f t="shared" si="96"/>
        <v>Safe</v>
      </c>
      <c r="S437">
        <f t="shared" si="106"/>
        <v>0.68849902010510544</v>
      </c>
      <c r="T437">
        <f t="shared" si="107"/>
        <v>0.54080595525261543</v>
      </c>
      <c r="U437">
        <f t="shared" si="108"/>
        <v>0.14763444707506246</v>
      </c>
      <c r="V437">
        <f t="shared" si="109"/>
        <v>6.1123148402262286</v>
      </c>
      <c r="X437" s="13">
        <f t="shared" si="97"/>
        <v>6.9573631048705957</v>
      </c>
      <c r="Y437" s="10"/>
      <c r="Z437" s="10"/>
      <c r="AB437" s="10" t="str">
        <f t="shared" si="98"/>
        <v>Non-Distress</v>
      </c>
      <c r="AC437" s="10">
        <f t="shared" si="99"/>
        <v>0</v>
      </c>
      <c r="AE437" s="10">
        <f t="shared" si="100"/>
        <v>0</v>
      </c>
      <c r="AG437" s="13">
        <f t="shared" si="101"/>
        <v>0.5</v>
      </c>
      <c r="AH437" s="13">
        <f t="shared" si="102"/>
        <v>0.5</v>
      </c>
      <c r="AI437" s="10">
        <f t="shared" si="103"/>
        <v>0.25</v>
      </c>
    </row>
    <row r="438" spans="1:35" x14ac:dyDescent="0.3">
      <c r="A438" t="s">
        <v>124</v>
      </c>
      <c r="B438">
        <v>2024</v>
      </c>
      <c r="C438" s="3">
        <v>413607626512</v>
      </c>
      <c r="D438" s="3">
        <v>19581586999</v>
      </c>
      <c r="E438" s="3">
        <v>2825331331720</v>
      </c>
      <c r="F438" s="3">
        <v>2261115896471</v>
      </c>
      <c r="G438" s="3">
        <v>329642625834</v>
      </c>
      <c r="H438" s="3">
        <v>295256684531</v>
      </c>
      <c r="I438" s="3">
        <v>2461336346847</v>
      </c>
      <c r="J438" s="3">
        <v>1459018580223</v>
      </c>
      <c r="K438" s="3">
        <v>1965859211940</v>
      </c>
      <c r="M438" s="3">
        <v>1885822041124</v>
      </c>
      <c r="N438" s="3">
        <v>321673462325</v>
      </c>
      <c r="O438" s="3">
        <v>185526712281</v>
      </c>
      <c r="P438">
        <f t="shared" si="104"/>
        <v>15.071690911976207</v>
      </c>
      <c r="Q438">
        <f t="shared" si="105"/>
        <v>0</v>
      </c>
      <c r="R438" t="str">
        <f t="shared" si="96"/>
        <v>Safe</v>
      </c>
      <c r="S438">
        <f t="shared" si="106"/>
        <v>0.69579776002527383</v>
      </c>
      <c r="T438">
        <f t="shared" si="107"/>
        <v>0.51640618707002461</v>
      </c>
      <c r="U438">
        <f t="shared" si="108"/>
        <v>0.14639260955641784</v>
      </c>
      <c r="V438">
        <f t="shared" si="109"/>
        <v>7.466681047755241</v>
      </c>
      <c r="X438" s="13">
        <f t="shared" si="97"/>
        <v>6.9741753266581785</v>
      </c>
      <c r="Y438" s="10"/>
      <c r="Z438" s="10"/>
      <c r="AB438" s="10" t="str">
        <f t="shared" si="98"/>
        <v>Non-Distress</v>
      </c>
      <c r="AC438" s="10">
        <f t="shared" si="99"/>
        <v>0</v>
      </c>
      <c r="AE438" s="10">
        <f t="shared" si="100"/>
        <v>0</v>
      </c>
      <c r="AG438" s="13">
        <f t="shared" si="101"/>
        <v>0.5</v>
      </c>
      <c r="AH438" s="13">
        <f t="shared" si="102"/>
        <v>0.5</v>
      </c>
      <c r="AI438" s="10">
        <f t="shared" si="103"/>
        <v>0.25</v>
      </c>
    </row>
    <row r="439" spans="1:35" x14ac:dyDescent="0.3">
      <c r="A439" t="s">
        <v>124</v>
      </c>
      <c r="B439">
        <v>2023</v>
      </c>
      <c r="C439" s="3">
        <v>344856772502</v>
      </c>
      <c r="D439" s="3">
        <v>19412636966</v>
      </c>
      <c r="E439" s="3">
        <v>2583723220102</v>
      </c>
      <c r="F439" s="3">
        <v>2047267018930</v>
      </c>
      <c r="G439" s="3">
        <v>338315258161</v>
      </c>
      <c r="H439" s="3">
        <v>136134310930</v>
      </c>
      <c r="I439" s="3">
        <v>2218219114052</v>
      </c>
      <c r="J439" s="3">
        <v>1215274605898</v>
      </c>
      <c r="K439" s="3">
        <v>1911132708000</v>
      </c>
      <c r="M439" s="3">
        <v>1736989809989</v>
      </c>
      <c r="N439" s="3">
        <v>259359528929</v>
      </c>
      <c r="O439" s="3">
        <v>189227967505</v>
      </c>
      <c r="P439">
        <f t="shared" si="104"/>
        <v>14.167111784824606</v>
      </c>
      <c r="Q439">
        <f t="shared" si="105"/>
        <v>0</v>
      </c>
      <c r="R439" t="str">
        <f t="shared" si="96"/>
        <v>Safe</v>
      </c>
      <c r="S439">
        <f t="shared" si="106"/>
        <v>0.73968167067235335</v>
      </c>
      <c r="T439">
        <f t="shared" si="107"/>
        <v>0.47035789145016216</v>
      </c>
      <c r="U439">
        <f t="shared" si="108"/>
        <v>0.1334727999574141</v>
      </c>
      <c r="V439">
        <f t="shared" si="109"/>
        <v>6.556662936545349</v>
      </c>
      <c r="X439" s="13">
        <f t="shared" si="97"/>
        <v>6.9898722534411242</v>
      </c>
      <c r="Y439" s="10"/>
      <c r="Z439" s="10"/>
      <c r="AB439" s="10" t="str">
        <f t="shared" si="98"/>
        <v>Non-Distress</v>
      </c>
      <c r="AC439" s="10">
        <f t="shared" si="99"/>
        <v>0</v>
      </c>
      <c r="AE439" s="10">
        <f t="shared" si="100"/>
        <v>0</v>
      </c>
      <c r="AG439" s="13">
        <f t="shared" si="101"/>
        <v>0.5</v>
      </c>
      <c r="AH439" s="13">
        <f t="shared" si="102"/>
        <v>0.5</v>
      </c>
      <c r="AI439" s="10">
        <f t="shared" si="103"/>
        <v>0.25</v>
      </c>
    </row>
    <row r="440" spans="1:35" x14ac:dyDescent="0.3">
      <c r="A440" t="s">
        <v>124</v>
      </c>
      <c r="B440">
        <v>2022</v>
      </c>
      <c r="C440" s="3">
        <v>392762020065</v>
      </c>
      <c r="D440" s="3">
        <v>20653353447</v>
      </c>
      <c r="E440" s="3">
        <v>2507318880538</v>
      </c>
      <c r="F440" s="3">
        <v>2112847404176</v>
      </c>
      <c r="G440" s="3">
        <v>437898413298</v>
      </c>
      <c r="H440" s="3">
        <v>230946309130</v>
      </c>
      <c r="I440" s="3">
        <v>2044367666881</v>
      </c>
      <c r="J440" s="3">
        <v>1041691631469</v>
      </c>
      <c r="K440" s="3">
        <v>1881901095046</v>
      </c>
      <c r="M440" s="3">
        <v>1739054461606</v>
      </c>
      <c r="N440" s="3">
        <v>285781929134</v>
      </c>
      <c r="O440" s="3">
        <v>199697896822</v>
      </c>
      <c r="P440">
        <f t="shared" si="104"/>
        <v>12.232775828989414</v>
      </c>
      <c r="Q440">
        <f t="shared" si="105"/>
        <v>0</v>
      </c>
      <c r="R440" t="str">
        <f t="shared" si="96"/>
        <v>Safe</v>
      </c>
      <c r="S440">
        <f t="shared" si="106"/>
        <v>0.7505631252783439</v>
      </c>
      <c r="T440">
        <f t="shared" si="107"/>
        <v>0.41546037065914898</v>
      </c>
      <c r="U440">
        <f t="shared" si="108"/>
        <v>0.15664621804336445</v>
      </c>
      <c r="V440">
        <f t="shared" si="109"/>
        <v>4.6685888891078502</v>
      </c>
      <c r="X440" s="13">
        <f t="shared" si="97"/>
        <v>6.9074337598127036</v>
      </c>
      <c r="Y440" s="10"/>
      <c r="Z440" s="10"/>
      <c r="AB440" s="10" t="str">
        <f t="shared" si="98"/>
        <v>Non-Distress</v>
      </c>
      <c r="AC440" s="10">
        <f t="shared" si="99"/>
        <v>0</v>
      </c>
      <c r="AE440" s="10">
        <f t="shared" si="100"/>
        <v>0</v>
      </c>
      <c r="AG440" s="13">
        <f t="shared" si="101"/>
        <v>0.5</v>
      </c>
      <c r="AH440" s="13">
        <f t="shared" si="102"/>
        <v>0.5</v>
      </c>
      <c r="AI440" s="10">
        <f t="shared" si="103"/>
        <v>0.25</v>
      </c>
    </row>
    <row r="441" spans="1:35" x14ac:dyDescent="0.3">
      <c r="A441" t="s">
        <v>125</v>
      </c>
      <c r="B441">
        <v>2025</v>
      </c>
      <c r="C441" s="3">
        <v>32239746019</v>
      </c>
      <c r="D441" s="3">
        <v>60302104</v>
      </c>
      <c r="E441" s="3">
        <v>2999626692839</v>
      </c>
      <c r="F441" s="3">
        <v>137464162906</v>
      </c>
      <c r="G441" s="3">
        <v>2894126475647</v>
      </c>
      <c r="H441" s="3">
        <v>2893367850002</v>
      </c>
      <c r="I441" s="3">
        <v>105364902399</v>
      </c>
      <c r="J441" s="3">
        <v>25174781986</v>
      </c>
      <c r="K441" s="3">
        <v>-2755903687096</v>
      </c>
      <c r="M441" s="3">
        <v>216588323439</v>
      </c>
      <c r="N441" s="3">
        <v>28578766364</v>
      </c>
      <c r="O441" s="3">
        <v>1150019744</v>
      </c>
      <c r="P441">
        <f t="shared" si="104"/>
        <v>-5.8891798987759127</v>
      </c>
      <c r="Q441">
        <f t="shared" si="105"/>
        <v>1</v>
      </c>
      <c r="R441" t="str">
        <f t="shared" si="96"/>
        <v>Distress</v>
      </c>
      <c r="S441">
        <f t="shared" si="106"/>
        <v>-0.91874888754496042</v>
      </c>
      <c r="T441">
        <f t="shared" si="107"/>
        <v>8.3926383393305853E-3</v>
      </c>
      <c r="U441">
        <f t="shared" si="108"/>
        <v>1.0747919431429867E-2</v>
      </c>
      <c r="V441">
        <f t="shared" si="109"/>
        <v>3.6406460908189928E-2</v>
      </c>
      <c r="X441" s="13">
        <f t="shared" si="97"/>
        <v>-5.5342881357208471</v>
      </c>
      <c r="Y441" s="10"/>
      <c r="Z441" s="10"/>
      <c r="AB441" s="10" t="str">
        <f t="shared" si="98"/>
        <v>Distress</v>
      </c>
      <c r="AC441" s="10">
        <f t="shared" si="99"/>
        <v>1</v>
      </c>
      <c r="AE441" s="10">
        <f t="shared" si="100"/>
        <v>1</v>
      </c>
      <c r="AG441" s="13">
        <f t="shared" si="101"/>
        <v>0.7310585786300049</v>
      </c>
      <c r="AH441" s="13">
        <f t="shared" si="102"/>
        <v>-0.2689414213699951</v>
      </c>
      <c r="AI441" s="10">
        <f t="shared" si="103"/>
        <v>0.19661193324148185</v>
      </c>
    </row>
    <row r="442" spans="1:35" x14ac:dyDescent="0.3">
      <c r="A442" t="s">
        <v>125</v>
      </c>
      <c r="B442">
        <v>2024</v>
      </c>
      <c r="C442" s="3">
        <v>2656139231</v>
      </c>
      <c r="D442" s="3">
        <v>1484710567</v>
      </c>
      <c r="E442" s="3">
        <v>66918151108</v>
      </c>
      <c r="F442" s="3">
        <v>26979387200</v>
      </c>
      <c r="G442" s="3">
        <v>9131514671</v>
      </c>
      <c r="H442" s="3">
        <v>8508478671</v>
      </c>
      <c r="I442" s="3">
        <v>57685632437</v>
      </c>
      <c r="J442" s="3">
        <v>-3403984378</v>
      </c>
      <c r="K442" s="3">
        <v>18470908529</v>
      </c>
      <c r="M442" s="3">
        <v>54702368426</v>
      </c>
      <c r="N442" s="3">
        <v>899757695</v>
      </c>
      <c r="O442" s="3">
        <v>2835577461</v>
      </c>
      <c r="P442">
        <f t="shared" si="104"/>
        <v>8.5446735086679233</v>
      </c>
      <c r="Q442">
        <f t="shared" si="105"/>
        <v>0</v>
      </c>
      <c r="R442" t="str">
        <f t="shared" si="96"/>
        <v>Safe</v>
      </c>
      <c r="S442">
        <f t="shared" si="106"/>
        <v>0.27602239785719096</v>
      </c>
      <c r="T442">
        <f t="shared" si="107"/>
        <v>-5.0867878470017336E-2</v>
      </c>
      <c r="U442">
        <f t="shared" si="108"/>
        <v>3.9692358306690594E-2</v>
      </c>
      <c r="V442">
        <f t="shared" si="109"/>
        <v>6.3172030616343298</v>
      </c>
      <c r="X442" s="13">
        <f t="shared" si="97"/>
        <v>1.983699625712503</v>
      </c>
      <c r="Y442" s="10"/>
      <c r="Z442" s="10"/>
      <c r="AB442" s="10" t="str">
        <f t="shared" si="98"/>
        <v>Non-Distress</v>
      </c>
      <c r="AC442" s="10">
        <f t="shared" si="99"/>
        <v>0</v>
      </c>
      <c r="AE442" s="10">
        <f t="shared" si="100"/>
        <v>0</v>
      </c>
      <c r="AG442" s="13">
        <f t="shared" si="101"/>
        <v>0.5</v>
      </c>
      <c r="AH442" s="13">
        <f t="shared" si="102"/>
        <v>0.5</v>
      </c>
      <c r="AI442" s="10">
        <f t="shared" si="103"/>
        <v>0.25</v>
      </c>
    </row>
    <row r="443" spans="1:35" x14ac:dyDescent="0.3">
      <c r="A443" t="s">
        <v>125</v>
      </c>
      <c r="B443">
        <v>2023</v>
      </c>
      <c r="C443" s="3">
        <v>5100092458</v>
      </c>
      <c r="D443" s="3">
        <v>2196944550</v>
      </c>
      <c r="E443" s="3">
        <v>77129464461</v>
      </c>
      <c r="F443" s="3">
        <v>35187194101</v>
      </c>
      <c r="G443" s="3">
        <v>22395995979</v>
      </c>
      <c r="H443" s="3">
        <v>19027146366</v>
      </c>
      <c r="I443" s="3">
        <v>54733468482</v>
      </c>
      <c r="J443" s="3">
        <v>-4217932713</v>
      </c>
      <c r="K443" s="3">
        <v>16160047735</v>
      </c>
      <c r="M443" s="3">
        <v>52931736227</v>
      </c>
      <c r="N443" s="3">
        <v>2288792262</v>
      </c>
      <c r="O443" s="3">
        <v>9595659452</v>
      </c>
      <c r="P443">
        <f t="shared" si="104"/>
        <v>4.2066054205549168</v>
      </c>
      <c r="Q443">
        <f t="shared" si="105"/>
        <v>0</v>
      </c>
      <c r="R443" t="str">
        <f t="shared" si="96"/>
        <v>Safe</v>
      </c>
      <c r="S443">
        <f t="shared" si="106"/>
        <v>0.20951847452760702</v>
      </c>
      <c r="T443">
        <f t="shared" si="107"/>
        <v>-5.4686399581223198E-2</v>
      </c>
      <c r="U443">
        <f t="shared" si="108"/>
        <v>6.612378931502666E-2</v>
      </c>
      <c r="V443">
        <f t="shared" si="109"/>
        <v>2.4438952629444031</v>
      </c>
      <c r="X443" s="13">
        <f t="shared" si="97"/>
        <v>1.5261778933296597</v>
      </c>
      <c r="Y443" s="10"/>
      <c r="Z443" s="10"/>
      <c r="AB443" s="10" t="str">
        <f t="shared" si="98"/>
        <v>Non-Distress</v>
      </c>
      <c r="AC443" s="10">
        <f t="shared" si="99"/>
        <v>0</v>
      </c>
      <c r="AE443" s="10">
        <f t="shared" si="100"/>
        <v>0</v>
      </c>
      <c r="AG443" s="13">
        <f t="shared" si="101"/>
        <v>0.5</v>
      </c>
      <c r="AH443" s="13">
        <f t="shared" si="102"/>
        <v>0.5</v>
      </c>
      <c r="AI443" s="10">
        <f t="shared" si="103"/>
        <v>0.25</v>
      </c>
    </row>
    <row r="444" spans="1:35" x14ac:dyDescent="0.3">
      <c r="A444" t="s">
        <v>125</v>
      </c>
      <c r="B444">
        <v>2022</v>
      </c>
      <c r="C444" s="3">
        <v>3943413979</v>
      </c>
      <c r="D444" s="3">
        <v>1366407967</v>
      </c>
      <c r="E444" s="3">
        <v>43686325854</v>
      </c>
      <c r="F444" s="3">
        <v>10379496268</v>
      </c>
      <c r="G444" s="3">
        <v>37928981754</v>
      </c>
      <c r="H444" s="3">
        <v>26127727446</v>
      </c>
      <c r="I444" s="3">
        <v>5757344100</v>
      </c>
      <c r="J444" s="3">
        <v>-6538187835</v>
      </c>
      <c r="K444" s="3">
        <v>-15748231178</v>
      </c>
      <c r="M444" s="3">
        <v>44150213935</v>
      </c>
      <c r="N444" s="3">
        <v>2052793241</v>
      </c>
      <c r="O444" s="3">
        <v>15429581569</v>
      </c>
      <c r="P444">
        <f t="shared" si="104"/>
        <v>-2.0867013796777165</v>
      </c>
      <c r="Q444">
        <f t="shared" si="105"/>
        <v>1</v>
      </c>
      <c r="R444" t="str">
        <f t="shared" si="96"/>
        <v>Distress</v>
      </c>
      <c r="S444">
        <f t="shared" si="106"/>
        <v>-0.36048422178213607</v>
      </c>
      <c r="T444">
        <f t="shared" si="107"/>
        <v>-0.14966211296529419</v>
      </c>
      <c r="U444">
        <f t="shared" si="108"/>
        <v>9.0266551418833357E-2</v>
      </c>
      <c r="V444">
        <f t="shared" si="109"/>
        <v>0.15179274090037573</v>
      </c>
      <c r="X444" s="13">
        <f t="shared" si="97"/>
        <v>-2.2506263589144999</v>
      </c>
      <c r="Y444" s="10"/>
      <c r="Z444" s="10"/>
      <c r="AB444" s="10" t="str">
        <f t="shared" si="98"/>
        <v>Distress</v>
      </c>
      <c r="AC444" s="10">
        <f t="shared" si="99"/>
        <v>1</v>
      </c>
      <c r="AE444" s="10">
        <f t="shared" si="100"/>
        <v>1</v>
      </c>
      <c r="AG444" s="13">
        <f t="shared" si="101"/>
        <v>0.7310585786300049</v>
      </c>
      <c r="AH444" s="13">
        <f t="shared" si="102"/>
        <v>-0.2689414213699951</v>
      </c>
      <c r="AI444" s="10">
        <f t="shared" si="103"/>
        <v>0.19661193324148185</v>
      </c>
    </row>
    <row r="445" spans="1:35" x14ac:dyDescent="0.3">
      <c r="A445" t="s">
        <v>126</v>
      </c>
      <c r="B445">
        <v>2025</v>
      </c>
      <c r="C445" s="3">
        <v>522152211000</v>
      </c>
      <c r="D445" s="3">
        <v>7910125000</v>
      </c>
      <c r="E445" s="3">
        <v>3480808548000</v>
      </c>
      <c r="F445" s="3">
        <v>2026606859000</v>
      </c>
      <c r="G445" s="3">
        <v>535640286000</v>
      </c>
      <c r="H445" s="3">
        <v>401739436000</v>
      </c>
      <c r="I445" s="3">
        <v>2937778731000</v>
      </c>
      <c r="J445" s="3">
        <v>1833039604000</v>
      </c>
      <c r="K445" s="3">
        <v>1624867423000</v>
      </c>
      <c r="M445" s="3">
        <v>5192050520000</v>
      </c>
      <c r="N445" s="3">
        <v>400585982000</v>
      </c>
      <c r="O445" s="3">
        <v>137595728000</v>
      </c>
      <c r="P445">
        <f t="shared" si="104"/>
        <v>11.545917410756072</v>
      </c>
      <c r="Q445">
        <f t="shared" si="105"/>
        <v>0</v>
      </c>
      <c r="R445" t="str">
        <f t="shared" si="96"/>
        <v>Safe</v>
      </c>
      <c r="S445">
        <f t="shared" si="106"/>
        <v>0.46680746745856361</v>
      </c>
      <c r="T445">
        <f t="shared" si="107"/>
        <v>0.52661316436183381</v>
      </c>
      <c r="U445">
        <f t="shared" si="108"/>
        <v>0.15000888552173253</v>
      </c>
      <c r="V445">
        <f t="shared" si="109"/>
        <v>5.484611235906927</v>
      </c>
      <c r="X445" s="13">
        <f t="shared" si="97"/>
        <v>5.5403962629468717</v>
      </c>
      <c r="Y445" s="10"/>
      <c r="Z445" s="10"/>
      <c r="AB445" s="10" t="str">
        <f t="shared" si="98"/>
        <v>Non-Distress</v>
      </c>
      <c r="AC445" s="10">
        <f t="shared" si="99"/>
        <v>0</v>
      </c>
      <c r="AE445" s="10">
        <f t="shared" si="100"/>
        <v>0</v>
      </c>
      <c r="AG445" s="13">
        <f t="shared" si="101"/>
        <v>0.5</v>
      </c>
      <c r="AH445" s="13">
        <f t="shared" si="102"/>
        <v>0.5</v>
      </c>
      <c r="AI445" s="10">
        <f t="shared" si="103"/>
        <v>0.25</v>
      </c>
    </row>
    <row r="446" spans="1:35" x14ac:dyDescent="0.3">
      <c r="A446" t="s">
        <v>126</v>
      </c>
      <c r="B446">
        <v>2024</v>
      </c>
      <c r="C446" s="3">
        <v>631323753000</v>
      </c>
      <c r="D446" s="3">
        <v>10735077000</v>
      </c>
      <c r="E446" s="3">
        <v>3583499263000</v>
      </c>
      <c r="F446" s="3">
        <v>2198938910000</v>
      </c>
      <c r="G446" s="3">
        <v>623366866000</v>
      </c>
      <c r="H446" s="3">
        <v>500242749000</v>
      </c>
      <c r="I446" s="3">
        <v>2952288442000</v>
      </c>
      <c r="J446" s="3">
        <v>1829646789000</v>
      </c>
      <c r="K446" s="3">
        <v>1698696161000</v>
      </c>
      <c r="M446" s="3">
        <v>5245897681000</v>
      </c>
      <c r="N446" s="3">
        <v>484971111000</v>
      </c>
      <c r="O446" s="3">
        <v>156062738000</v>
      </c>
      <c r="P446">
        <f t="shared" si="104"/>
        <v>10.930867245764858</v>
      </c>
      <c r="Q446">
        <f t="shared" si="105"/>
        <v>0</v>
      </c>
      <c r="R446" t="str">
        <f t="shared" si="96"/>
        <v>Safe</v>
      </c>
      <c r="S446">
        <f t="shared" si="106"/>
        <v>0.47403279206422988</v>
      </c>
      <c r="T446">
        <f t="shared" si="107"/>
        <v>0.51057546122341702</v>
      </c>
      <c r="U446">
        <f t="shared" si="108"/>
        <v>0.17617521496892241</v>
      </c>
      <c r="V446">
        <f t="shared" si="109"/>
        <v>4.7360368396609642</v>
      </c>
      <c r="X446" s="13">
        <f t="shared" si="97"/>
        <v>5.6264088323035022</v>
      </c>
      <c r="Y446" s="10"/>
      <c r="Z446" s="10"/>
      <c r="AB446" s="10" t="str">
        <f t="shared" si="98"/>
        <v>Non-Distress</v>
      </c>
      <c r="AC446" s="10">
        <f t="shared" si="99"/>
        <v>0</v>
      </c>
      <c r="AE446" s="10">
        <f t="shared" si="100"/>
        <v>0</v>
      </c>
      <c r="AG446" s="13">
        <f t="shared" si="101"/>
        <v>0.5</v>
      </c>
      <c r="AH446" s="13">
        <f t="shared" si="102"/>
        <v>0.5</v>
      </c>
      <c r="AI446" s="10">
        <f t="shared" si="103"/>
        <v>0.25</v>
      </c>
    </row>
    <row r="447" spans="1:35" x14ac:dyDescent="0.3">
      <c r="A447" t="s">
        <v>126</v>
      </c>
      <c r="B447">
        <v>2023</v>
      </c>
      <c r="C447" s="3">
        <v>487733846000</v>
      </c>
      <c r="D447" s="3">
        <v>8511641000</v>
      </c>
      <c r="E447" s="3">
        <v>3196352644000</v>
      </c>
      <c r="F447" s="3">
        <v>1888286135000</v>
      </c>
      <c r="G447" s="3">
        <v>565828079000</v>
      </c>
      <c r="H447" s="3">
        <v>459184137000</v>
      </c>
      <c r="I447" s="3">
        <v>2623656089000</v>
      </c>
      <c r="J447" s="3">
        <v>1644065228000</v>
      </c>
      <c r="K447" s="3">
        <v>1429101998000</v>
      </c>
      <c r="M447" s="3">
        <v>4703224343000</v>
      </c>
      <c r="N447" s="3">
        <v>374153078000</v>
      </c>
      <c r="O447" s="3">
        <v>171632126000</v>
      </c>
      <c r="P447">
        <f t="shared" si="104"/>
        <v>10.503900009931016</v>
      </c>
      <c r="Q447">
        <f t="shared" si="105"/>
        <v>0</v>
      </c>
      <c r="R447" t="str">
        <f t="shared" si="96"/>
        <v>Safe</v>
      </c>
      <c r="S447">
        <f t="shared" si="106"/>
        <v>0.44710398293587034</v>
      </c>
      <c r="T447">
        <f t="shared" si="107"/>
        <v>0.51435664681309179</v>
      </c>
      <c r="U447">
        <f t="shared" si="108"/>
        <v>0.1525907496206792</v>
      </c>
      <c r="V447">
        <f t="shared" si="109"/>
        <v>4.6368432150572012</v>
      </c>
      <c r="X447" s="13">
        <f t="shared" si="97"/>
        <v>5.3558671642046427</v>
      </c>
      <c r="Y447" s="10"/>
      <c r="Z447" s="10"/>
      <c r="AB447" s="10" t="str">
        <f t="shared" si="98"/>
        <v>Non-Distress</v>
      </c>
      <c r="AC447" s="10">
        <f t="shared" si="99"/>
        <v>0</v>
      </c>
      <c r="AE447" s="10">
        <f t="shared" si="100"/>
        <v>0</v>
      </c>
      <c r="AG447" s="13">
        <f t="shared" si="101"/>
        <v>0.5</v>
      </c>
      <c r="AH447" s="13">
        <f t="shared" si="102"/>
        <v>0.5</v>
      </c>
      <c r="AI447" s="10">
        <f t="shared" si="103"/>
        <v>0.25</v>
      </c>
    </row>
    <row r="448" spans="1:35" x14ac:dyDescent="0.3">
      <c r="A448" t="s">
        <v>126</v>
      </c>
      <c r="B448">
        <v>2022</v>
      </c>
      <c r="C448" s="3">
        <v>464032354000</v>
      </c>
      <c r="D448" s="3">
        <v>10559365000</v>
      </c>
      <c r="E448" s="3">
        <v>3040363137000</v>
      </c>
      <c r="F448" s="3">
        <v>1856333656000</v>
      </c>
      <c r="G448" s="3">
        <v>594336031000</v>
      </c>
      <c r="H448" s="3">
        <v>492231450000</v>
      </c>
      <c r="I448" s="3">
        <v>2438817856000</v>
      </c>
      <c r="J448" s="3">
        <v>1450024238000</v>
      </c>
      <c r="K448" s="3">
        <v>1364102206000</v>
      </c>
      <c r="M448" s="3">
        <v>5030424255000</v>
      </c>
      <c r="N448" s="3">
        <v>352857039000</v>
      </c>
      <c r="O448" s="3">
        <v>236054055000</v>
      </c>
      <c r="P448">
        <f t="shared" si="104"/>
        <v>9.8322493370744404</v>
      </c>
      <c r="Q448">
        <f t="shared" si="105"/>
        <v>0</v>
      </c>
      <c r="R448" t="str">
        <f t="shared" si="96"/>
        <v>Safe</v>
      </c>
      <c r="S448">
        <f t="shared" si="106"/>
        <v>0.44866423664970256</v>
      </c>
      <c r="T448">
        <f t="shared" si="107"/>
        <v>0.47692468717101144</v>
      </c>
      <c r="U448">
        <f t="shared" si="108"/>
        <v>0.15262399032303489</v>
      </c>
      <c r="V448">
        <f t="shared" si="109"/>
        <v>4.1034326185753329</v>
      </c>
      <c r="X448" s="13">
        <f t="shared" si="97"/>
        <v>5.2199618777015875</v>
      </c>
      <c r="Y448" s="10"/>
      <c r="Z448" s="10"/>
      <c r="AB448" s="10" t="str">
        <f t="shared" si="98"/>
        <v>Non-Distress</v>
      </c>
      <c r="AC448" s="10">
        <f t="shared" si="99"/>
        <v>0</v>
      </c>
      <c r="AE448" s="10">
        <f t="shared" si="100"/>
        <v>0</v>
      </c>
      <c r="AG448" s="13">
        <f t="shared" si="101"/>
        <v>0.5</v>
      </c>
      <c r="AH448" s="13">
        <f t="shared" si="102"/>
        <v>0.5</v>
      </c>
      <c r="AI448" s="10">
        <f t="shared" si="103"/>
        <v>0.25</v>
      </c>
    </row>
    <row r="449" spans="1:35" x14ac:dyDescent="0.3">
      <c r="A449" t="s">
        <v>127</v>
      </c>
      <c r="B449">
        <v>2025</v>
      </c>
      <c r="C449" s="3">
        <v>45262918</v>
      </c>
      <c r="D449" s="3">
        <v>2418929</v>
      </c>
      <c r="E449" s="3">
        <v>208914376</v>
      </c>
      <c r="F449" s="3">
        <v>157812316</v>
      </c>
      <c r="G449" s="3">
        <v>149771873</v>
      </c>
      <c r="H449" s="3">
        <v>46258135</v>
      </c>
      <c r="I449" s="3">
        <v>79285165</v>
      </c>
      <c r="J449" s="3">
        <v>-281144010</v>
      </c>
      <c r="K449" s="3">
        <v>111554181</v>
      </c>
      <c r="M449" s="3">
        <v>273265832</v>
      </c>
      <c r="N449" s="3">
        <v>26222045</v>
      </c>
      <c r="O449" s="3">
        <v>86645973</v>
      </c>
      <c r="P449">
        <f t="shared" si="104"/>
        <v>1.1275243443716945</v>
      </c>
      <c r="Q449">
        <f t="shared" si="105"/>
        <v>0</v>
      </c>
      <c r="R449" t="str">
        <f t="shared" si="96"/>
        <v>Grey Area</v>
      </c>
      <c r="S449">
        <f t="shared" si="106"/>
        <v>0.53397082161545451</v>
      </c>
      <c r="T449">
        <f t="shared" si="107"/>
        <v>-1.3457379783189263</v>
      </c>
      <c r="U449">
        <f t="shared" si="108"/>
        <v>0.21665774690392775</v>
      </c>
      <c r="V449">
        <f t="shared" si="109"/>
        <v>0.52937286161868324</v>
      </c>
      <c r="X449" s="13">
        <f t="shared" si="97"/>
        <v>-7.6408891930923345E-2</v>
      </c>
      <c r="Y449" s="10"/>
      <c r="Z449" s="10"/>
      <c r="AB449" s="10" t="str">
        <f t="shared" si="98"/>
        <v>Distress</v>
      </c>
      <c r="AC449" s="10">
        <f t="shared" si="99"/>
        <v>1</v>
      </c>
      <c r="AE449" s="10">
        <f t="shared" si="100"/>
        <v>0</v>
      </c>
      <c r="AG449" s="13">
        <f t="shared" si="101"/>
        <v>0.5</v>
      </c>
      <c r="AH449" s="13">
        <f t="shared" si="102"/>
        <v>0.5</v>
      </c>
      <c r="AI449" s="10">
        <f t="shared" si="103"/>
        <v>0.25</v>
      </c>
    </row>
    <row r="450" spans="1:35" x14ac:dyDescent="0.3">
      <c r="A450" t="s">
        <v>127</v>
      </c>
      <c r="B450">
        <v>2024</v>
      </c>
      <c r="C450" s="3">
        <v>-443067386</v>
      </c>
      <c r="D450" s="3">
        <v>7560736</v>
      </c>
      <c r="E450" s="3">
        <v>257608595</v>
      </c>
      <c r="F450" s="3">
        <v>196434201</v>
      </c>
      <c r="G450" s="3">
        <v>378695344</v>
      </c>
      <c r="H450" s="3">
        <v>373887166</v>
      </c>
      <c r="I450" s="3">
        <v>-103647799</v>
      </c>
      <c r="J450" s="3">
        <v>-307366055</v>
      </c>
      <c r="K450" s="3">
        <v>-177452965</v>
      </c>
      <c r="M450" s="3">
        <v>319930644</v>
      </c>
      <c r="N450" s="3">
        <v>-448310037</v>
      </c>
      <c r="O450" s="3">
        <v>336461103</v>
      </c>
      <c r="P450">
        <f t="shared" si="104"/>
        <v>-20.253787231390664</v>
      </c>
      <c r="Q450">
        <f t="shared" si="105"/>
        <v>1</v>
      </c>
      <c r="R450" t="str">
        <f t="shared" ref="R450:R513" si="110">IF(P450&lt;1.1, "Distress", IF(P450&lt;=2.6, "Grey Area", "Safe"))</f>
        <v>Distress</v>
      </c>
      <c r="S450">
        <f t="shared" si="106"/>
        <v>-0.68884722188714242</v>
      </c>
      <c r="T450">
        <f t="shared" si="107"/>
        <v>-1.1931513969865797</v>
      </c>
      <c r="U450">
        <f t="shared" si="108"/>
        <v>-1.7199247020465291</v>
      </c>
      <c r="V450">
        <f t="shared" si="109"/>
        <v>-0.27369705131626865</v>
      </c>
      <c r="X450" s="13">
        <f t="shared" ref="X450:X513" si="111">(S450 * $T$729) + (T450 * $T$730) + (U450 * $T$731) + (V450 * $T$732)</f>
        <v>-16.452495864113033</v>
      </c>
      <c r="Y450" s="10"/>
      <c r="Z450" s="10"/>
      <c r="AB450" s="10" t="str">
        <f t="shared" si="98"/>
        <v>Distress</v>
      </c>
      <c r="AC450" s="10">
        <f t="shared" si="99"/>
        <v>1</v>
      </c>
      <c r="AE450" s="10">
        <f t="shared" si="100"/>
        <v>1</v>
      </c>
      <c r="AG450" s="13">
        <f t="shared" si="101"/>
        <v>0.7310585786300049</v>
      </c>
      <c r="AH450" s="13">
        <f t="shared" si="102"/>
        <v>-0.2689414213699951</v>
      </c>
      <c r="AI450" s="10">
        <f t="shared" si="103"/>
        <v>0.19661193324148185</v>
      </c>
    </row>
    <row r="451" spans="1:35" x14ac:dyDescent="0.3">
      <c r="A451" t="s">
        <v>127</v>
      </c>
      <c r="B451">
        <v>2023</v>
      </c>
      <c r="C451" s="3">
        <v>23228103</v>
      </c>
      <c r="D451" s="3">
        <v>25398505</v>
      </c>
      <c r="E451" s="3">
        <v>696766629</v>
      </c>
      <c r="F451" s="3">
        <v>624562400</v>
      </c>
      <c r="G451" s="3">
        <v>363112480</v>
      </c>
      <c r="H451" s="3">
        <v>185115895</v>
      </c>
      <c r="I451" s="3">
        <v>343485808</v>
      </c>
      <c r="J451" s="3">
        <v>140943975</v>
      </c>
      <c r="K451" s="3">
        <v>439446505</v>
      </c>
      <c r="M451" s="3">
        <v>581615182</v>
      </c>
      <c r="N451" s="3">
        <v>-1216507</v>
      </c>
      <c r="O451" s="3">
        <v>326677725</v>
      </c>
      <c r="P451">
        <f t="shared" si="104"/>
        <v>6.0140654416015318</v>
      </c>
      <c r="Q451">
        <f t="shared" si="105"/>
        <v>0</v>
      </c>
      <c r="R451" t="str">
        <f t="shared" si="110"/>
        <v>Safe</v>
      </c>
      <c r="S451">
        <f t="shared" si="106"/>
        <v>0.63069396080391216</v>
      </c>
      <c r="T451">
        <f t="shared" si="107"/>
        <v>0.20228290095104426</v>
      </c>
      <c r="U451">
        <f t="shared" si="108"/>
        <v>3.3336991229526866E-2</v>
      </c>
      <c r="V451">
        <f t="shared" si="109"/>
        <v>0.94594878149051775</v>
      </c>
      <c r="X451" s="13">
        <f t="shared" si="111"/>
        <v>4.7196763252191829</v>
      </c>
      <c r="Y451" s="10"/>
      <c r="Z451" s="10"/>
      <c r="AB451" s="10" t="str">
        <f t="shared" ref="AB451:AB514" si="112">IF(X451 &lt; AA451, "Distress", "Non-Distress")</f>
        <v>Non-Distress</v>
      </c>
      <c r="AC451" s="10">
        <f t="shared" ref="AC451:AC514" si="113">IF(X451 &lt; AA451, 1, 0)</f>
        <v>0</v>
      </c>
      <c r="AE451" s="10">
        <f t="shared" ref="AE451:AE514" si="114">IF(VALUE(TRIM(P451))&lt;=1.1, 1, 0)</f>
        <v>0</v>
      </c>
      <c r="AG451" s="13">
        <f t="shared" ref="AG451:AG514" si="115">1/(1+EXP(-Q451))</f>
        <v>0.5</v>
      </c>
      <c r="AH451" s="13">
        <f t="shared" ref="AH451:AH514" si="116">AG451-Q451</f>
        <v>0.5</v>
      </c>
      <c r="AI451" s="10">
        <f t="shared" ref="AI451:AI514" si="117">AG451*(1-AG451)</f>
        <v>0.25</v>
      </c>
    </row>
    <row r="452" spans="1:35" x14ac:dyDescent="0.3">
      <c r="A452" t="s">
        <v>127</v>
      </c>
      <c r="B452">
        <v>2022</v>
      </c>
      <c r="C452" s="3">
        <v>28798277</v>
      </c>
      <c r="D452" s="3">
        <v>21954339</v>
      </c>
      <c r="E452" s="3">
        <v>724645099</v>
      </c>
      <c r="F452" s="3">
        <v>627439979</v>
      </c>
      <c r="G452" s="3">
        <v>383626680</v>
      </c>
      <c r="H452" s="3">
        <v>38535487</v>
      </c>
      <c r="I452" s="3">
        <v>344575582</v>
      </c>
      <c r="J452" s="3">
        <v>142227229</v>
      </c>
      <c r="K452" s="3">
        <v>588904492</v>
      </c>
      <c r="M452" s="3">
        <v>690043746</v>
      </c>
      <c r="N452" s="3">
        <v>3683107</v>
      </c>
      <c r="O452" s="3">
        <v>345742237</v>
      </c>
      <c r="P452">
        <f t="shared" si="104"/>
        <v>7.181202030038178</v>
      </c>
      <c r="Q452">
        <f t="shared" si="105"/>
        <v>0</v>
      </c>
      <c r="R452" t="str">
        <f t="shared" si="110"/>
        <v>Safe</v>
      </c>
      <c r="S452">
        <f t="shared" si="106"/>
        <v>0.81267987986488821</v>
      </c>
      <c r="T452">
        <f t="shared" si="107"/>
        <v>0.19627156686255323</v>
      </c>
      <c r="U452">
        <f t="shared" si="108"/>
        <v>3.9741215444279158E-2</v>
      </c>
      <c r="V452">
        <f t="shared" si="109"/>
        <v>0.8982054689209833</v>
      </c>
      <c r="X452" s="13">
        <f t="shared" si="111"/>
        <v>5.8411915031500357</v>
      </c>
      <c r="Y452" s="10"/>
      <c r="Z452" s="10"/>
      <c r="AB452" s="10" t="str">
        <f t="shared" si="112"/>
        <v>Non-Distress</v>
      </c>
      <c r="AC452" s="10">
        <f t="shared" si="113"/>
        <v>0</v>
      </c>
      <c r="AE452" s="10">
        <f t="shared" si="114"/>
        <v>0</v>
      </c>
      <c r="AG452" s="13">
        <f t="shared" si="115"/>
        <v>0.5</v>
      </c>
      <c r="AH452" s="13">
        <f t="shared" si="116"/>
        <v>0.5</v>
      </c>
      <c r="AI452" s="10">
        <f t="shared" si="117"/>
        <v>0.25</v>
      </c>
    </row>
    <row r="453" spans="1:35" x14ac:dyDescent="0.3">
      <c r="A453" t="s">
        <v>128</v>
      </c>
      <c r="B453">
        <v>2025</v>
      </c>
      <c r="C453" s="3">
        <v>-9910085011</v>
      </c>
      <c r="D453" s="3">
        <v>884392984</v>
      </c>
      <c r="E453" s="3">
        <v>100265506760</v>
      </c>
      <c r="F453" s="3">
        <v>63108868624</v>
      </c>
      <c r="G453" s="3">
        <v>34340175462</v>
      </c>
      <c r="H453" s="3">
        <v>17899997200</v>
      </c>
      <c r="I453" s="3">
        <v>68362951669</v>
      </c>
      <c r="J453" s="3">
        <v>-67948672490</v>
      </c>
      <c r="K453" s="3">
        <v>45208871424</v>
      </c>
      <c r="M453" s="3">
        <v>232835392352</v>
      </c>
      <c r="N453" s="3">
        <v>-11152102819</v>
      </c>
      <c r="O453" s="3">
        <v>22981331133</v>
      </c>
      <c r="P453">
        <f t="shared" si="104"/>
        <v>2.1746885227933888</v>
      </c>
      <c r="Q453">
        <f t="shared" si="105"/>
        <v>0</v>
      </c>
      <c r="R453" t="str">
        <f t="shared" si="110"/>
        <v>Grey Area</v>
      </c>
      <c r="S453">
        <f t="shared" si="106"/>
        <v>0.45089156665027363</v>
      </c>
      <c r="T453">
        <f t="shared" si="107"/>
        <v>-0.67768741899090956</v>
      </c>
      <c r="U453">
        <f t="shared" si="108"/>
        <v>-9.8838427403765305E-2</v>
      </c>
      <c r="V453">
        <f t="shared" si="109"/>
        <v>1.9907572034583449</v>
      </c>
      <c r="X453" s="13">
        <f t="shared" si="111"/>
        <v>0.14204186672216615</v>
      </c>
      <c r="Y453" s="10"/>
      <c r="Z453" s="10"/>
      <c r="AB453" s="10" t="str">
        <f t="shared" si="112"/>
        <v>Non-Distress</v>
      </c>
      <c r="AC453" s="10">
        <f t="shared" si="113"/>
        <v>0</v>
      </c>
      <c r="AE453" s="10">
        <f t="shared" si="114"/>
        <v>0</v>
      </c>
      <c r="AG453" s="13">
        <f t="shared" si="115"/>
        <v>0.5</v>
      </c>
      <c r="AH453" s="13">
        <f t="shared" si="116"/>
        <v>0.5</v>
      </c>
      <c r="AI453" s="10">
        <f t="shared" si="117"/>
        <v>0.25</v>
      </c>
    </row>
    <row r="454" spans="1:35" x14ac:dyDescent="0.3">
      <c r="A454" t="s">
        <v>128</v>
      </c>
      <c r="B454">
        <v>2024</v>
      </c>
      <c r="C454" s="3">
        <v>1518587195</v>
      </c>
      <c r="D454" s="3">
        <v>1095301405</v>
      </c>
      <c r="E454" s="3">
        <v>92206187958</v>
      </c>
      <c r="F454" s="3">
        <v>58884059588</v>
      </c>
      <c r="G454" s="3">
        <v>26771373832</v>
      </c>
      <c r="H454" s="3">
        <v>7671937946</v>
      </c>
      <c r="I454" s="3">
        <v>67872350299</v>
      </c>
      <c r="J454" s="3">
        <v>-68439273860</v>
      </c>
      <c r="K454" s="3">
        <v>51212121642</v>
      </c>
      <c r="M454" s="3">
        <v>246983652208</v>
      </c>
      <c r="N454" s="3">
        <v>-348920404</v>
      </c>
      <c r="O454" s="3">
        <v>16846862039</v>
      </c>
      <c r="P454">
        <f t="shared" si="104"/>
        <v>3.9964696205380781</v>
      </c>
      <c r="Q454">
        <f t="shared" si="105"/>
        <v>0</v>
      </c>
      <c r="R454" t="str">
        <f t="shared" si="110"/>
        <v>Safe</v>
      </c>
      <c r="S454">
        <f t="shared" si="106"/>
        <v>0.55540872880817027</v>
      </c>
      <c r="T454">
        <f t="shared" si="107"/>
        <v>-0.74224165834915712</v>
      </c>
      <c r="U454">
        <f t="shared" si="108"/>
        <v>1.6469471611728681E-2</v>
      </c>
      <c r="V454">
        <f t="shared" si="109"/>
        <v>2.5352583967084921</v>
      </c>
      <c r="X454" s="13">
        <f t="shared" si="111"/>
        <v>1.1504368791863282</v>
      </c>
      <c r="Y454" s="10"/>
      <c r="Z454" s="10"/>
      <c r="AB454" s="10" t="str">
        <f t="shared" si="112"/>
        <v>Non-Distress</v>
      </c>
      <c r="AC454" s="10">
        <f t="shared" si="113"/>
        <v>0</v>
      </c>
      <c r="AE454" s="10">
        <f t="shared" si="114"/>
        <v>0</v>
      </c>
      <c r="AG454" s="13">
        <f t="shared" si="115"/>
        <v>0.5</v>
      </c>
      <c r="AH454" s="13">
        <f t="shared" si="116"/>
        <v>0.5</v>
      </c>
      <c r="AI454" s="10">
        <f t="shared" si="117"/>
        <v>0.25</v>
      </c>
    </row>
    <row r="455" spans="1:35" x14ac:dyDescent="0.3">
      <c r="A455" t="s">
        <v>128</v>
      </c>
      <c r="B455">
        <v>2023</v>
      </c>
      <c r="C455" s="3">
        <v>9207624041</v>
      </c>
      <c r="D455" s="3">
        <v>714217664</v>
      </c>
      <c r="E455" s="3">
        <v>104552819861</v>
      </c>
      <c r="F455" s="3">
        <v>70846464279</v>
      </c>
      <c r="G455" s="3">
        <v>37720639232</v>
      </c>
      <c r="H455" s="3">
        <v>15846869617</v>
      </c>
      <c r="I455" s="3">
        <v>69269462651</v>
      </c>
      <c r="J455" s="3">
        <v>-67042161508</v>
      </c>
      <c r="K455" s="3">
        <v>54999594662</v>
      </c>
      <c r="M455" s="3">
        <v>273941926884</v>
      </c>
      <c r="N455" s="3">
        <v>9203977250</v>
      </c>
      <c r="O455" s="3">
        <v>29612777187</v>
      </c>
      <c r="P455">
        <f t="shared" si="104"/>
        <v>3.8804680126809563</v>
      </c>
      <c r="Q455">
        <f t="shared" si="105"/>
        <v>0</v>
      </c>
      <c r="R455" t="str">
        <f t="shared" si="110"/>
        <v>Safe</v>
      </c>
      <c r="S455">
        <f t="shared" si="106"/>
        <v>0.52604601898944858</v>
      </c>
      <c r="T455">
        <f t="shared" si="107"/>
        <v>-0.64122767417589166</v>
      </c>
      <c r="U455">
        <f t="shared" si="108"/>
        <v>8.8066721234695292E-2</v>
      </c>
      <c r="V455">
        <f t="shared" si="109"/>
        <v>1.8363809325965985</v>
      </c>
      <c r="X455" s="13">
        <f t="shared" si="111"/>
        <v>1.6183741679664247</v>
      </c>
      <c r="Y455" s="10"/>
      <c r="Z455" s="10"/>
      <c r="AB455" s="10" t="str">
        <f t="shared" si="112"/>
        <v>Non-Distress</v>
      </c>
      <c r="AC455" s="10">
        <f t="shared" si="113"/>
        <v>0</v>
      </c>
      <c r="AE455" s="10">
        <f t="shared" si="114"/>
        <v>0</v>
      </c>
      <c r="AG455" s="13">
        <f t="shared" si="115"/>
        <v>0.5</v>
      </c>
      <c r="AH455" s="13">
        <f t="shared" si="116"/>
        <v>0.5</v>
      </c>
      <c r="AI455" s="10">
        <f t="shared" si="117"/>
        <v>0.25</v>
      </c>
    </row>
    <row r="456" spans="1:35" x14ac:dyDescent="0.3">
      <c r="A456" t="s">
        <v>128</v>
      </c>
      <c r="B456">
        <v>2022</v>
      </c>
      <c r="C456" s="3">
        <v>7092554622</v>
      </c>
      <c r="D456" s="3">
        <v>1468723730</v>
      </c>
      <c r="E456" s="3">
        <v>102809758188</v>
      </c>
      <c r="F456" s="3">
        <v>55296068186</v>
      </c>
      <c r="G456" s="3">
        <v>41631404260</v>
      </c>
      <c r="H456" s="3">
        <v>23290157438</v>
      </c>
      <c r="I456" s="3">
        <v>63615449962</v>
      </c>
      <c r="J456" s="3">
        <v>-72696174197</v>
      </c>
      <c r="K456" s="3">
        <v>32005910748</v>
      </c>
      <c r="M456" s="3">
        <v>228289602674</v>
      </c>
      <c r="N456" s="3">
        <v>4932611284</v>
      </c>
      <c r="O456" s="3">
        <v>29035381986</v>
      </c>
      <c r="P456">
        <f t="shared" si="104"/>
        <v>1.8051408874069532</v>
      </c>
      <c r="Q456">
        <f t="shared" si="105"/>
        <v>0</v>
      </c>
      <c r="R456" t="str">
        <f t="shared" si="110"/>
        <v>Grey Area</v>
      </c>
      <c r="S456">
        <f t="shared" si="106"/>
        <v>0.31131199325917436</v>
      </c>
      <c r="T456">
        <f t="shared" si="107"/>
        <v>-0.70709410739072365</v>
      </c>
      <c r="U456">
        <f t="shared" si="108"/>
        <v>6.8987173464900201E-2</v>
      </c>
      <c r="V456">
        <f t="shared" si="109"/>
        <v>1.5280639962251419</v>
      </c>
      <c r="X456" s="13">
        <f t="shared" si="111"/>
        <v>-1.5494015573620012E-2</v>
      </c>
      <c r="Y456" s="10"/>
      <c r="Z456" s="10"/>
      <c r="AB456" s="10" t="str">
        <f t="shared" si="112"/>
        <v>Distress</v>
      </c>
      <c r="AC456" s="10">
        <f t="shared" si="113"/>
        <v>1</v>
      </c>
      <c r="AE456" s="10">
        <f t="shared" si="114"/>
        <v>0</v>
      </c>
      <c r="AG456" s="13">
        <f t="shared" si="115"/>
        <v>0.5</v>
      </c>
      <c r="AH456" s="13">
        <f t="shared" si="116"/>
        <v>0.5</v>
      </c>
      <c r="AI456" s="10">
        <f t="shared" si="117"/>
        <v>0.25</v>
      </c>
    </row>
    <row r="457" spans="1:35" x14ac:dyDescent="0.3">
      <c r="A457" t="s">
        <v>129</v>
      </c>
      <c r="B457">
        <v>2025</v>
      </c>
      <c r="C457" s="3">
        <v>58486824429</v>
      </c>
      <c r="D457" s="3">
        <v>13087659415</v>
      </c>
      <c r="E457" s="3">
        <v>602767984550</v>
      </c>
      <c r="F457" s="3">
        <v>175718303032</v>
      </c>
      <c r="G457" s="3">
        <v>170297175275</v>
      </c>
      <c r="H457" s="3">
        <v>108768402788</v>
      </c>
      <c r="I457" s="3">
        <v>432470809275</v>
      </c>
      <c r="J457" s="3">
        <v>73609179761</v>
      </c>
      <c r="K457" s="3">
        <v>66949900244</v>
      </c>
      <c r="M457" s="3">
        <v>546459899632</v>
      </c>
      <c r="N457" s="3">
        <v>34562284733</v>
      </c>
      <c r="O457" s="3">
        <v>138358094032</v>
      </c>
      <c r="P457">
        <f t="shared" si="104"/>
        <v>4.4452571662603608</v>
      </c>
      <c r="Q457">
        <f t="shared" si="105"/>
        <v>0</v>
      </c>
      <c r="R457" t="str">
        <f t="shared" si="110"/>
        <v>Safe</v>
      </c>
      <c r="S457">
        <f t="shared" si="106"/>
        <v>0.11107076347789414</v>
      </c>
      <c r="T457">
        <f t="shared" si="107"/>
        <v>0.12211859562507019</v>
      </c>
      <c r="U457">
        <f t="shared" si="108"/>
        <v>9.7030409590621647E-2</v>
      </c>
      <c r="V457">
        <f t="shared" si="109"/>
        <v>2.5395066511034941</v>
      </c>
      <c r="X457" s="13">
        <f t="shared" si="111"/>
        <v>1.6575805766145255</v>
      </c>
      <c r="Y457" s="10"/>
      <c r="Z457" s="10"/>
      <c r="AB457" s="10" t="str">
        <f t="shared" si="112"/>
        <v>Non-Distress</v>
      </c>
      <c r="AC457" s="10">
        <f t="shared" si="113"/>
        <v>0</v>
      </c>
      <c r="AE457" s="10">
        <f t="shared" si="114"/>
        <v>0</v>
      </c>
      <c r="AG457" s="13">
        <f t="shared" si="115"/>
        <v>0.5</v>
      </c>
      <c r="AH457" s="13">
        <f t="shared" si="116"/>
        <v>0.5</v>
      </c>
      <c r="AI457" s="10">
        <f t="shared" si="117"/>
        <v>0.25</v>
      </c>
    </row>
    <row r="458" spans="1:35" x14ac:dyDescent="0.3">
      <c r="A458" t="s">
        <v>129</v>
      </c>
      <c r="B458">
        <v>2024</v>
      </c>
      <c r="C458" s="3">
        <v>35179070444</v>
      </c>
      <c r="D458" s="3">
        <v>4752327592</v>
      </c>
      <c r="E458" s="3">
        <v>597455837299</v>
      </c>
      <c r="F458" s="3">
        <v>159827413024</v>
      </c>
      <c r="G458" s="3">
        <v>198188351812</v>
      </c>
      <c r="H458" s="3">
        <v>108257490777</v>
      </c>
      <c r="I458" s="3">
        <v>399267485487</v>
      </c>
      <c r="J458" s="3">
        <v>47628664510</v>
      </c>
      <c r="K458" s="3">
        <v>51569922247</v>
      </c>
      <c r="M458" s="3">
        <v>420551076256</v>
      </c>
      <c r="N458" s="3">
        <v>23836978048</v>
      </c>
      <c r="O458" s="3">
        <v>153855663668</v>
      </c>
      <c r="P458">
        <f t="shared" si="104"/>
        <v>3.3371152470925494</v>
      </c>
      <c r="Q458">
        <f t="shared" si="105"/>
        <v>0</v>
      </c>
      <c r="R458" t="str">
        <f t="shared" si="110"/>
        <v>Safe</v>
      </c>
      <c r="S458">
        <f t="shared" si="106"/>
        <v>8.6315873119826178E-2</v>
      </c>
      <c r="T458">
        <f t="shared" si="107"/>
        <v>7.9719138280280918E-2</v>
      </c>
      <c r="U458">
        <f t="shared" si="108"/>
        <v>5.8881457419579022E-2</v>
      </c>
      <c r="V458">
        <f t="shared" si="109"/>
        <v>2.0145860331173355</v>
      </c>
      <c r="X458" s="13">
        <f t="shared" si="111"/>
        <v>1.1602214760065968</v>
      </c>
      <c r="Y458" s="10"/>
      <c r="Z458" s="10"/>
      <c r="AB458" s="10" t="str">
        <f t="shared" si="112"/>
        <v>Non-Distress</v>
      </c>
      <c r="AC458" s="10">
        <f t="shared" si="113"/>
        <v>0</v>
      </c>
      <c r="AE458" s="10">
        <f t="shared" si="114"/>
        <v>0</v>
      </c>
      <c r="AG458" s="13">
        <f t="shared" si="115"/>
        <v>0.5</v>
      </c>
      <c r="AH458" s="13">
        <f t="shared" si="116"/>
        <v>0.5</v>
      </c>
      <c r="AI458" s="10">
        <f t="shared" si="117"/>
        <v>0.25</v>
      </c>
    </row>
    <row r="459" spans="1:35" x14ac:dyDescent="0.3">
      <c r="A459" t="s">
        <v>129</v>
      </c>
      <c r="B459">
        <v>2023</v>
      </c>
      <c r="C459" s="3">
        <v>48945402799</v>
      </c>
      <c r="D459" s="3">
        <v>5419695932</v>
      </c>
      <c r="E459" s="3">
        <v>465660284991</v>
      </c>
      <c r="F459" s="3">
        <v>196079533527</v>
      </c>
      <c r="G459" s="3">
        <v>79973392949</v>
      </c>
      <c r="H459" s="3">
        <v>42736218974</v>
      </c>
      <c r="I459" s="3">
        <v>385686892042</v>
      </c>
      <c r="J459" s="3">
        <v>38988123516</v>
      </c>
      <c r="K459" s="3">
        <v>153343314553</v>
      </c>
      <c r="M459" s="3">
        <v>439902625251</v>
      </c>
      <c r="N459" s="3">
        <v>33988123516</v>
      </c>
      <c r="O459" s="3">
        <v>46471311165</v>
      </c>
      <c r="P459">
        <f t="shared" si="104"/>
        <v>8.2033376574617858</v>
      </c>
      <c r="Q459">
        <f t="shared" si="105"/>
        <v>0</v>
      </c>
      <c r="R459" t="str">
        <f t="shared" si="110"/>
        <v>Safe</v>
      </c>
      <c r="S459">
        <f t="shared" si="106"/>
        <v>0.32930296934376468</v>
      </c>
      <c r="T459">
        <f t="shared" si="107"/>
        <v>8.3726537934738277E-2</v>
      </c>
      <c r="U459">
        <f t="shared" si="108"/>
        <v>0.10510967839987898</v>
      </c>
      <c r="V459">
        <f t="shared" si="109"/>
        <v>4.8226901200497672</v>
      </c>
      <c r="X459" s="13">
        <f t="shared" si="111"/>
        <v>3.002737980614441</v>
      </c>
      <c r="Y459" s="10"/>
      <c r="Z459" s="10"/>
      <c r="AB459" s="10" t="str">
        <f t="shared" si="112"/>
        <v>Non-Distress</v>
      </c>
      <c r="AC459" s="10">
        <f t="shared" si="113"/>
        <v>0</v>
      </c>
      <c r="AE459" s="10">
        <f t="shared" si="114"/>
        <v>0</v>
      </c>
      <c r="AG459" s="13">
        <f t="shared" si="115"/>
        <v>0.5</v>
      </c>
      <c r="AH459" s="13">
        <f t="shared" si="116"/>
        <v>0.5</v>
      </c>
      <c r="AI459" s="10">
        <f t="shared" si="117"/>
        <v>0.25</v>
      </c>
    </row>
    <row r="460" spans="1:35" x14ac:dyDescent="0.3">
      <c r="A460" t="s">
        <v>129</v>
      </c>
      <c r="B460">
        <v>2022</v>
      </c>
      <c r="C460" s="3">
        <v>32288453220</v>
      </c>
      <c r="D460" s="3">
        <v>5686731728</v>
      </c>
      <c r="E460" s="3">
        <v>453707374402</v>
      </c>
      <c r="F460" s="3">
        <v>226425815577</v>
      </c>
      <c r="G460" s="3">
        <v>95986888698</v>
      </c>
      <c r="H460" s="3">
        <v>56544808997</v>
      </c>
      <c r="I460" s="3">
        <v>357720485704</v>
      </c>
      <c r="J460" s="3">
        <v>39841353405</v>
      </c>
      <c r="K460" s="3">
        <v>169881006580</v>
      </c>
      <c r="M460" s="3">
        <v>339197903920</v>
      </c>
      <c r="N460" s="3">
        <v>20594943805</v>
      </c>
      <c r="O460" s="3">
        <v>60288376508</v>
      </c>
      <c r="P460">
        <f t="shared" si="104"/>
        <v>7.1338579675856693</v>
      </c>
      <c r="Q460">
        <f t="shared" si="105"/>
        <v>0</v>
      </c>
      <c r="R460" t="str">
        <f t="shared" si="110"/>
        <v>Safe</v>
      </c>
      <c r="S460">
        <f t="shared" si="106"/>
        <v>0.37442857701818993</v>
      </c>
      <c r="T460">
        <f t="shared" si="107"/>
        <v>8.7812884808213892E-2</v>
      </c>
      <c r="U460">
        <f t="shared" si="108"/>
        <v>7.1165810920655978E-2</v>
      </c>
      <c r="V460">
        <f t="shared" si="109"/>
        <v>3.7267640461759601</v>
      </c>
      <c r="X460" s="13">
        <f t="shared" si="111"/>
        <v>3.0806589117892127</v>
      </c>
      <c r="Y460" s="10"/>
      <c r="Z460" s="10"/>
      <c r="AB460" s="10" t="str">
        <f t="shared" si="112"/>
        <v>Non-Distress</v>
      </c>
      <c r="AC460" s="10">
        <f t="shared" si="113"/>
        <v>0</v>
      </c>
      <c r="AE460" s="10">
        <f t="shared" si="114"/>
        <v>0</v>
      </c>
      <c r="AG460" s="13">
        <f t="shared" si="115"/>
        <v>0.5</v>
      </c>
      <c r="AH460" s="13">
        <f t="shared" si="116"/>
        <v>0.5</v>
      </c>
      <c r="AI460" s="10">
        <f t="shared" si="117"/>
        <v>0.25</v>
      </c>
    </row>
    <row r="461" spans="1:35" x14ac:dyDescent="0.3">
      <c r="A461" t="s">
        <v>130</v>
      </c>
      <c r="B461">
        <v>2025</v>
      </c>
      <c r="C461" s="3">
        <v>93892668000</v>
      </c>
      <c r="D461" s="3">
        <v>48003668000</v>
      </c>
      <c r="E461" s="3">
        <v>1387176261000</v>
      </c>
      <c r="F461" s="3">
        <v>642034508000</v>
      </c>
      <c r="G461" s="3">
        <v>959702590000</v>
      </c>
      <c r="H461" s="3">
        <v>280773944000</v>
      </c>
      <c r="I461" s="3">
        <v>414519489000</v>
      </c>
      <c r="J461" s="3">
        <v>-350334686000</v>
      </c>
      <c r="K461" s="3">
        <v>361260564000</v>
      </c>
      <c r="M461" s="3">
        <v>940879809000</v>
      </c>
      <c r="N461" s="3">
        <v>28031391000</v>
      </c>
      <c r="O461" s="3">
        <v>706657464000</v>
      </c>
      <c r="P461">
        <f t="shared" si="104"/>
        <v>1.7934640716123349</v>
      </c>
      <c r="Q461">
        <f t="shared" si="105"/>
        <v>0</v>
      </c>
      <c r="R461" t="str">
        <f t="shared" si="110"/>
        <v>Grey Area</v>
      </c>
      <c r="S461">
        <f t="shared" si="106"/>
        <v>0.26042873869508931</v>
      </c>
      <c r="T461">
        <f t="shared" si="107"/>
        <v>-0.25255239427716819</v>
      </c>
      <c r="U461">
        <f t="shared" si="108"/>
        <v>6.7686184257733636E-2</v>
      </c>
      <c r="V461">
        <f t="shared" si="109"/>
        <v>0.43192494562299766</v>
      </c>
      <c r="X461" s="13">
        <f t="shared" si="111"/>
        <v>1.1099367400173503</v>
      </c>
      <c r="Y461" s="10"/>
      <c r="Z461" s="10"/>
      <c r="AB461" s="10" t="str">
        <f t="shared" si="112"/>
        <v>Non-Distress</v>
      </c>
      <c r="AC461" s="10">
        <f t="shared" si="113"/>
        <v>0</v>
      </c>
      <c r="AE461" s="10">
        <f t="shared" si="114"/>
        <v>0</v>
      </c>
      <c r="AG461" s="13">
        <f t="shared" si="115"/>
        <v>0.5</v>
      </c>
      <c r="AH461" s="13">
        <f t="shared" si="116"/>
        <v>0.5</v>
      </c>
      <c r="AI461" s="10">
        <f t="shared" si="117"/>
        <v>0.25</v>
      </c>
    </row>
    <row r="462" spans="1:35" x14ac:dyDescent="0.3">
      <c r="A462" t="s">
        <v>130</v>
      </c>
      <c r="B462">
        <v>2024</v>
      </c>
      <c r="C462" s="3">
        <v>-297851413000</v>
      </c>
      <c r="D462" s="3">
        <v>59398262000</v>
      </c>
      <c r="E462" s="3">
        <v>1430039358000</v>
      </c>
      <c r="F462" s="3">
        <v>631111980000</v>
      </c>
      <c r="G462" s="3">
        <v>1036917007000</v>
      </c>
      <c r="H462" s="3">
        <v>662944253000</v>
      </c>
      <c r="I462" s="3">
        <v>379753679000</v>
      </c>
      <c r="J462" s="3">
        <v>-376781704000</v>
      </c>
      <c r="K462" s="3">
        <v>-31832273000</v>
      </c>
      <c r="M462" s="3">
        <v>744694626000</v>
      </c>
      <c r="N462" s="3">
        <v>-285069166000</v>
      </c>
      <c r="O462" s="3">
        <v>746288881000</v>
      </c>
      <c r="P462">
        <f t="shared" si="104"/>
        <v>-2.0200667240765533</v>
      </c>
      <c r="Q462">
        <f t="shared" si="105"/>
        <v>1</v>
      </c>
      <c r="R462" t="str">
        <f t="shared" si="110"/>
        <v>Distress</v>
      </c>
      <c r="S462">
        <f t="shared" si="106"/>
        <v>-2.2259718113296852E-2</v>
      </c>
      <c r="T462">
        <f t="shared" si="107"/>
        <v>-0.26347645740810444</v>
      </c>
      <c r="U462">
        <f t="shared" si="108"/>
        <v>-0.20828196883795139</v>
      </c>
      <c r="V462">
        <f t="shared" si="109"/>
        <v>0.36623343665536001</v>
      </c>
      <c r="X462" s="13">
        <f t="shared" si="111"/>
        <v>-1.9914195391968303</v>
      </c>
      <c r="Y462" s="10"/>
      <c r="Z462" s="10"/>
      <c r="AB462" s="10" t="str">
        <f t="shared" si="112"/>
        <v>Distress</v>
      </c>
      <c r="AC462" s="10">
        <f t="shared" si="113"/>
        <v>1</v>
      </c>
      <c r="AE462" s="10">
        <f t="shared" si="114"/>
        <v>1</v>
      </c>
      <c r="AG462" s="13">
        <f t="shared" si="115"/>
        <v>0.7310585786300049</v>
      </c>
      <c r="AH462" s="13">
        <f t="shared" si="116"/>
        <v>-0.2689414213699951</v>
      </c>
      <c r="AI462" s="10">
        <f t="shared" si="117"/>
        <v>0.19661193324148185</v>
      </c>
    </row>
    <row r="463" spans="1:35" x14ac:dyDescent="0.3">
      <c r="A463" t="s">
        <v>130</v>
      </c>
      <c r="B463">
        <v>2023</v>
      </c>
      <c r="C463" s="3">
        <v>73397401000</v>
      </c>
      <c r="D463" s="3">
        <v>64954545000</v>
      </c>
      <c r="E463" s="3">
        <v>1768708718000</v>
      </c>
      <c r="F463" s="3">
        <v>929532698000</v>
      </c>
      <c r="G463" s="3">
        <v>1091952149000</v>
      </c>
      <c r="H463" s="3">
        <v>824922171000</v>
      </c>
      <c r="I463" s="3">
        <v>657382080000</v>
      </c>
      <c r="J463" s="3">
        <v>-85753210000</v>
      </c>
      <c r="K463" s="3">
        <v>104610527000</v>
      </c>
      <c r="M463" s="3">
        <v>1003571884000</v>
      </c>
      <c r="N463" s="3">
        <v>7871212000</v>
      </c>
      <c r="O463" s="3">
        <v>802575111000</v>
      </c>
      <c r="P463">
        <f t="shared" si="104"/>
        <v>1.1409264930908027</v>
      </c>
      <c r="Q463">
        <f t="shared" si="105"/>
        <v>0</v>
      </c>
      <c r="R463" t="str">
        <f t="shared" si="110"/>
        <v>Grey Area</v>
      </c>
      <c r="S463">
        <f t="shared" si="106"/>
        <v>5.9145141274754544E-2</v>
      </c>
      <c r="T463">
        <f t="shared" si="107"/>
        <v>-4.8483511800047563E-2</v>
      </c>
      <c r="U463">
        <f t="shared" si="108"/>
        <v>4.1497732358664156E-2</v>
      </c>
      <c r="V463">
        <f t="shared" si="109"/>
        <v>0.60202462223461406</v>
      </c>
      <c r="X463" s="13">
        <f t="shared" si="111"/>
        <v>0.42918348917411969</v>
      </c>
      <c r="Y463" s="10"/>
      <c r="Z463" s="10"/>
      <c r="AB463" s="10" t="str">
        <f t="shared" si="112"/>
        <v>Non-Distress</v>
      </c>
      <c r="AC463" s="10">
        <f t="shared" si="113"/>
        <v>0</v>
      </c>
      <c r="AE463" s="10">
        <f t="shared" si="114"/>
        <v>0</v>
      </c>
      <c r="AG463" s="13">
        <f t="shared" si="115"/>
        <v>0.5</v>
      </c>
      <c r="AH463" s="13">
        <f t="shared" si="116"/>
        <v>0.5</v>
      </c>
      <c r="AI463" s="10">
        <f t="shared" si="117"/>
        <v>0.25</v>
      </c>
    </row>
    <row r="464" spans="1:35" x14ac:dyDescent="0.3">
      <c r="A464" t="s">
        <v>130</v>
      </c>
      <c r="B464">
        <v>2022</v>
      </c>
      <c r="C464" s="3">
        <v>102714071000</v>
      </c>
      <c r="D464" s="3">
        <v>61211954000</v>
      </c>
      <c r="E464" s="3">
        <v>1806280965000</v>
      </c>
      <c r="F464" s="3">
        <v>948943887000</v>
      </c>
      <c r="G464" s="3">
        <v>1034464891000</v>
      </c>
      <c r="H464" s="3">
        <v>710243131000</v>
      </c>
      <c r="I464" s="3">
        <v>751049985000</v>
      </c>
      <c r="J464" s="3">
        <v>28069871000</v>
      </c>
      <c r="K464" s="3">
        <v>238700756000</v>
      </c>
      <c r="M464" s="3">
        <v>1168474434000</v>
      </c>
      <c r="N464" s="3">
        <v>28069871000</v>
      </c>
      <c r="O464" s="3">
        <v>843479644000</v>
      </c>
      <c r="P464">
        <f t="shared" si="104"/>
        <v>2.062028860627291</v>
      </c>
      <c r="Q464">
        <f t="shared" si="105"/>
        <v>0</v>
      </c>
      <c r="R464" t="str">
        <f t="shared" si="110"/>
        <v>Grey Area</v>
      </c>
      <c r="S464">
        <f t="shared" si="106"/>
        <v>0.13215040219393553</v>
      </c>
      <c r="T464">
        <f t="shared" si="107"/>
        <v>1.5540146601722064E-2</v>
      </c>
      <c r="U464">
        <f t="shared" si="108"/>
        <v>5.6864946810752666E-2</v>
      </c>
      <c r="V464">
        <f t="shared" si="109"/>
        <v>0.72602752547162086</v>
      </c>
      <c r="X464" s="13">
        <f t="shared" si="111"/>
        <v>1.1648962306294599</v>
      </c>
      <c r="Y464" s="10"/>
      <c r="Z464" s="10"/>
      <c r="AB464" s="10" t="str">
        <f t="shared" si="112"/>
        <v>Non-Distress</v>
      </c>
      <c r="AC464" s="10">
        <f t="shared" si="113"/>
        <v>0</v>
      </c>
      <c r="AE464" s="10">
        <f t="shared" si="114"/>
        <v>0</v>
      </c>
      <c r="AG464" s="13">
        <f t="shared" si="115"/>
        <v>0.5</v>
      </c>
      <c r="AH464" s="13">
        <f t="shared" si="116"/>
        <v>0.5</v>
      </c>
      <c r="AI464" s="10">
        <f t="shared" si="117"/>
        <v>0.25</v>
      </c>
    </row>
    <row r="465" spans="1:35" x14ac:dyDescent="0.3">
      <c r="A465" t="s">
        <v>131</v>
      </c>
      <c r="B465">
        <v>2025</v>
      </c>
      <c r="C465" s="3">
        <v>234249102676</v>
      </c>
      <c r="D465" s="3">
        <v>35098766168</v>
      </c>
      <c r="E465" s="3">
        <v>2520834318205</v>
      </c>
      <c r="F465" s="3">
        <v>324474666741</v>
      </c>
      <c r="G465" s="3">
        <v>602116414753</v>
      </c>
      <c r="H465" s="3">
        <v>213049345381</v>
      </c>
      <c r="I465" s="3">
        <v>1918717903452</v>
      </c>
      <c r="J465" s="3">
        <v>384793837130</v>
      </c>
      <c r="K465" s="3">
        <v>111425321360</v>
      </c>
      <c r="M465" s="3">
        <v>792724269716</v>
      </c>
      <c r="N465" s="3">
        <v>159308091908</v>
      </c>
      <c r="O465" s="3">
        <v>360135283917</v>
      </c>
      <c r="P465">
        <f t="shared" si="104"/>
        <v>4.7579991491481604</v>
      </c>
      <c r="Q465">
        <f t="shared" si="105"/>
        <v>0</v>
      </c>
      <c r="R465" t="str">
        <f t="shared" si="110"/>
        <v>Safe</v>
      </c>
      <c r="S465">
        <f t="shared" si="106"/>
        <v>4.4201763104900191E-2</v>
      </c>
      <c r="T465">
        <f t="shared" si="107"/>
        <v>0.1526454294719371</v>
      </c>
      <c r="U465">
        <f t="shared" si="108"/>
        <v>9.2925227566245119E-2</v>
      </c>
      <c r="V465">
        <f t="shared" si="109"/>
        <v>3.1866228131965078</v>
      </c>
      <c r="X465" s="13">
        <f t="shared" si="111"/>
        <v>1.3568768660536783</v>
      </c>
      <c r="Y465" s="10"/>
      <c r="Z465" s="10"/>
      <c r="AB465" s="10" t="str">
        <f t="shared" si="112"/>
        <v>Non-Distress</v>
      </c>
      <c r="AC465" s="10">
        <f t="shared" si="113"/>
        <v>0</v>
      </c>
      <c r="AE465" s="10">
        <f t="shared" si="114"/>
        <v>0</v>
      </c>
      <c r="AG465" s="13">
        <f t="shared" si="115"/>
        <v>0.5</v>
      </c>
      <c r="AH465" s="13">
        <f t="shared" si="116"/>
        <v>0.5</v>
      </c>
      <c r="AI465" s="10">
        <f t="shared" si="117"/>
        <v>0.25</v>
      </c>
    </row>
    <row r="466" spans="1:35" x14ac:dyDescent="0.3">
      <c r="A466" t="s">
        <v>131</v>
      </c>
      <c r="B466">
        <v>2024</v>
      </c>
      <c r="C466" s="3">
        <v>145659269977</v>
      </c>
      <c r="D466" s="3">
        <v>43836197384</v>
      </c>
      <c r="E466" s="3">
        <v>2639198599962</v>
      </c>
      <c r="F466" s="3">
        <v>371618564173</v>
      </c>
      <c r="G466" s="3">
        <v>846246848867</v>
      </c>
      <c r="H466" s="3">
        <v>211181140925</v>
      </c>
      <c r="I466" s="3">
        <v>1792951751095</v>
      </c>
      <c r="J466" s="3">
        <v>174452283389</v>
      </c>
      <c r="K466" s="3">
        <v>160437423248</v>
      </c>
      <c r="M466" s="3">
        <v>738565449724</v>
      </c>
      <c r="N466" s="3">
        <v>79181162728</v>
      </c>
      <c r="O466" s="3">
        <v>488719338563</v>
      </c>
      <c r="P466">
        <f t="shared" ref="P466:P517" si="118">6.56*(F466-H466)/E466+3.26*J466/E466+6.72*C466/E466+1.05*I466/G466</f>
        <v>3.2097985419625563</v>
      </c>
      <c r="Q466">
        <f t="shared" ref="Q466:Q517" si="119">IF(VALUE(TRIM(P466))&lt;=1.1, 1, 0)</f>
        <v>0</v>
      </c>
      <c r="R466" t="str">
        <f t="shared" si="110"/>
        <v>Safe</v>
      </c>
      <c r="S466">
        <f t="shared" ref="S466:S517" si="120">MAX(-2,MIN(K466/E466,2))</f>
        <v>6.0790204742572247E-2</v>
      </c>
      <c r="T466">
        <f t="shared" ref="T466:T517" si="121" xml:space="preserve"> J466/E466</f>
        <v>6.6100475876090498E-2</v>
      </c>
      <c r="U466">
        <f t="shared" ref="U466:U517" si="122">C466/E466</f>
        <v>5.5190719629472841E-2</v>
      </c>
      <c r="V466">
        <f t="shared" ref="V466:V517" si="123">I466/G466</f>
        <v>2.1187101062715903</v>
      </c>
      <c r="X466" s="13">
        <f t="shared" si="111"/>
        <v>0.94619288665367063</v>
      </c>
      <c r="Y466" s="10"/>
      <c r="Z466" s="10"/>
      <c r="AB466" s="10" t="str">
        <f t="shared" si="112"/>
        <v>Non-Distress</v>
      </c>
      <c r="AC466" s="10">
        <f t="shared" si="113"/>
        <v>0</v>
      </c>
      <c r="AE466" s="10">
        <f t="shared" si="114"/>
        <v>0</v>
      </c>
      <c r="AG466" s="13">
        <f t="shared" si="115"/>
        <v>0.5</v>
      </c>
      <c r="AH466" s="13">
        <f t="shared" si="116"/>
        <v>0.5</v>
      </c>
      <c r="AI466" s="10">
        <f t="shared" si="117"/>
        <v>0.25</v>
      </c>
    </row>
    <row r="467" spans="1:35" x14ac:dyDescent="0.3">
      <c r="A467" t="s">
        <v>131</v>
      </c>
      <c r="B467">
        <v>2023</v>
      </c>
      <c r="C467" s="3">
        <v>189807846637</v>
      </c>
      <c r="D467" s="3">
        <v>50408782504</v>
      </c>
      <c r="E467" s="3">
        <v>2591476467270</v>
      </c>
      <c r="F467" s="3">
        <v>290913406730</v>
      </c>
      <c r="G467" s="3">
        <v>965401621500</v>
      </c>
      <c r="H467" s="3">
        <v>161569378318</v>
      </c>
      <c r="I467" s="3">
        <v>1626074845770</v>
      </c>
      <c r="J467" s="3">
        <v>46028539243</v>
      </c>
      <c r="K467" s="3">
        <v>129344028412</v>
      </c>
      <c r="M467" s="3">
        <v>868456776538</v>
      </c>
      <c r="N467" s="3">
        <v>108056587588</v>
      </c>
      <c r="O467" s="3">
        <v>569841402562</v>
      </c>
      <c r="P467">
        <f t="shared" si="118"/>
        <v>2.6460828403491665</v>
      </c>
      <c r="Q467">
        <f t="shared" si="119"/>
        <v>0</v>
      </c>
      <c r="R467" t="str">
        <f t="shared" si="110"/>
        <v>Safe</v>
      </c>
      <c r="S467">
        <f t="shared" si="120"/>
        <v>4.9911326630049595E-2</v>
      </c>
      <c r="T467">
        <f t="shared" si="121"/>
        <v>1.77615115646753E-2</v>
      </c>
      <c r="U467">
        <f t="shared" si="122"/>
        <v>7.3243129557319014E-2</v>
      </c>
      <c r="V467">
        <f t="shared" si="123"/>
        <v>1.6843506469809675</v>
      </c>
      <c r="X467" s="13">
        <f t="shared" si="111"/>
        <v>0.78993124501858203</v>
      </c>
      <c r="Y467" s="10"/>
      <c r="Z467" s="10"/>
      <c r="AB467" s="10" t="str">
        <f t="shared" si="112"/>
        <v>Non-Distress</v>
      </c>
      <c r="AC467" s="10">
        <f t="shared" si="113"/>
        <v>0</v>
      </c>
      <c r="AE467" s="10">
        <f t="shared" si="114"/>
        <v>0</v>
      </c>
      <c r="AG467" s="13">
        <f t="shared" si="115"/>
        <v>0.5</v>
      </c>
      <c r="AH467" s="13">
        <f t="shared" si="116"/>
        <v>0.5</v>
      </c>
      <c r="AI467" s="10">
        <f t="shared" si="117"/>
        <v>0.25</v>
      </c>
    </row>
    <row r="468" spans="1:35" x14ac:dyDescent="0.3">
      <c r="A468" t="s">
        <v>131</v>
      </c>
      <c r="B468">
        <v>2022</v>
      </c>
      <c r="C468" s="3">
        <v>251478514803</v>
      </c>
      <c r="D468" s="3">
        <v>62603309677</v>
      </c>
      <c r="E468" s="3">
        <v>2347517612881</v>
      </c>
      <c r="F468" s="3">
        <v>289998443433</v>
      </c>
      <c r="G468" s="3">
        <v>918351509165</v>
      </c>
      <c r="H468" s="3">
        <v>197371836873</v>
      </c>
      <c r="I468" s="3">
        <v>1429166103716</v>
      </c>
      <c r="J468" s="3">
        <v>-122940927208</v>
      </c>
      <c r="K468" s="3">
        <v>92626606560</v>
      </c>
      <c r="M468" s="3">
        <v>1007305060864</v>
      </c>
      <c r="N468" s="3">
        <v>172151655670</v>
      </c>
      <c r="O468" s="3">
        <v>692078976684</v>
      </c>
      <c r="P468">
        <f t="shared" si="118"/>
        <v>2.4420348244758161</v>
      </c>
      <c r="Q468">
        <f t="shared" si="119"/>
        <v>0</v>
      </c>
      <c r="R468" t="str">
        <f t="shared" si="110"/>
        <v>Grey Area</v>
      </c>
      <c r="S468">
        <f t="shared" si="120"/>
        <v>3.9457257339306454E-2</v>
      </c>
      <c r="T468">
        <f t="shared" si="121"/>
        <v>-5.2370609078038088E-2</v>
      </c>
      <c r="U468">
        <f t="shared" si="122"/>
        <v>0.10712529415034805</v>
      </c>
      <c r="V468">
        <f t="shared" si="123"/>
        <v>1.5562299287943153</v>
      </c>
      <c r="X468" s="13">
        <f t="shared" si="111"/>
        <v>0.6545662425211205</v>
      </c>
      <c r="Y468" s="10"/>
      <c r="Z468" s="10"/>
      <c r="AB468" s="10" t="str">
        <f t="shared" si="112"/>
        <v>Non-Distress</v>
      </c>
      <c r="AC468" s="10">
        <f t="shared" si="113"/>
        <v>0</v>
      </c>
      <c r="AE468" s="10">
        <f t="shared" si="114"/>
        <v>0</v>
      </c>
      <c r="AG468" s="13">
        <f t="shared" si="115"/>
        <v>0.5</v>
      </c>
      <c r="AH468" s="13">
        <f t="shared" si="116"/>
        <v>0.5</v>
      </c>
      <c r="AI468" s="10">
        <f t="shared" si="117"/>
        <v>0.25</v>
      </c>
    </row>
    <row r="469" spans="1:35" x14ac:dyDescent="0.3">
      <c r="A469" t="s">
        <v>132</v>
      </c>
      <c r="B469">
        <v>2025</v>
      </c>
      <c r="C469" s="3">
        <v>16902824221</v>
      </c>
      <c r="D469" s="3">
        <v>10681408022</v>
      </c>
      <c r="E469" s="3">
        <v>666983823941</v>
      </c>
      <c r="F469" s="3">
        <v>190909805635</v>
      </c>
      <c r="G469" s="3">
        <v>457256293403</v>
      </c>
      <c r="H469" s="3">
        <v>214972176135</v>
      </c>
      <c r="I469" s="3">
        <v>209727530538</v>
      </c>
      <c r="J469" s="3">
        <v>73113280538</v>
      </c>
      <c r="K469" s="3">
        <v>-24062370500</v>
      </c>
      <c r="M469" s="3">
        <v>582286075568</v>
      </c>
      <c r="N469" s="3">
        <v>4992596226</v>
      </c>
      <c r="O469" s="3">
        <v>107722068763</v>
      </c>
      <c r="P469">
        <f t="shared" si="118"/>
        <v>0.77259066579299718</v>
      </c>
      <c r="Q469">
        <f t="shared" si="119"/>
        <v>1</v>
      </c>
      <c r="R469" t="str">
        <f t="shared" si="110"/>
        <v>Distress</v>
      </c>
      <c r="S469">
        <f t="shared" si="120"/>
        <v>-3.6076392914333268E-2</v>
      </c>
      <c r="T469">
        <f t="shared" si="121"/>
        <v>0.10961777169646539</v>
      </c>
      <c r="U469">
        <f t="shared" si="122"/>
        <v>2.5342180146328688E-2</v>
      </c>
      <c r="V469">
        <f t="shared" si="123"/>
        <v>0.45866515904496902</v>
      </c>
      <c r="X469" s="13">
        <f t="shared" si="111"/>
        <v>0.28107943314347483</v>
      </c>
      <c r="Y469" s="10"/>
      <c r="Z469" s="10"/>
      <c r="AB469" s="10" t="str">
        <f t="shared" si="112"/>
        <v>Non-Distress</v>
      </c>
      <c r="AC469" s="10">
        <f t="shared" si="113"/>
        <v>0</v>
      </c>
      <c r="AE469" s="10">
        <f t="shared" si="114"/>
        <v>1</v>
      </c>
      <c r="AG469" s="13">
        <f t="shared" si="115"/>
        <v>0.7310585786300049</v>
      </c>
      <c r="AH469" s="13">
        <f t="shared" si="116"/>
        <v>-0.2689414213699951</v>
      </c>
      <c r="AI469" s="10">
        <f t="shared" si="117"/>
        <v>0.19661193324148185</v>
      </c>
    </row>
    <row r="470" spans="1:35" x14ac:dyDescent="0.3">
      <c r="A470" t="s">
        <v>132</v>
      </c>
      <c r="B470">
        <v>2024</v>
      </c>
      <c r="C470" s="3">
        <v>30124009353</v>
      </c>
      <c r="D470" s="3">
        <v>25492254863</v>
      </c>
      <c r="E470" s="3">
        <v>712824447580</v>
      </c>
      <c r="F470" s="3">
        <v>301531433512</v>
      </c>
      <c r="G470" s="3">
        <v>504820024784</v>
      </c>
      <c r="H470" s="3">
        <v>237141805552</v>
      </c>
      <c r="I470" s="3">
        <v>208004422796</v>
      </c>
      <c r="J470" s="3">
        <v>71390172796</v>
      </c>
      <c r="K470" s="3">
        <v>64389627960</v>
      </c>
      <c r="M470" s="3">
        <v>600290596962</v>
      </c>
      <c r="N470" s="3">
        <v>2767225457</v>
      </c>
      <c r="O470" s="3">
        <v>131826120598</v>
      </c>
      <c r="P470">
        <f t="shared" si="118"/>
        <v>1.6356855632521523</v>
      </c>
      <c r="Q470">
        <f t="shared" si="119"/>
        <v>0</v>
      </c>
      <c r="R470" t="str">
        <f t="shared" si="110"/>
        <v>Grey Area</v>
      </c>
      <c r="S470">
        <f t="shared" si="120"/>
        <v>9.0330274415530029E-2</v>
      </c>
      <c r="T470">
        <f t="shared" si="121"/>
        <v>0.10015112842771559</v>
      </c>
      <c r="U470">
        <f t="shared" si="122"/>
        <v>4.2260067615903694E-2</v>
      </c>
      <c r="V470">
        <f t="shared" si="123"/>
        <v>0.41203679050766645</v>
      </c>
      <c r="X470" s="13">
        <f t="shared" si="111"/>
        <v>1.1024776269643377</v>
      </c>
      <c r="Y470" s="10"/>
      <c r="Z470" s="10"/>
      <c r="AB470" s="10" t="str">
        <f t="shared" si="112"/>
        <v>Non-Distress</v>
      </c>
      <c r="AC470" s="10">
        <f t="shared" si="113"/>
        <v>0</v>
      </c>
      <c r="AE470" s="10">
        <f t="shared" si="114"/>
        <v>0</v>
      </c>
      <c r="AG470" s="13">
        <f t="shared" si="115"/>
        <v>0.5</v>
      </c>
      <c r="AH470" s="13">
        <f t="shared" si="116"/>
        <v>0.5</v>
      </c>
      <c r="AI470" s="10">
        <f t="shared" si="117"/>
        <v>0.25</v>
      </c>
    </row>
    <row r="471" spans="1:35" x14ac:dyDescent="0.3">
      <c r="A471" t="s">
        <v>132</v>
      </c>
      <c r="B471">
        <v>2023</v>
      </c>
      <c r="C471" s="3">
        <v>15109499509</v>
      </c>
      <c r="D471" s="3">
        <v>11139418517</v>
      </c>
      <c r="E471" s="3">
        <v>736044302230</v>
      </c>
      <c r="F471" s="3">
        <v>366733710599</v>
      </c>
      <c r="G471" s="3">
        <v>531092759090</v>
      </c>
      <c r="H471" s="3">
        <v>175796527581</v>
      </c>
      <c r="I471" s="3">
        <v>204951543140</v>
      </c>
      <c r="J471" s="3">
        <v>68337293140</v>
      </c>
      <c r="K471" s="3">
        <v>190937183018</v>
      </c>
      <c r="M471" s="3">
        <v>547818226822</v>
      </c>
      <c r="N471" s="3">
        <v>5659644108</v>
      </c>
      <c r="O471" s="3">
        <v>115289820768</v>
      </c>
      <c r="P471">
        <f t="shared" si="118"/>
        <v>2.5475490291069645</v>
      </c>
      <c r="Q471">
        <f t="shared" si="119"/>
        <v>0</v>
      </c>
      <c r="R471" t="str">
        <f t="shared" si="110"/>
        <v>Grey Area</v>
      </c>
      <c r="S471">
        <f t="shared" si="120"/>
        <v>0.25940990568029115</v>
      </c>
      <c r="T471">
        <f t="shared" si="121"/>
        <v>9.2843994489133178E-2</v>
      </c>
      <c r="U471">
        <f t="shared" si="122"/>
        <v>2.052797564388803E-2</v>
      </c>
      <c r="V471">
        <f t="shared" si="123"/>
        <v>0.38590536141214554</v>
      </c>
      <c r="X471" s="13">
        <f t="shared" si="111"/>
        <v>2.0056866771228727</v>
      </c>
      <c r="Y471" s="10"/>
      <c r="Z471" s="10"/>
      <c r="AB471" s="10" t="str">
        <f t="shared" si="112"/>
        <v>Non-Distress</v>
      </c>
      <c r="AC471" s="10">
        <f t="shared" si="113"/>
        <v>0</v>
      </c>
      <c r="AE471" s="10">
        <f t="shared" si="114"/>
        <v>0</v>
      </c>
      <c r="AG471" s="13">
        <f t="shared" si="115"/>
        <v>0.5</v>
      </c>
      <c r="AH471" s="13">
        <f t="shared" si="116"/>
        <v>0.5</v>
      </c>
      <c r="AI471" s="10">
        <f t="shared" si="117"/>
        <v>0.25</v>
      </c>
    </row>
    <row r="472" spans="1:35" x14ac:dyDescent="0.3">
      <c r="A472" t="s">
        <v>132</v>
      </c>
      <c r="B472">
        <v>2022</v>
      </c>
      <c r="C472" s="3">
        <v>20248501611</v>
      </c>
      <c r="D472" s="3">
        <v>12188716840</v>
      </c>
      <c r="E472" s="3">
        <v>1014888115857</v>
      </c>
      <c r="F472" s="3">
        <v>372928831208</v>
      </c>
      <c r="G472" s="3">
        <v>816053031137</v>
      </c>
      <c r="H472" s="3">
        <v>157575157710</v>
      </c>
      <c r="I472" s="3">
        <v>198835084720</v>
      </c>
      <c r="J472" s="3">
        <v>62220834720</v>
      </c>
      <c r="K472" s="3">
        <v>215353673498</v>
      </c>
      <c r="M472" s="3">
        <v>549569631061</v>
      </c>
      <c r="N472" s="3">
        <v>8904521434</v>
      </c>
      <c r="O472" s="3">
        <v>117999793715</v>
      </c>
      <c r="P472">
        <f t="shared" si="118"/>
        <v>1.9817713868094993</v>
      </c>
      <c r="Q472">
        <f t="shared" si="119"/>
        <v>0</v>
      </c>
      <c r="R472" t="str">
        <f t="shared" si="110"/>
        <v>Grey Area</v>
      </c>
      <c r="S472">
        <f t="shared" si="120"/>
        <v>0.21219449723888956</v>
      </c>
      <c r="T472">
        <f t="shared" si="121"/>
        <v>6.1308073025822141E-2</v>
      </c>
      <c r="U472">
        <f t="shared" si="122"/>
        <v>1.9951461934207E-2</v>
      </c>
      <c r="V472">
        <f t="shared" si="123"/>
        <v>0.24365461205745992</v>
      </c>
      <c r="X472" s="13">
        <f t="shared" si="111"/>
        <v>1.6048460710435359</v>
      </c>
      <c r="Y472" s="10"/>
      <c r="Z472" s="10"/>
      <c r="AB472" s="10" t="str">
        <f t="shared" si="112"/>
        <v>Non-Distress</v>
      </c>
      <c r="AC472" s="10">
        <f t="shared" si="113"/>
        <v>0</v>
      </c>
      <c r="AE472" s="10">
        <f t="shared" si="114"/>
        <v>0</v>
      </c>
      <c r="AG472" s="13">
        <f t="shared" si="115"/>
        <v>0.5</v>
      </c>
      <c r="AH472" s="13">
        <f t="shared" si="116"/>
        <v>0.5</v>
      </c>
      <c r="AI472" s="10">
        <f t="shared" si="117"/>
        <v>0.25</v>
      </c>
    </row>
    <row r="473" spans="1:35" x14ac:dyDescent="0.3">
      <c r="A473" t="s">
        <v>133</v>
      </c>
      <c r="B473">
        <v>2025</v>
      </c>
      <c r="C473" s="3">
        <v>-19047404087</v>
      </c>
      <c r="D473" s="3">
        <v>1594489963</v>
      </c>
      <c r="E473" s="3">
        <v>99704884847</v>
      </c>
      <c r="F473" s="3">
        <v>53848945930</v>
      </c>
      <c r="G473" s="3">
        <v>35087697822</v>
      </c>
      <c r="H473" s="3">
        <v>31670366856</v>
      </c>
      <c r="I473" s="3">
        <v>64616965037</v>
      </c>
      <c r="J473" s="3">
        <v>-79250314527</v>
      </c>
      <c r="K473" s="3">
        <v>22178579074</v>
      </c>
      <c r="M473" s="3">
        <v>23860722908</v>
      </c>
      <c r="N473" s="3">
        <v>-17556780739</v>
      </c>
      <c r="O473" s="3">
        <v>7040749067</v>
      </c>
      <c r="P473">
        <f t="shared" si="118"/>
        <v>-0.48209643338919839</v>
      </c>
      <c r="Q473">
        <f t="shared" si="119"/>
        <v>1</v>
      </c>
      <c r="R473" t="str">
        <f t="shared" si="110"/>
        <v>Distress</v>
      </c>
      <c r="S473">
        <f t="shared" si="120"/>
        <v>0.22244225153094219</v>
      </c>
      <c r="T473">
        <f t="shared" si="121"/>
        <v>-0.79484886471321714</v>
      </c>
      <c r="U473">
        <f t="shared" si="122"/>
        <v>-0.19103782243195794</v>
      </c>
      <c r="V473">
        <f t="shared" si="123"/>
        <v>1.8415846307387298</v>
      </c>
      <c r="X473" s="13">
        <f t="shared" si="111"/>
        <v>-2.0906469686143945</v>
      </c>
      <c r="Y473" s="10"/>
      <c r="Z473" s="10"/>
      <c r="AB473" s="10" t="str">
        <f t="shared" si="112"/>
        <v>Distress</v>
      </c>
      <c r="AC473" s="10">
        <f t="shared" si="113"/>
        <v>1</v>
      </c>
      <c r="AE473" s="10">
        <f t="shared" si="114"/>
        <v>1</v>
      </c>
      <c r="AG473" s="13">
        <f t="shared" si="115"/>
        <v>0.7310585786300049</v>
      </c>
      <c r="AH473" s="13">
        <f t="shared" si="116"/>
        <v>-0.2689414213699951</v>
      </c>
      <c r="AI473" s="10">
        <f t="shared" si="117"/>
        <v>0.19661193324148185</v>
      </c>
    </row>
    <row r="474" spans="1:35" x14ac:dyDescent="0.3">
      <c r="A474" t="s">
        <v>133</v>
      </c>
      <c r="B474">
        <v>2024</v>
      </c>
      <c r="C474" s="3">
        <v>1630018815</v>
      </c>
      <c r="D474" s="3">
        <v>1180054548</v>
      </c>
      <c r="E474" s="3">
        <v>174987378764</v>
      </c>
      <c r="F474" s="3">
        <v>64599283227</v>
      </c>
      <c r="G474" s="3">
        <v>28305671100</v>
      </c>
      <c r="H474" s="3">
        <v>22973373056</v>
      </c>
      <c r="I474" s="3">
        <v>146681485174</v>
      </c>
      <c r="J474" s="3">
        <v>2861466211</v>
      </c>
      <c r="K474" s="3">
        <v>41625910171</v>
      </c>
      <c r="M474" s="3">
        <v>26997167871</v>
      </c>
      <c r="N474" s="3">
        <v>313278420</v>
      </c>
      <c r="O474" s="3">
        <v>19247103786</v>
      </c>
      <c r="P474">
        <f t="shared" si="118"/>
        <v>7.1175511807406453</v>
      </c>
      <c r="Q474">
        <f t="shared" si="119"/>
        <v>0</v>
      </c>
      <c r="R474" t="str">
        <f t="shared" si="110"/>
        <v>Safe</v>
      </c>
      <c r="S474">
        <f t="shared" si="120"/>
        <v>0.23787950002462499</v>
      </c>
      <c r="T474">
        <f t="shared" si="121"/>
        <v>1.6352414849639927E-2</v>
      </c>
      <c r="U474">
        <f t="shared" si="122"/>
        <v>9.3150650436244053E-3</v>
      </c>
      <c r="V474">
        <f t="shared" si="123"/>
        <v>5.1820529057867839</v>
      </c>
      <c r="X474" s="13">
        <f t="shared" si="111"/>
        <v>1.7751832716635876</v>
      </c>
      <c r="Y474" s="10"/>
      <c r="Z474" s="10"/>
      <c r="AB474" s="10" t="str">
        <f t="shared" si="112"/>
        <v>Non-Distress</v>
      </c>
      <c r="AC474" s="10">
        <f t="shared" si="113"/>
        <v>0</v>
      </c>
      <c r="AE474" s="10">
        <f t="shared" si="114"/>
        <v>0</v>
      </c>
      <c r="AG474" s="13">
        <f t="shared" si="115"/>
        <v>0.5</v>
      </c>
      <c r="AH474" s="13">
        <f t="shared" si="116"/>
        <v>0.5</v>
      </c>
      <c r="AI474" s="10">
        <f t="shared" si="117"/>
        <v>0.25</v>
      </c>
    </row>
    <row r="475" spans="1:35" x14ac:dyDescent="0.3">
      <c r="A475" t="s">
        <v>133</v>
      </c>
      <c r="B475">
        <v>2023</v>
      </c>
      <c r="C475" s="3">
        <v>2768939541</v>
      </c>
      <c r="D475" s="3">
        <v>1862788246</v>
      </c>
      <c r="E475" s="3">
        <v>180319277474</v>
      </c>
      <c r="F475" s="3">
        <v>61249209592</v>
      </c>
      <c r="G475" s="3">
        <v>34079489650</v>
      </c>
      <c r="H475" s="3">
        <v>20053837466</v>
      </c>
      <c r="I475" s="3">
        <v>146239552667</v>
      </c>
      <c r="J475" s="3">
        <v>2484552667</v>
      </c>
      <c r="K475" s="3">
        <v>41195372126</v>
      </c>
      <c r="M475" s="3">
        <v>32096104705</v>
      </c>
      <c r="N475" s="3">
        <v>503574099</v>
      </c>
      <c r="O475" s="3">
        <v>26867952850</v>
      </c>
      <c r="P475">
        <f t="shared" si="118"/>
        <v>6.1524806745373271</v>
      </c>
      <c r="Q475">
        <f t="shared" si="119"/>
        <v>0</v>
      </c>
      <c r="R475" t="str">
        <f t="shared" si="110"/>
        <v>Safe</v>
      </c>
      <c r="S475">
        <f t="shared" si="120"/>
        <v>0.22845794805239228</v>
      </c>
      <c r="T475">
        <f t="shared" si="121"/>
        <v>1.377863033728185E-2</v>
      </c>
      <c r="U475">
        <f t="shared" si="122"/>
        <v>1.5355759959715066E-2</v>
      </c>
      <c r="V475">
        <f t="shared" si="123"/>
        <v>4.2911309461760085</v>
      </c>
      <c r="X475" s="13">
        <f t="shared" si="111"/>
        <v>1.7001107382082261</v>
      </c>
      <c r="Y475" s="10"/>
      <c r="Z475" s="10"/>
      <c r="AB475" s="10" t="str">
        <f t="shared" si="112"/>
        <v>Non-Distress</v>
      </c>
      <c r="AC475" s="10">
        <f t="shared" si="113"/>
        <v>0</v>
      </c>
      <c r="AE475" s="10">
        <f t="shared" si="114"/>
        <v>0</v>
      </c>
      <c r="AG475" s="13">
        <f t="shared" si="115"/>
        <v>0.5</v>
      </c>
      <c r="AH475" s="13">
        <f t="shared" si="116"/>
        <v>0.5</v>
      </c>
      <c r="AI475" s="10">
        <f t="shared" si="117"/>
        <v>0.25</v>
      </c>
    </row>
    <row r="476" spans="1:35" x14ac:dyDescent="0.3">
      <c r="A476" t="s">
        <v>133</v>
      </c>
      <c r="B476">
        <v>2022</v>
      </c>
      <c r="C476" s="3">
        <v>4147287948</v>
      </c>
      <c r="D476" s="3">
        <v>1716058409</v>
      </c>
      <c r="E476" s="3">
        <v>94210113197</v>
      </c>
      <c r="F476" s="3">
        <v>40393418906</v>
      </c>
      <c r="G476" s="3">
        <v>42173675433</v>
      </c>
      <c r="H476" s="3">
        <v>26945596519</v>
      </c>
      <c r="I476" s="3">
        <v>52036153415</v>
      </c>
      <c r="J476" s="3">
        <v>2044613690</v>
      </c>
      <c r="K476" s="3">
        <v>13447822387</v>
      </c>
      <c r="M476" s="3">
        <v>39069495589</v>
      </c>
      <c r="N476" s="3">
        <v>1787092239</v>
      </c>
      <c r="O476" s="3">
        <v>32584656315</v>
      </c>
      <c r="P476">
        <f t="shared" si="118"/>
        <v>2.598516363013605</v>
      </c>
      <c r="Q476">
        <f t="shared" si="119"/>
        <v>0</v>
      </c>
      <c r="R476" t="str">
        <f t="shared" si="110"/>
        <v>Grey Area</v>
      </c>
      <c r="S476">
        <f t="shared" si="120"/>
        <v>0.14274287473659705</v>
      </c>
      <c r="T476">
        <f t="shared" si="121"/>
        <v>2.1702698581038411E-2</v>
      </c>
      <c r="U476">
        <f t="shared" si="122"/>
        <v>4.4021685223196029E-2</v>
      </c>
      <c r="V476">
        <f t="shared" si="123"/>
        <v>1.2338538882547292</v>
      </c>
      <c r="X476" s="13">
        <f t="shared" si="111"/>
        <v>1.2095241086173369</v>
      </c>
      <c r="Y476" s="10"/>
      <c r="Z476" s="10"/>
      <c r="AB476" s="10" t="str">
        <f t="shared" si="112"/>
        <v>Non-Distress</v>
      </c>
      <c r="AC476" s="10">
        <f t="shared" si="113"/>
        <v>0</v>
      </c>
      <c r="AE476" s="10">
        <f t="shared" si="114"/>
        <v>0</v>
      </c>
      <c r="AG476" s="13">
        <f t="shared" si="115"/>
        <v>0.5</v>
      </c>
      <c r="AH476" s="13">
        <f t="shared" si="116"/>
        <v>0.5</v>
      </c>
      <c r="AI476" s="10">
        <f t="shared" si="117"/>
        <v>0.25</v>
      </c>
    </row>
    <row r="477" spans="1:35" x14ac:dyDescent="0.3">
      <c r="A477" t="s">
        <v>134</v>
      </c>
      <c r="B477">
        <v>2025</v>
      </c>
      <c r="C477" s="3">
        <v>447004283216</v>
      </c>
      <c r="D477" s="3">
        <v>29821410831</v>
      </c>
      <c r="E477" s="3">
        <v>1745523186581</v>
      </c>
      <c r="F477" s="3">
        <v>437078521371</v>
      </c>
      <c r="G477" s="3">
        <v>575138726967</v>
      </c>
      <c r="H477" s="3">
        <v>368493031952</v>
      </c>
      <c r="I477" s="3">
        <v>1166718246758</v>
      </c>
      <c r="J477" s="3">
        <v>1055952807366</v>
      </c>
      <c r="K477" s="3">
        <v>68585489419</v>
      </c>
      <c r="M477" s="3">
        <v>2303919253617</v>
      </c>
      <c r="N477" s="3">
        <v>321630087077</v>
      </c>
      <c r="O477" s="3">
        <v>339813915955</v>
      </c>
      <c r="P477">
        <f t="shared" si="118"/>
        <v>6.0808051877661864</v>
      </c>
      <c r="Q477">
        <f t="shared" si="119"/>
        <v>0</v>
      </c>
      <c r="R477" t="str">
        <f t="shared" si="110"/>
        <v>Safe</v>
      </c>
      <c r="S477">
        <f t="shared" si="120"/>
        <v>3.9292224787537834E-2</v>
      </c>
      <c r="T477">
        <f t="shared" si="121"/>
        <v>0.60494917253681468</v>
      </c>
      <c r="U477">
        <f t="shared" si="122"/>
        <v>0.25608613317337736</v>
      </c>
      <c r="V477">
        <f t="shared" si="123"/>
        <v>2.0285857864426915</v>
      </c>
      <c r="X477" s="13">
        <f t="shared" si="111"/>
        <v>3.5488599155857083</v>
      </c>
      <c r="Y477" s="10"/>
      <c r="Z477" s="10"/>
      <c r="AB477" s="10" t="str">
        <f t="shared" si="112"/>
        <v>Non-Distress</v>
      </c>
      <c r="AC477" s="10">
        <f t="shared" si="113"/>
        <v>0</v>
      </c>
      <c r="AE477" s="10">
        <f t="shared" si="114"/>
        <v>0</v>
      </c>
      <c r="AG477" s="13">
        <f t="shared" si="115"/>
        <v>0.5</v>
      </c>
      <c r="AH477" s="13">
        <f t="shared" si="116"/>
        <v>0.5</v>
      </c>
      <c r="AI477" s="10">
        <f t="shared" si="117"/>
        <v>0.25</v>
      </c>
    </row>
    <row r="478" spans="1:35" x14ac:dyDescent="0.3">
      <c r="A478" t="s">
        <v>134</v>
      </c>
      <c r="B478">
        <v>2024</v>
      </c>
      <c r="C478" s="3">
        <v>330414974809</v>
      </c>
      <c r="D478" s="3">
        <v>40027658438</v>
      </c>
      <c r="E478" s="3">
        <v>1763677465138</v>
      </c>
      <c r="F478" s="3">
        <v>501647105405</v>
      </c>
      <c r="G478" s="3">
        <v>797870353932</v>
      </c>
      <c r="H478" s="3">
        <v>488569427273</v>
      </c>
      <c r="I478" s="3">
        <v>962251156694</v>
      </c>
      <c r="J478" s="3">
        <v>853985717302</v>
      </c>
      <c r="K478" s="3">
        <v>13077678132</v>
      </c>
      <c r="M478" s="3">
        <v>2042868724833</v>
      </c>
      <c r="N478" s="3">
        <v>220332580518</v>
      </c>
      <c r="O478" s="3">
        <v>594823541541</v>
      </c>
      <c r="P478">
        <f t="shared" si="118"/>
        <v>4.1524382088016818</v>
      </c>
      <c r="Q478">
        <f t="shared" si="119"/>
        <v>0</v>
      </c>
      <c r="R478" t="str">
        <f t="shared" si="110"/>
        <v>Safe</v>
      </c>
      <c r="S478">
        <f t="shared" si="120"/>
        <v>7.4150055157487255E-3</v>
      </c>
      <c r="T478">
        <f t="shared" si="121"/>
        <v>0.48420742124477922</v>
      </c>
      <c r="U478">
        <f t="shared" si="122"/>
        <v>0.18734433100167014</v>
      </c>
      <c r="V478">
        <f t="shared" si="123"/>
        <v>1.2060244524087302</v>
      </c>
      <c r="X478" s="13">
        <f t="shared" si="111"/>
        <v>2.5904197894269791</v>
      </c>
      <c r="Y478" s="10"/>
      <c r="Z478" s="10"/>
      <c r="AB478" s="10" t="str">
        <f t="shared" si="112"/>
        <v>Non-Distress</v>
      </c>
      <c r="AC478" s="10">
        <f t="shared" si="113"/>
        <v>0</v>
      </c>
      <c r="AE478" s="10">
        <f t="shared" si="114"/>
        <v>0</v>
      </c>
      <c r="AG478" s="13">
        <f t="shared" si="115"/>
        <v>0.5</v>
      </c>
      <c r="AH478" s="13">
        <f t="shared" si="116"/>
        <v>0.5</v>
      </c>
      <c r="AI478" s="10">
        <f t="shared" si="117"/>
        <v>0.25</v>
      </c>
    </row>
    <row r="479" spans="1:35" x14ac:dyDescent="0.3">
      <c r="A479" t="s">
        <v>134</v>
      </c>
      <c r="B479">
        <v>2023</v>
      </c>
      <c r="C479" s="3">
        <v>291446025348</v>
      </c>
      <c r="D479" s="3">
        <v>41054536247</v>
      </c>
      <c r="E479" s="3">
        <v>1489149097101</v>
      </c>
      <c r="F479" s="3">
        <v>340964810671</v>
      </c>
      <c r="G479" s="3">
        <v>692307357059</v>
      </c>
      <c r="H479" s="3">
        <v>272538539776</v>
      </c>
      <c r="I479" s="3">
        <v>793779359444</v>
      </c>
      <c r="J479" s="3">
        <v>685513920052</v>
      </c>
      <c r="K479" s="3">
        <v>68426270895</v>
      </c>
      <c r="M479" s="3">
        <v>2037284494747</v>
      </c>
      <c r="N479" s="3">
        <v>191350331516</v>
      </c>
      <c r="O479" s="3">
        <v>542447588785</v>
      </c>
      <c r="P479">
        <f t="shared" si="118"/>
        <v>4.3212291786989283</v>
      </c>
      <c r="Q479">
        <f t="shared" si="119"/>
        <v>0</v>
      </c>
      <c r="R479" t="str">
        <f t="shared" si="110"/>
        <v>Safe</v>
      </c>
      <c r="S479">
        <f t="shared" si="120"/>
        <v>4.5949912623396004E-2</v>
      </c>
      <c r="T479">
        <f t="shared" si="121"/>
        <v>0.46033934505720331</v>
      </c>
      <c r="U479">
        <f t="shared" si="122"/>
        <v>0.19571312631849447</v>
      </c>
      <c r="V479">
        <f t="shared" si="123"/>
        <v>1.1465707410882713</v>
      </c>
      <c r="X479" s="13">
        <f t="shared" si="111"/>
        <v>2.7856417527917996</v>
      </c>
      <c r="Y479" s="10"/>
      <c r="Z479" s="10"/>
      <c r="AB479" s="10" t="str">
        <f t="shared" si="112"/>
        <v>Non-Distress</v>
      </c>
      <c r="AC479" s="10">
        <f t="shared" si="113"/>
        <v>0</v>
      </c>
      <c r="AE479" s="10">
        <f t="shared" si="114"/>
        <v>0</v>
      </c>
      <c r="AG479" s="13">
        <f t="shared" si="115"/>
        <v>0.5</v>
      </c>
      <c r="AH479" s="13">
        <f t="shared" si="116"/>
        <v>0.5</v>
      </c>
      <c r="AI479" s="10">
        <f t="shared" si="117"/>
        <v>0.25</v>
      </c>
    </row>
    <row r="480" spans="1:35" x14ac:dyDescent="0.3">
      <c r="A480" t="s">
        <v>134</v>
      </c>
      <c r="B480">
        <v>2022</v>
      </c>
      <c r="C480" s="3">
        <v>278070978044</v>
      </c>
      <c r="D480" s="3">
        <v>52009676332</v>
      </c>
      <c r="E480" s="3">
        <v>1550623971085</v>
      </c>
      <c r="F480" s="3">
        <v>496438128168</v>
      </c>
      <c r="G480" s="3">
        <v>842074572429</v>
      </c>
      <c r="H480" s="3">
        <v>337116041840</v>
      </c>
      <c r="I480" s="3">
        <v>705803696037</v>
      </c>
      <c r="J480" s="3">
        <v>605038256645</v>
      </c>
      <c r="K480" s="3">
        <v>159322086328</v>
      </c>
      <c r="M480" s="3">
        <v>2034457645981</v>
      </c>
      <c r="N480" s="3">
        <v>173128385854</v>
      </c>
      <c r="O480" s="3">
        <v>690964540945</v>
      </c>
      <c r="P480">
        <f t="shared" si="118"/>
        <v>4.0312090341897244</v>
      </c>
      <c r="Q480">
        <f t="shared" si="119"/>
        <v>0</v>
      </c>
      <c r="R480" t="str">
        <f t="shared" si="110"/>
        <v>Safe</v>
      </c>
      <c r="S480">
        <f t="shared" si="120"/>
        <v>0.1027470807229424</v>
      </c>
      <c r="T480">
        <f t="shared" si="121"/>
        <v>0.39019018661348542</v>
      </c>
      <c r="U480">
        <f t="shared" si="122"/>
        <v>0.1793284401823278</v>
      </c>
      <c r="V480">
        <f t="shared" si="123"/>
        <v>0.83817243644001638</v>
      </c>
      <c r="X480" s="13">
        <f t="shared" si="111"/>
        <v>2.8103551726966591</v>
      </c>
      <c r="Y480" s="10"/>
      <c r="Z480" s="10"/>
      <c r="AB480" s="10" t="str">
        <f t="shared" si="112"/>
        <v>Non-Distress</v>
      </c>
      <c r="AC480" s="10">
        <f t="shared" si="113"/>
        <v>0</v>
      </c>
      <c r="AE480" s="10">
        <f t="shared" si="114"/>
        <v>0</v>
      </c>
      <c r="AG480" s="13">
        <f t="shared" si="115"/>
        <v>0.5</v>
      </c>
      <c r="AH480" s="13">
        <f t="shared" si="116"/>
        <v>0.5</v>
      </c>
      <c r="AI480" s="10">
        <f t="shared" si="117"/>
        <v>0.25</v>
      </c>
    </row>
    <row r="481" spans="1:35" x14ac:dyDescent="0.3">
      <c r="A481" t="s">
        <v>135</v>
      </c>
      <c r="B481">
        <v>2025</v>
      </c>
      <c r="C481" s="3">
        <v>-12843360267</v>
      </c>
      <c r="D481" s="3">
        <v>2322209481</v>
      </c>
      <c r="E481" s="3">
        <v>241270594453</v>
      </c>
      <c r="F481" s="3">
        <v>113343001352</v>
      </c>
      <c r="G481" s="3">
        <v>129587230269</v>
      </c>
      <c r="H481" s="3">
        <v>98990312828</v>
      </c>
      <c r="I481" s="3">
        <v>111683364184</v>
      </c>
      <c r="J481" s="3">
        <v>-77892787572</v>
      </c>
      <c r="K481" s="3">
        <v>14352688524</v>
      </c>
      <c r="M481" s="3">
        <v>156480922291</v>
      </c>
      <c r="N481" s="3">
        <v>-13108430126</v>
      </c>
      <c r="O481" s="3">
        <v>44022827913</v>
      </c>
      <c r="P481">
        <f t="shared" si="118"/>
        <v>-0.11501996210801824</v>
      </c>
      <c r="Q481">
        <f t="shared" si="119"/>
        <v>1</v>
      </c>
      <c r="R481" t="str">
        <f t="shared" si="110"/>
        <v>Distress</v>
      </c>
      <c r="S481">
        <f t="shared" si="120"/>
        <v>5.9487931202473712E-2</v>
      </c>
      <c r="T481">
        <f t="shared" si="121"/>
        <v>-0.32284409854667834</v>
      </c>
      <c r="U481">
        <f t="shared" si="122"/>
        <v>-5.3232182297714328E-2</v>
      </c>
      <c r="V481">
        <f t="shared" si="123"/>
        <v>0.86183927191101495</v>
      </c>
      <c r="X481" s="13">
        <f t="shared" si="111"/>
        <v>-0.9150467901206788</v>
      </c>
      <c r="Y481" s="10"/>
      <c r="Z481" s="10"/>
      <c r="AB481" s="10" t="str">
        <f t="shared" si="112"/>
        <v>Distress</v>
      </c>
      <c r="AC481" s="10">
        <f t="shared" si="113"/>
        <v>1</v>
      </c>
      <c r="AE481" s="10">
        <f t="shared" si="114"/>
        <v>1</v>
      </c>
      <c r="AG481" s="13">
        <f t="shared" si="115"/>
        <v>0.7310585786300049</v>
      </c>
      <c r="AH481" s="13">
        <f t="shared" si="116"/>
        <v>-0.2689414213699951</v>
      </c>
      <c r="AI481" s="10">
        <f t="shared" si="117"/>
        <v>0.19661193324148185</v>
      </c>
    </row>
    <row r="482" spans="1:35" x14ac:dyDescent="0.3">
      <c r="A482" t="s">
        <v>135</v>
      </c>
      <c r="B482">
        <v>2024</v>
      </c>
      <c r="C482" s="3">
        <v>635491990</v>
      </c>
      <c r="D482" s="3">
        <v>2365968272</v>
      </c>
      <c r="E482" s="3">
        <v>204681517169</v>
      </c>
      <c r="F482" s="3">
        <v>98454182898</v>
      </c>
      <c r="G482" s="3">
        <v>79165244302</v>
      </c>
      <c r="H482" s="3">
        <v>49294357717</v>
      </c>
      <c r="I482" s="3">
        <v>125516272867</v>
      </c>
      <c r="J482" s="3">
        <v>-64784357446</v>
      </c>
      <c r="K482" s="3">
        <v>49159825181</v>
      </c>
      <c r="M482" s="3">
        <v>135521321941</v>
      </c>
      <c r="N482" s="3">
        <v>-1316347210</v>
      </c>
      <c r="O482" s="3">
        <v>40446023467</v>
      </c>
      <c r="P482">
        <f t="shared" si="118"/>
        <v>2.2293660440582563</v>
      </c>
      <c r="Q482">
        <f t="shared" si="119"/>
        <v>0</v>
      </c>
      <c r="R482" t="str">
        <f t="shared" si="110"/>
        <v>Grey Area</v>
      </c>
      <c r="S482">
        <f t="shared" si="120"/>
        <v>0.24017715845056034</v>
      </c>
      <c r="T482">
        <f t="shared" si="121"/>
        <v>-0.31651298242287945</v>
      </c>
      <c r="U482">
        <f t="shared" si="122"/>
        <v>3.1047844416518147E-3</v>
      </c>
      <c r="V482">
        <f t="shared" si="123"/>
        <v>1.5854971960697783</v>
      </c>
      <c r="X482" s="13">
        <f t="shared" si="111"/>
        <v>0.51367711346827294</v>
      </c>
      <c r="Y482" s="10"/>
      <c r="Z482" s="10"/>
      <c r="AB482" s="10" t="str">
        <f t="shared" si="112"/>
        <v>Non-Distress</v>
      </c>
      <c r="AC482" s="10">
        <f t="shared" si="113"/>
        <v>0</v>
      </c>
      <c r="AE482" s="10">
        <f t="shared" si="114"/>
        <v>0</v>
      </c>
      <c r="AG482" s="13">
        <f t="shared" si="115"/>
        <v>0.5</v>
      </c>
      <c r="AH482" s="13">
        <f t="shared" si="116"/>
        <v>0.5</v>
      </c>
      <c r="AI482" s="10">
        <f t="shared" si="117"/>
        <v>0.25</v>
      </c>
    </row>
    <row r="483" spans="1:35" x14ac:dyDescent="0.3">
      <c r="A483" t="s">
        <v>135</v>
      </c>
      <c r="B483">
        <v>2023</v>
      </c>
      <c r="C483" s="3">
        <v>-13468074822</v>
      </c>
      <c r="D483" s="3">
        <v>2771258424</v>
      </c>
      <c r="E483" s="3">
        <v>190163052910</v>
      </c>
      <c r="F483" s="3">
        <v>80340562835</v>
      </c>
      <c r="G483" s="3">
        <v>68630916648</v>
      </c>
      <c r="H483" s="3">
        <v>34275360700</v>
      </c>
      <c r="I483" s="3">
        <v>121532136262</v>
      </c>
      <c r="J483" s="3">
        <v>-63468010236</v>
      </c>
      <c r="K483" s="3">
        <v>46065202135</v>
      </c>
      <c r="M483" s="3">
        <v>87603006966</v>
      </c>
      <c r="N483" s="3">
        <v>-14967102605</v>
      </c>
      <c r="O483" s="3">
        <v>25913096351</v>
      </c>
      <c r="P483">
        <f t="shared" si="118"/>
        <v>1.8844659684616822</v>
      </c>
      <c r="Q483">
        <f t="shared" si="119"/>
        <v>0</v>
      </c>
      <c r="R483" t="str">
        <f t="shared" si="110"/>
        <v>Grey Area</v>
      </c>
      <c r="S483">
        <f t="shared" si="120"/>
        <v>0.24224054794072775</v>
      </c>
      <c r="T483">
        <f t="shared" si="121"/>
        <v>-0.33375573890285626</v>
      </c>
      <c r="U483">
        <f t="shared" si="122"/>
        <v>-7.0823825216847699E-2</v>
      </c>
      <c r="V483">
        <f t="shared" si="123"/>
        <v>1.770807417381939</v>
      </c>
      <c r="X483" s="13">
        <f t="shared" si="111"/>
        <v>0.12011679337025327</v>
      </c>
      <c r="Y483" s="10"/>
      <c r="Z483" s="10"/>
      <c r="AB483" s="10" t="str">
        <f t="shared" si="112"/>
        <v>Non-Distress</v>
      </c>
      <c r="AC483" s="10">
        <f t="shared" si="113"/>
        <v>0</v>
      </c>
      <c r="AE483" s="10">
        <f t="shared" si="114"/>
        <v>0</v>
      </c>
      <c r="AG483" s="13">
        <f t="shared" si="115"/>
        <v>0.5</v>
      </c>
      <c r="AH483" s="13">
        <f t="shared" si="116"/>
        <v>0.5</v>
      </c>
      <c r="AI483" s="10">
        <f t="shared" si="117"/>
        <v>0.25</v>
      </c>
    </row>
    <row r="484" spans="1:35" x14ac:dyDescent="0.3">
      <c r="A484" t="s">
        <v>135</v>
      </c>
      <c r="B484">
        <v>2022</v>
      </c>
      <c r="C484" s="3">
        <v>-6744600827</v>
      </c>
      <c r="D484" s="3">
        <v>1812597194</v>
      </c>
      <c r="E484" s="3">
        <v>209337963370</v>
      </c>
      <c r="F484" s="3">
        <v>151197589530</v>
      </c>
      <c r="G484" s="3">
        <v>80393841446</v>
      </c>
      <c r="H484" s="3">
        <v>39297273996</v>
      </c>
      <c r="I484" s="3">
        <v>128944121924</v>
      </c>
      <c r="J484" s="3">
        <v>-48500907631</v>
      </c>
      <c r="K484" s="3">
        <v>111900315534</v>
      </c>
      <c r="M484" s="3">
        <v>126547485872</v>
      </c>
      <c r="N484" s="3">
        <v>-6264038341</v>
      </c>
      <c r="O484" s="3">
        <v>36647920556</v>
      </c>
      <c r="P484">
        <f t="shared" si="118"/>
        <v>4.218898467634693</v>
      </c>
      <c r="Q484">
        <f t="shared" si="119"/>
        <v>0</v>
      </c>
      <c r="R484" t="str">
        <f t="shared" si="110"/>
        <v>Safe</v>
      </c>
      <c r="S484">
        <f t="shared" si="120"/>
        <v>0.53454382440999859</v>
      </c>
      <c r="T484">
        <f t="shared" si="121"/>
        <v>-0.23168710944835061</v>
      </c>
      <c r="U484">
        <f t="shared" si="122"/>
        <v>-3.22187180883148E-2</v>
      </c>
      <c r="V484">
        <f t="shared" si="123"/>
        <v>1.603905468438287</v>
      </c>
      <c r="X484" s="13">
        <f t="shared" si="111"/>
        <v>2.4207778797123196</v>
      </c>
      <c r="Y484" s="10"/>
      <c r="Z484" s="10"/>
      <c r="AB484" s="10" t="str">
        <f t="shared" si="112"/>
        <v>Non-Distress</v>
      </c>
      <c r="AC484" s="10">
        <f t="shared" si="113"/>
        <v>0</v>
      </c>
      <c r="AE484" s="10">
        <f t="shared" si="114"/>
        <v>0</v>
      </c>
      <c r="AG484" s="13">
        <f t="shared" si="115"/>
        <v>0.5</v>
      </c>
      <c r="AH484" s="13">
        <f t="shared" si="116"/>
        <v>0.5</v>
      </c>
      <c r="AI484" s="10">
        <f t="shared" si="117"/>
        <v>0.25</v>
      </c>
    </row>
    <row r="485" spans="1:35" x14ac:dyDescent="0.3">
      <c r="A485" t="s">
        <v>136</v>
      </c>
      <c r="B485">
        <v>2025</v>
      </c>
      <c r="C485" s="3">
        <v>635695677537</v>
      </c>
      <c r="D485" s="3">
        <v>80246867515</v>
      </c>
      <c r="E485" s="3">
        <v>3995296751901</v>
      </c>
      <c r="F485" s="3">
        <v>1668085378583</v>
      </c>
      <c r="G485" s="3">
        <v>1265250446552</v>
      </c>
      <c r="H485" s="3">
        <v>559883224646</v>
      </c>
      <c r="I485" s="3">
        <v>2729734477872</v>
      </c>
      <c r="J485" s="3">
        <v>683944644426</v>
      </c>
      <c r="K485" s="3">
        <v>1108202153937</v>
      </c>
      <c r="M485" s="3">
        <v>2552818121689</v>
      </c>
      <c r="N485" s="3">
        <v>442848958529</v>
      </c>
      <c r="O485" s="3">
        <v>1021513329219</v>
      </c>
      <c r="P485">
        <f t="shared" si="118"/>
        <v>5.7122270644834465</v>
      </c>
      <c r="Q485">
        <f t="shared" si="119"/>
        <v>0</v>
      </c>
      <c r="R485" t="str">
        <f t="shared" si="110"/>
        <v>Safe</v>
      </c>
      <c r="S485">
        <f t="shared" si="120"/>
        <v>0.27737668132153309</v>
      </c>
      <c r="T485">
        <f t="shared" si="121"/>
        <v>0.17118744536324434</v>
      </c>
      <c r="U485">
        <f t="shared" si="122"/>
        <v>0.15911100401604211</v>
      </c>
      <c r="V485">
        <f t="shared" si="123"/>
        <v>2.1574657296592479</v>
      </c>
      <c r="X485" s="13">
        <f t="shared" si="111"/>
        <v>3.1187556217133201</v>
      </c>
      <c r="Y485" s="10"/>
      <c r="Z485" s="10"/>
      <c r="AB485" s="10" t="str">
        <f t="shared" si="112"/>
        <v>Non-Distress</v>
      </c>
      <c r="AC485" s="10">
        <f t="shared" si="113"/>
        <v>0</v>
      </c>
      <c r="AE485" s="10">
        <f t="shared" si="114"/>
        <v>0</v>
      </c>
      <c r="AG485" s="13">
        <f t="shared" si="115"/>
        <v>0.5</v>
      </c>
      <c r="AH485" s="13">
        <f t="shared" si="116"/>
        <v>0.5</v>
      </c>
      <c r="AI485" s="10">
        <f t="shared" si="117"/>
        <v>0.25</v>
      </c>
    </row>
    <row r="486" spans="1:35" x14ac:dyDescent="0.3">
      <c r="A486" t="s">
        <v>136</v>
      </c>
      <c r="B486">
        <v>2024</v>
      </c>
      <c r="C486" s="3">
        <v>540697686663</v>
      </c>
      <c r="D486" s="3">
        <v>101036915480</v>
      </c>
      <c r="E486" s="3">
        <v>3950324909015</v>
      </c>
      <c r="F486" s="3">
        <v>1623238575978</v>
      </c>
      <c r="G486" s="3">
        <v>1509614343486</v>
      </c>
      <c r="H486" s="3">
        <v>581639479501</v>
      </c>
      <c r="I486" s="3">
        <v>2440408684341</v>
      </c>
      <c r="J486" s="3">
        <v>474645685897</v>
      </c>
      <c r="K486" s="3">
        <v>1041599096477</v>
      </c>
      <c r="M486" s="3">
        <v>2127994680911</v>
      </c>
      <c r="N486" s="3">
        <v>350647372618</v>
      </c>
      <c r="O486" s="3">
        <v>1231940623425</v>
      </c>
      <c r="P486">
        <f t="shared" si="118"/>
        <v>4.7386052695095469</v>
      </c>
      <c r="Q486">
        <f t="shared" si="119"/>
        <v>0</v>
      </c>
      <c r="R486" t="str">
        <f t="shared" si="110"/>
        <v>Safe</v>
      </c>
      <c r="S486">
        <f t="shared" si="120"/>
        <v>0.2636742851455019</v>
      </c>
      <c r="T486">
        <f t="shared" si="121"/>
        <v>0.12015358149751568</v>
      </c>
      <c r="U486">
        <f t="shared" si="122"/>
        <v>0.13687423164334631</v>
      </c>
      <c r="V486">
        <f t="shared" si="123"/>
        <v>1.6165775682189205</v>
      </c>
      <c r="X486" s="13">
        <f t="shared" si="111"/>
        <v>2.7369352520454764</v>
      </c>
      <c r="Y486" s="10"/>
      <c r="Z486" s="10"/>
      <c r="AB486" s="10" t="str">
        <f t="shared" si="112"/>
        <v>Non-Distress</v>
      </c>
      <c r="AC486" s="10">
        <f t="shared" si="113"/>
        <v>0</v>
      </c>
      <c r="AE486" s="10">
        <f t="shared" si="114"/>
        <v>0</v>
      </c>
      <c r="AG486" s="13">
        <f t="shared" si="115"/>
        <v>0.5</v>
      </c>
      <c r="AH486" s="13">
        <f t="shared" si="116"/>
        <v>0.5</v>
      </c>
      <c r="AI486" s="10">
        <f t="shared" si="117"/>
        <v>0.25</v>
      </c>
    </row>
    <row r="487" spans="1:35" x14ac:dyDescent="0.3">
      <c r="A487" t="s">
        <v>136</v>
      </c>
      <c r="B487">
        <v>2023</v>
      </c>
      <c r="C487" s="3">
        <v>803047902881</v>
      </c>
      <c r="D487" s="3">
        <v>143420190831</v>
      </c>
      <c r="E487" s="3">
        <v>4181183763101</v>
      </c>
      <c r="F487" s="3">
        <v>1865395461793</v>
      </c>
      <c r="G487" s="3">
        <v>1944063067826</v>
      </c>
      <c r="H487" s="3">
        <v>673506196655</v>
      </c>
      <c r="I487" s="3">
        <v>2236818899009</v>
      </c>
      <c r="J487" s="3">
        <v>369048313279</v>
      </c>
      <c r="K487" s="3">
        <v>1191889265138</v>
      </c>
      <c r="M487" s="3">
        <v>2049487832334</v>
      </c>
      <c r="N487" s="3">
        <v>549244217016</v>
      </c>
      <c r="O487" s="3">
        <v>1582102625068</v>
      </c>
      <c r="P487">
        <f t="shared" si="118"/>
        <v>4.6565141151946463</v>
      </c>
      <c r="Q487">
        <f t="shared" si="119"/>
        <v>0</v>
      </c>
      <c r="R487" t="str">
        <f t="shared" si="110"/>
        <v>Safe</v>
      </c>
      <c r="S487">
        <f t="shared" si="120"/>
        <v>0.28506024433951888</v>
      </c>
      <c r="T487">
        <f t="shared" si="121"/>
        <v>8.8264074049042296E-2</v>
      </c>
      <c r="U487">
        <f t="shared" si="122"/>
        <v>0.19206233171761261</v>
      </c>
      <c r="V487">
        <f t="shared" si="123"/>
        <v>1.1505896778906366</v>
      </c>
      <c r="X487" s="13">
        <f t="shared" si="111"/>
        <v>3.0100687431746427</v>
      </c>
      <c r="Y487" s="10"/>
      <c r="Z487" s="10"/>
      <c r="AB487" s="10" t="str">
        <f t="shared" si="112"/>
        <v>Non-Distress</v>
      </c>
      <c r="AC487" s="10">
        <f t="shared" si="113"/>
        <v>0</v>
      </c>
      <c r="AE487" s="10">
        <f t="shared" si="114"/>
        <v>0</v>
      </c>
      <c r="AG487" s="13">
        <f t="shared" si="115"/>
        <v>0.5</v>
      </c>
      <c r="AH487" s="13">
        <f t="shared" si="116"/>
        <v>0.5</v>
      </c>
      <c r="AI487" s="10">
        <f t="shared" si="117"/>
        <v>0.25</v>
      </c>
    </row>
    <row r="488" spans="1:35" x14ac:dyDescent="0.3">
      <c r="A488" t="s">
        <v>136</v>
      </c>
      <c r="B488">
        <v>2022</v>
      </c>
      <c r="C488" s="3">
        <v>467232475909</v>
      </c>
      <c r="D488" s="3">
        <v>148698385714</v>
      </c>
      <c r="E488" s="3">
        <v>4140857067187</v>
      </c>
      <c r="F488" s="3">
        <v>1304904227804</v>
      </c>
      <c r="G488" s="3">
        <v>2454764947737</v>
      </c>
      <c r="H488" s="3">
        <v>650908995178</v>
      </c>
      <c r="I488" s="3">
        <v>1685800077181</v>
      </c>
      <c r="J488" s="3">
        <v>-180195903737</v>
      </c>
      <c r="K488" s="3">
        <v>653995232626</v>
      </c>
      <c r="M488" s="3">
        <v>1972824875264</v>
      </c>
      <c r="N488" s="3">
        <v>257682090851</v>
      </c>
      <c r="O488" s="3">
        <v>2165795537091</v>
      </c>
      <c r="P488">
        <f t="shared" si="118"/>
        <v>2.3735364825292518</v>
      </c>
      <c r="Q488">
        <f t="shared" si="119"/>
        <v>0</v>
      </c>
      <c r="R488" t="str">
        <f t="shared" si="110"/>
        <v>Grey Area</v>
      </c>
      <c r="S488">
        <f t="shared" si="120"/>
        <v>0.15793716663354362</v>
      </c>
      <c r="T488">
        <f t="shared" si="121"/>
        <v>-4.3516571766002085E-2</v>
      </c>
      <c r="U488">
        <f t="shared" si="122"/>
        <v>0.11283472680364794</v>
      </c>
      <c r="V488">
        <f t="shared" si="123"/>
        <v>0.68674602785700778</v>
      </c>
      <c r="X488" s="13">
        <f t="shared" si="111"/>
        <v>1.3979960554292943</v>
      </c>
      <c r="Y488" s="10"/>
      <c r="Z488" s="10"/>
      <c r="AB488" s="10" t="str">
        <f t="shared" si="112"/>
        <v>Non-Distress</v>
      </c>
      <c r="AC488" s="10">
        <f t="shared" si="113"/>
        <v>0</v>
      </c>
      <c r="AE488" s="10">
        <f t="shared" si="114"/>
        <v>0</v>
      </c>
      <c r="AG488" s="13">
        <f t="shared" si="115"/>
        <v>0.5</v>
      </c>
      <c r="AH488" s="13">
        <f t="shared" si="116"/>
        <v>0.5</v>
      </c>
      <c r="AI488" s="10">
        <f t="shared" si="117"/>
        <v>0.25</v>
      </c>
    </row>
    <row r="489" spans="1:35" x14ac:dyDescent="0.3">
      <c r="A489" t="s">
        <v>137</v>
      </c>
      <c r="B489">
        <v>2025</v>
      </c>
      <c r="C489" s="3">
        <v>-61325398936</v>
      </c>
      <c r="D489" s="3">
        <v>4867266097</v>
      </c>
      <c r="E489" s="3">
        <v>271222830901</v>
      </c>
      <c r="F489" s="3">
        <v>220713006489</v>
      </c>
      <c r="G489" s="3">
        <v>101015479016</v>
      </c>
      <c r="H489" s="3">
        <v>79818325344</v>
      </c>
      <c r="I489" s="3">
        <v>163232654149</v>
      </c>
      <c r="J489" s="3">
        <v>-30558459398</v>
      </c>
      <c r="K489" s="3">
        <v>140894681145</v>
      </c>
      <c r="M489" s="3">
        <v>207657845924</v>
      </c>
      <c r="N489" s="3">
        <v>-55706999251</v>
      </c>
      <c r="O489" s="3">
        <v>45123446112</v>
      </c>
      <c r="P489">
        <f t="shared" si="118"/>
        <v>3.2177570669781277</v>
      </c>
      <c r="Q489">
        <f t="shared" si="119"/>
        <v>0</v>
      </c>
      <c r="R489" t="str">
        <f t="shared" si="110"/>
        <v>Safe</v>
      </c>
      <c r="S489">
        <f t="shared" si="120"/>
        <v>0.51947942832448524</v>
      </c>
      <c r="T489">
        <f t="shared" si="121"/>
        <v>-0.11266920006875915</v>
      </c>
      <c r="U489">
        <f t="shared" si="122"/>
        <v>-0.22610706750710305</v>
      </c>
      <c r="V489">
        <f t="shared" si="123"/>
        <v>1.6159172409918021</v>
      </c>
      <c r="X489" s="13">
        <f t="shared" si="111"/>
        <v>1.7814121174283764</v>
      </c>
      <c r="Y489" s="10"/>
      <c r="Z489" s="10"/>
      <c r="AB489" s="10" t="str">
        <f t="shared" si="112"/>
        <v>Non-Distress</v>
      </c>
      <c r="AC489" s="10">
        <f t="shared" si="113"/>
        <v>0</v>
      </c>
      <c r="AE489" s="10">
        <f t="shared" si="114"/>
        <v>0</v>
      </c>
      <c r="AG489" s="13">
        <f t="shared" si="115"/>
        <v>0.5</v>
      </c>
      <c r="AH489" s="13">
        <f t="shared" si="116"/>
        <v>0.5</v>
      </c>
      <c r="AI489" s="10">
        <f t="shared" si="117"/>
        <v>0.25</v>
      </c>
    </row>
    <row r="490" spans="1:35" x14ac:dyDescent="0.3">
      <c r="A490" t="s">
        <v>137</v>
      </c>
      <c r="B490">
        <v>2024</v>
      </c>
      <c r="C490" s="3">
        <v>21731073198</v>
      </c>
      <c r="D490" s="3">
        <v>4895468375</v>
      </c>
      <c r="E490" s="3">
        <v>334864065589</v>
      </c>
      <c r="F490" s="3">
        <v>278801349774</v>
      </c>
      <c r="G490" s="3">
        <v>102586997777</v>
      </c>
      <c r="H490" s="3">
        <v>83190759428</v>
      </c>
      <c r="I490" s="3">
        <v>218985147110</v>
      </c>
      <c r="J490" s="3">
        <v>25148539853</v>
      </c>
      <c r="K490" s="3">
        <v>195610590346</v>
      </c>
      <c r="M490" s="3">
        <v>192300097187</v>
      </c>
      <c r="N490" s="3">
        <v>10738940512</v>
      </c>
      <c r="O490" s="3">
        <v>52776251486</v>
      </c>
      <c r="P490">
        <f t="shared" si="118"/>
        <v>6.7543033585150152</v>
      </c>
      <c r="Q490">
        <f t="shared" si="119"/>
        <v>0</v>
      </c>
      <c r="R490" t="str">
        <f t="shared" si="110"/>
        <v>Safe</v>
      </c>
      <c r="S490">
        <f t="shared" si="120"/>
        <v>0.58414924277388824</v>
      </c>
      <c r="T490">
        <f t="shared" si="121"/>
        <v>7.510074217359114E-2</v>
      </c>
      <c r="U490">
        <f t="shared" si="122"/>
        <v>6.4895208029493168E-2</v>
      </c>
      <c r="V490">
        <f t="shared" si="123"/>
        <v>2.1346286747373404</v>
      </c>
      <c r="X490" s="13">
        <f t="shared" si="111"/>
        <v>4.2220664670432404</v>
      </c>
      <c r="Y490" s="10"/>
      <c r="Z490" s="10"/>
      <c r="AB490" s="10" t="str">
        <f t="shared" si="112"/>
        <v>Non-Distress</v>
      </c>
      <c r="AC490" s="10">
        <f t="shared" si="113"/>
        <v>0</v>
      </c>
      <c r="AE490" s="10">
        <f t="shared" si="114"/>
        <v>0</v>
      </c>
      <c r="AG490" s="13">
        <f t="shared" si="115"/>
        <v>0.5</v>
      </c>
      <c r="AH490" s="13">
        <f t="shared" si="116"/>
        <v>0.5</v>
      </c>
      <c r="AI490" s="10">
        <f t="shared" si="117"/>
        <v>0.25</v>
      </c>
    </row>
    <row r="491" spans="1:35" x14ac:dyDescent="0.3">
      <c r="A491" t="s">
        <v>137</v>
      </c>
      <c r="B491">
        <v>2023</v>
      </c>
      <c r="C491" s="3">
        <v>13283771844</v>
      </c>
      <c r="D491" s="3">
        <v>2180535312</v>
      </c>
      <c r="E491" s="3">
        <v>257054319278</v>
      </c>
      <c r="F491" s="3">
        <v>228260569122</v>
      </c>
      <c r="G491" s="3">
        <v>86191781107</v>
      </c>
      <c r="H491" s="3">
        <v>69090008727</v>
      </c>
      <c r="I491" s="3">
        <v>170862538171</v>
      </c>
      <c r="J491" s="3">
        <v>15153216557</v>
      </c>
      <c r="K491" s="3">
        <v>159170560395</v>
      </c>
      <c r="M491" s="3">
        <v>152990933708</v>
      </c>
      <c r="N491" s="3">
        <v>8405540867</v>
      </c>
      <c r="O491" s="3">
        <v>49327916455</v>
      </c>
      <c r="P491">
        <f t="shared" si="118"/>
        <v>6.6829312266606644</v>
      </c>
      <c r="Q491">
        <f t="shared" si="119"/>
        <v>0</v>
      </c>
      <c r="R491" t="str">
        <f t="shared" si="110"/>
        <v>Safe</v>
      </c>
      <c r="S491">
        <f t="shared" si="120"/>
        <v>0.61920982632024812</v>
      </c>
      <c r="T491">
        <f t="shared" si="121"/>
        <v>5.8949472623379837E-2</v>
      </c>
      <c r="U491">
        <f t="shared" si="122"/>
        <v>5.167690580462031E-2</v>
      </c>
      <c r="V491">
        <f t="shared" si="123"/>
        <v>1.9823530268957805</v>
      </c>
      <c r="X491" s="13">
        <f t="shared" si="111"/>
        <v>4.3129345913381139</v>
      </c>
      <c r="Y491" s="10"/>
      <c r="Z491" s="10"/>
      <c r="AB491" s="10" t="str">
        <f t="shared" si="112"/>
        <v>Non-Distress</v>
      </c>
      <c r="AC491" s="10">
        <f t="shared" si="113"/>
        <v>0</v>
      </c>
      <c r="AE491" s="10">
        <f t="shared" si="114"/>
        <v>0</v>
      </c>
      <c r="AG491" s="13">
        <f t="shared" si="115"/>
        <v>0.5</v>
      </c>
      <c r="AH491" s="13">
        <f t="shared" si="116"/>
        <v>0.5</v>
      </c>
      <c r="AI491" s="10">
        <f t="shared" si="117"/>
        <v>0.25</v>
      </c>
    </row>
    <row r="492" spans="1:35" x14ac:dyDescent="0.3">
      <c r="A492" t="s">
        <v>137</v>
      </c>
      <c r="B492">
        <v>2022</v>
      </c>
      <c r="C492" s="3">
        <v>16505017933</v>
      </c>
      <c r="D492" s="3">
        <v>1281769513</v>
      </c>
      <c r="E492" s="3">
        <v>124825165426</v>
      </c>
      <c r="F492" s="3">
        <v>98065731384</v>
      </c>
      <c r="G492" s="3">
        <v>54923601577</v>
      </c>
      <c r="H492" s="3">
        <v>39251201433</v>
      </c>
      <c r="I492" s="3">
        <v>69901563849</v>
      </c>
      <c r="J492" s="3">
        <v>6747675694</v>
      </c>
      <c r="K492" s="3">
        <v>58814529951</v>
      </c>
      <c r="M492" s="3">
        <v>136036226335</v>
      </c>
      <c r="N492" s="3">
        <v>11479978527</v>
      </c>
      <c r="O492" s="3">
        <v>31331006664</v>
      </c>
      <c r="P492">
        <f t="shared" si="118"/>
        <v>5.4920288028344633</v>
      </c>
      <c r="Q492">
        <f t="shared" si="119"/>
        <v>0</v>
      </c>
      <c r="R492" t="str">
        <f t="shared" si="110"/>
        <v>Safe</v>
      </c>
      <c r="S492">
        <f t="shared" si="120"/>
        <v>0.47117526141687327</v>
      </c>
      <c r="T492">
        <f t="shared" si="121"/>
        <v>5.4057013831880073E-2</v>
      </c>
      <c r="U492">
        <f t="shared" si="122"/>
        <v>0.13222508359329718</v>
      </c>
      <c r="V492">
        <f t="shared" si="123"/>
        <v>1.272705391524656</v>
      </c>
      <c r="X492" s="13">
        <f t="shared" si="111"/>
        <v>3.7512710609694735</v>
      </c>
      <c r="Y492" s="10"/>
      <c r="Z492" s="10"/>
      <c r="AB492" s="10" t="str">
        <f t="shared" si="112"/>
        <v>Non-Distress</v>
      </c>
      <c r="AC492" s="10">
        <f t="shared" si="113"/>
        <v>0</v>
      </c>
      <c r="AE492" s="10">
        <f t="shared" si="114"/>
        <v>0</v>
      </c>
      <c r="AG492" s="13">
        <f t="shared" si="115"/>
        <v>0.5</v>
      </c>
      <c r="AH492" s="13">
        <f t="shared" si="116"/>
        <v>0.5</v>
      </c>
      <c r="AI492" s="10">
        <f t="shared" si="117"/>
        <v>0.25</v>
      </c>
    </row>
    <row r="493" spans="1:35" x14ac:dyDescent="0.3">
      <c r="A493" t="s">
        <v>138</v>
      </c>
      <c r="B493">
        <v>2025</v>
      </c>
      <c r="C493" s="3">
        <v>19394850</v>
      </c>
      <c r="D493" s="3">
        <v>1434487</v>
      </c>
      <c r="E493" s="3">
        <v>228833102</v>
      </c>
      <c r="F493" s="3">
        <v>84943350</v>
      </c>
      <c r="G493" s="3">
        <v>101617817</v>
      </c>
      <c r="H493" s="3">
        <v>72357054</v>
      </c>
      <c r="I493" s="3">
        <v>127214128</v>
      </c>
      <c r="J493" s="3">
        <v>62573246</v>
      </c>
      <c r="K493" s="3">
        <v>12586296</v>
      </c>
      <c r="M493" s="3">
        <v>242787269</v>
      </c>
      <c r="N493" s="3">
        <v>14002649</v>
      </c>
      <c r="O493" s="3">
        <v>30833642</v>
      </c>
      <c r="P493">
        <f t="shared" si="118"/>
        <v>3.1362829941532802</v>
      </c>
      <c r="Q493">
        <f t="shared" si="119"/>
        <v>0</v>
      </c>
      <c r="R493" t="str">
        <f t="shared" si="110"/>
        <v>Safe</v>
      </c>
      <c r="S493">
        <f t="shared" si="120"/>
        <v>5.5002077452937732E-2</v>
      </c>
      <c r="T493">
        <f t="shared" si="121"/>
        <v>0.27344490571123753</v>
      </c>
      <c r="U493">
        <f t="shared" si="122"/>
        <v>8.4755438922468479E-2</v>
      </c>
      <c r="V493">
        <f t="shared" si="123"/>
        <v>1.2518880227470346</v>
      </c>
      <c r="X493" s="13">
        <f t="shared" si="111"/>
        <v>1.6961862492933157</v>
      </c>
      <c r="Y493" s="10"/>
      <c r="Z493" s="10"/>
      <c r="AB493" s="10" t="str">
        <f t="shared" si="112"/>
        <v>Non-Distress</v>
      </c>
      <c r="AC493" s="10">
        <f t="shared" si="113"/>
        <v>0</v>
      </c>
      <c r="AE493" s="10">
        <f t="shared" si="114"/>
        <v>0</v>
      </c>
      <c r="AG493" s="13">
        <f t="shared" si="115"/>
        <v>0.5</v>
      </c>
      <c r="AH493" s="13">
        <f t="shared" si="116"/>
        <v>0.5</v>
      </c>
      <c r="AI493" s="10">
        <f t="shared" si="117"/>
        <v>0.25</v>
      </c>
    </row>
    <row r="494" spans="1:35" x14ac:dyDescent="0.3">
      <c r="A494" t="s">
        <v>138</v>
      </c>
      <c r="B494">
        <v>2024</v>
      </c>
      <c r="C494" s="3">
        <v>11443867</v>
      </c>
      <c r="D494" s="3">
        <v>1307943</v>
      </c>
      <c r="E494" s="3">
        <v>156223047</v>
      </c>
      <c r="F494" s="3">
        <v>56919296</v>
      </c>
      <c r="G494" s="3">
        <v>41065424</v>
      </c>
      <c r="H494" s="3">
        <v>21342213</v>
      </c>
      <c r="I494" s="3">
        <v>115156466</v>
      </c>
      <c r="J494" s="3">
        <v>50685923</v>
      </c>
      <c r="K494" s="3">
        <v>35577083</v>
      </c>
      <c r="M494" s="3">
        <v>122856510</v>
      </c>
      <c r="N494" s="3">
        <v>7962676</v>
      </c>
      <c r="O494" s="3">
        <v>19600000</v>
      </c>
      <c r="P494">
        <f t="shared" si="118"/>
        <v>5.988312807264073</v>
      </c>
      <c r="Q494">
        <f t="shared" si="119"/>
        <v>0</v>
      </c>
      <c r="R494" t="str">
        <f t="shared" si="110"/>
        <v>Safe</v>
      </c>
      <c r="S494">
        <f t="shared" si="120"/>
        <v>0.22773261489388311</v>
      </c>
      <c r="T494">
        <f t="shared" si="121"/>
        <v>0.32444587385368306</v>
      </c>
      <c r="U494">
        <f t="shared" si="122"/>
        <v>7.3253384950301217E-2</v>
      </c>
      <c r="V494">
        <f t="shared" si="123"/>
        <v>2.8042195789820652</v>
      </c>
      <c r="X494" s="13">
        <f t="shared" si="111"/>
        <v>2.930116487486405</v>
      </c>
      <c r="Y494" s="10"/>
      <c r="Z494" s="10"/>
      <c r="AB494" s="10" t="str">
        <f t="shared" si="112"/>
        <v>Non-Distress</v>
      </c>
      <c r="AC494" s="10">
        <f t="shared" si="113"/>
        <v>0</v>
      </c>
      <c r="AE494" s="10">
        <f t="shared" si="114"/>
        <v>0</v>
      </c>
      <c r="AG494" s="13">
        <f t="shared" si="115"/>
        <v>0.5</v>
      </c>
      <c r="AH494" s="13">
        <f t="shared" si="116"/>
        <v>0.5</v>
      </c>
      <c r="AI494" s="10">
        <f t="shared" si="117"/>
        <v>0.25</v>
      </c>
    </row>
    <row r="495" spans="1:35" x14ac:dyDescent="0.3">
      <c r="A495" t="s">
        <v>138</v>
      </c>
      <c r="B495">
        <v>2023</v>
      </c>
      <c r="C495" s="3">
        <v>15700366</v>
      </c>
      <c r="D495" s="3">
        <v>1384525</v>
      </c>
      <c r="E495" s="3">
        <v>152134921</v>
      </c>
      <c r="F495" s="3">
        <v>55771982</v>
      </c>
      <c r="G495" s="3">
        <v>43261335</v>
      </c>
      <c r="H495" s="3">
        <v>18538709</v>
      </c>
      <c r="I495" s="3">
        <v>108870510</v>
      </c>
      <c r="J495" s="3">
        <v>44624367</v>
      </c>
      <c r="K495" s="3">
        <v>37233273</v>
      </c>
      <c r="M495" s="3">
        <v>126588110</v>
      </c>
      <c r="N495" s="3">
        <v>11169775</v>
      </c>
      <c r="O495" s="3">
        <v>23692982</v>
      </c>
      <c r="P495">
        <f t="shared" si="118"/>
        <v>5.8976234682694741</v>
      </c>
      <c r="Q495">
        <f t="shared" si="119"/>
        <v>0</v>
      </c>
      <c r="R495" t="str">
        <f t="shared" si="110"/>
        <v>Safe</v>
      </c>
      <c r="S495">
        <f t="shared" si="120"/>
        <v>0.24473850418603102</v>
      </c>
      <c r="T495">
        <f t="shared" si="121"/>
        <v>0.29332099893094238</v>
      </c>
      <c r="U495">
        <f t="shared" si="122"/>
        <v>0.10320027707511019</v>
      </c>
      <c r="V495">
        <f t="shared" si="123"/>
        <v>2.5165776784280931</v>
      </c>
      <c r="X495" s="13">
        <f t="shared" si="111"/>
        <v>3.0645468029975791</v>
      </c>
      <c r="Y495" s="10"/>
      <c r="Z495" s="10"/>
      <c r="AB495" s="10" t="str">
        <f t="shared" si="112"/>
        <v>Non-Distress</v>
      </c>
      <c r="AC495" s="10">
        <f t="shared" si="113"/>
        <v>0</v>
      </c>
      <c r="AE495" s="10">
        <f t="shared" si="114"/>
        <v>0</v>
      </c>
      <c r="AG495" s="13">
        <f t="shared" si="115"/>
        <v>0.5</v>
      </c>
      <c r="AH495" s="13">
        <f t="shared" si="116"/>
        <v>0.5</v>
      </c>
      <c r="AI495" s="10">
        <f t="shared" si="117"/>
        <v>0.25</v>
      </c>
    </row>
    <row r="496" spans="1:35" x14ac:dyDescent="0.3">
      <c r="A496" t="s">
        <v>138</v>
      </c>
      <c r="B496">
        <v>2022</v>
      </c>
      <c r="C496" s="3">
        <v>15509778</v>
      </c>
      <c r="D496" s="3">
        <v>1309300</v>
      </c>
      <c r="E496" s="3">
        <v>147616234</v>
      </c>
      <c r="F496" s="3">
        <v>51150736</v>
      </c>
      <c r="G496" s="3">
        <v>47945353</v>
      </c>
      <c r="H496" s="3">
        <v>21976460</v>
      </c>
      <c r="I496" s="3">
        <v>99666348</v>
      </c>
      <c r="J496" s="3">
        <v>35618171</v>
      </c>
      <c r="K496" s="3">
        <v>29174276</v>
      </c>
      <c r="M496" s="3">
        <v>141013357</v>
      </c>
      <c r="N496" s="3">
        <v>9925334</v>
      </c>
      <c r="O496" s="3">
        <v>23596782</v>
      </c>
      <c r="P496">
        <f t="shared" si="118"/>
        <v>4.9718388601111627</v>
      </c>
      <c r="Q496">
        <f t="shared" si="119"/>
        <v>0</v>
      </c>
      <c r="R496" t="str">
        <f t="shared" si="110"/>
        <v>Safe</v>
      </c>
      <c r="S496">
        <f t="shared" si="120"/>
        <v>0.19763595919944685</v>
      </c>
      <c r="T496">
        <f t="shared" si="121"/>
        <v>0.24128898316156744</v>
      </c>
      <c r="U496">
        <f t="shared" si="122"/>
        <v>0.10506824066518321</v>
      </c>
      <c r="V496">
        <f t="shared" si="123"/>
        <v>2.0787488622724291</v>
      </c>
      <c r="X496" s="13">
        <f t="shared" si="111"/>
        <v>2.5963447545202332</v>
      </c>
      <c r="Y496" s="10"/>
      <c r="Z496" s="10"/>
      <c r="AB496" s="10" t="str">
        <f t="shared" si="112"/>
        <v>Non-Distress</v>
      </c>
      <c r="AC496" s="10">
        <f t="shared" si="113"/>
        <v>0</v>
      </c>
      <c r="AE496" s="10">
        <f t="shared" si="114"/>
        <v>0</v>
      </c>
      <c r="AG496" s="13">
        <f t="shared" si="115"/>
        <v>0.5</v>
      </c>
      <c r="AH496" s="13">
        <f t="shared" si="116"/>
        <v>0.5</v>
      </c>
      <c r="AI496" s="10">
        <f t="shared" si="117"/>
        <v>0.25</v>
      </c>
    </row>
    <row r="497" spans="1:35" x14ac:dyDescent="0.3">
      <c r="A497" t="s">
        <v>139</v>
      </c>
      <c r="B497">
        <v>2025</v>
      </c>
      <c r="C497" s="3">
        <v>-212734515539</v>
      </c>
      <c r="D497" s="3">
        <v>318135674757</v>
      </c>
      <c r="E497" s="3">
        <v>6771130415153</v>
      </c>
      <c r="F497" s="3">
        <v>1421703959797</v>
      </c>
      <c r="G497" s="3">
        <v>5785948933691</v>
      </c>
      <c r="H497" s="3">
        <v>1145961298872</v>
      </c>
      <c r="I497" s="3">
        <v>766989783194</v>
      </c>
      <c r="J497" s="3">
        <v>-424469290908</v>
      </c>
      <c r="K497" s="3">
        <v>275742660925</v>
      </c>
      <c r="M497" s="3">
        <v>2760422051315</v>
      </c>
      <c r="N497" s="3">
        <v>-379670099679</v>
      </c>
      <c r="O497" s="3">
        <v>4841406144338</v>
      </c>
      <c r="P497">
        <f t="shared" si="118"/>
        <v>-9.1577736059019477E-3</v>
      </c>
      <c r="Q497">
        <f t="shared" si="119"/>
        <v>1</v>
      </c>
      <c r="R497" t="str">
        <f t="shared" si="110"/>
        <v>Distress</v>
      </c>
      <c r="S497">
        <f t="shared" si="120"/>
        <v>4.0723283117973935E-2</v>
      </c>
      <c r="T497">
        <f t="shared" si="121"/>
        <v>-6.2688098571855477E-2</v>
      </c>
      <c r="U497">
        <f t="shared" si="122"/>
        <v>-3.1417873013186243E-2</v>
      </c>
      <c r="V497">
        <f t="shared" si="123"/>
        <v>0.13256075917433274</v>
      </c>
      <c r="X497" s="13">
        <f t="shared" si="111"/>
        <v>-0.10285224033493459</v>
      </c>
      <c r="Y497" s="10"/>
      <c r="Z497" s="10"/>
      <c r="AB497" s="10" t="str">
        <f t="shared" si="112"/>
        <v>Distress</v>
      </c>
      <c r="AC497" s="10">
        <f t="shared" si="113"/>
        <v>1</v>
      </c>
      <c r="AE497" s="10">
        <f t="shared" si="114"/>
        <v>1</v>
      </c>
      <c r="AG497" s="13">
        <f t="shared" si="115"/>
        <v>0.7310585786300049</v>
      </c>
      <c r="AH497" s="13">
        <f t="shared" si="116"/>
        <v>-0.2689414213699951</v>
      </c>
      <c r="AI497" s="10">
        <f t="shared" si="117"/>
        <v>0.19661193324148185</v>
      </c>
    </row>
    <row r="498" spans="1:35" x14ac:dyDescent="0.3">
      <c r="A498" t="s">
        <v>139</v>
      </c>
      <c r="B498">
        <v>2024</v>
      </c>
      <c r="C498" s="3">
        <v>-100946414708</v>
      </c>
      <c r="D498" s="3">
        <v>212197581540</v>
      </c>
      <c r="E498" s="3">
        <v>5811090528790</v>
      </c>
      <c r="F498" s="3">
        <v>1537057159394</v>
      </c>
      <c r="G498" s="3">
        <v>4771544419392</v>
      </c>
      <c r="H498" s="3">
        <v>1202279394659</v>
      </c>
      <c r="I498" s="3">
        <v>1039539306829</v>
      </c>
      <c r="J498" s="3">
        <v>-44799191229</v>
      </c>
      <c r="K498" s="3">
        <v>334777764735</v>
      </c>
      <c r="M498" s="3">
        <v>1920811832587</v>
      </c>
      <c r="N498" s="3">
        <v>-330246641604</v>
      </c>
      <c r="O498" s="3">
        <v>3866977225295</v>
      </c>
      <c r="P498">
        <f t="shared" si="118"/>
        <v>0.4648103226502619</v>
      </c>
      <c r="Q498">
        <f t="shared" si="119"/>
        <v>1</v>
      </c>
      <c r="R498" t="str">
        <f t="shared" si="110"/>
        <v>Distress</v>
      </c>
      <c r="S498">
        <f t="shared" si="120"/>
        <v>5.7610144443010131E-2</v>
      </c>
      <c r="T498">
        <f t="shared" si="121"/>
        <v>-7.7092571535498349E-3</v>
      </c>
      <c r="U498">
        <f t="shared" si="122"/>
        <v>-1.7371337480956317E-2</v>
      </c>
      <c r="V498">
        <f t="shared" si="123"/>
        <v>0.21786222980639469</v>
      </c>
      <c r="X498" s="13">
        <f t="shared" si="111"/>
        <v>0.25217088562045475</v>
      </c>
      <c r="Y498" s="10"/>
      <c r="Z498" s="10"/>
      <c r="AB498" s="10" t="str">
        <f t="shared" si="112"/>
        <v>Non-Distress</v>
      </c>
      <c r="AC498" s="10">
        <f t="shared" si="113"/>
        <v>0</v>
      </c>
      <c r="AE498" s="10">
        <f t="shared" si="114"/>
        <v>1</v>
      </c>
      <c r="AG498" s="13">
        <f t="shared" si="115"/>
        <v>0.7310585786300049</v>
      </c>
      <c r="AH498" s="13">
        <f t="shared" si="116"/>
        <v>-0.2689414213699951</v>
      </c>
      <c r="AI498" s="10">
        <f t="shared" si="117"/>
        <v>0.19661193324148185</v>
      </c>
    </row>
    <row r="499" spans="1:35" x14ac:dyDescent="0.3">
      <c r="A499" t="s">
        <v>139</v>
      </c>
      <c r="B499">
        <v>2023</v>
      </c>
      <c r="C499" s="3">
        <v>2546608134</v>
      </c>
      <c r="D499" s="3">
        <v>85794559695</v>
      </c>
      <c r="E499" s="3">
        <v>1527269430976</v>
      </c>
      <c r="F499" s="3">
        <v>574524656536</v>
      </c>
      <c r="G499" s="3">
        <v>1170209726997</v>
      </c>
      <c r="H499" s="3">
        <v>299751448079</v>
      </c>
      <c r="I499" s="3">
        <v>356833920095</v>
      </c>
      <c r="J499" s="3">
        <v>285447450375</v>
      </c>
      <c r="K499" s="3">
        <v>274773208457</v>
      </c>
      <c r="M499" s="3">
        <v>702067615605</v>
      </c>
      <c r="N499" s="3">
        <v>-85220974920</v>
      </c>
      <c r="O499" s="3">
        <v>986991282918</v>
      </c>
      <c r="P499">
        <f t="shared" si="118"/>
        <v>2.1208978701199768</v>
      </c>
      <c r="Q499">
        <f t="shared" si="119"/>
        <v>0</v>
      </c>
      <c r="R499" t="str">
        <f t="shared" si="110"/>
        <v>Grey Area</v>
      </c>
      <c r="S499">
        <f t="shared" si="120"/>
        <v>0.17991141764777316</v>
      </c>
      <c r="T499">
        <f t="shared" si="121"/>
        <v>0.18690051970239796</v>
      </c>
      <c r="U499">
        <f t="shared" si="122"/>
        <v>1.6674255912871854E-3</v>
      </c>
      <c r="V499">
        <f t="shared" si="123"/>
        <v>0.30493159633077876</v>
      </c>
      <c r="X499" s="13">
        <f t="shared" si="111"/>
        <v>1.7333626042145445</v>
      </c>
      <c r="Y499" s="10"/>
      <c r="Z499" s="10"/>
      <c r="AB499" s="10" t="str">
        <f t="shared" si="112"/>
        <v>Non-Distress</v>
      </c>
      <c r="AC499" s="10">
        <f t="shared" si="113"/>
        <v>0</v>
      </c>
      <c r="AE499" s="10">
        <f t="shared" si="114"/>
        <v>0</v>
      </c>
      <c r="AG499" s="13">
        <f t="shared" si="115"/>
        <v>0.5</v>
      </c>
      <c r="AH499" s="13">
        <f t="shared" si="116"/>
        <v>0.5</v>
      </c>
      <c r="AI499" s="10">
        <f t="shared" si="117"/>
        <v>0.25</v>
      </c>
    </row>
    <row r="500" spans="1:35" x14ac:dyDescent="0.3">
      <c r="A500" t="s">
        <v>139</v>
      </c>
      <c r="B500">
        <v>2022</v>
      </c>
      <c r="C500" s="3">
        <v>342538677269</v>
      </c>
      <c r="D500" s="3">
        <v>79458576166</v>
      </c>
      <c r="E500" s="3">
        <v>1523040496480</v>
      </c>
      <c r="F500" s="3">
        <v>543464329954</v>
      </c>
      <c r="G500" s="3">
        <v>1080683009240</v>
      </c>
      <c r="H500" s="3">
        <v>299860211385</v>
      </c>
      <c r="I500" s="3">
        <v>442126276783</v>
      </c>
      <c r="J500" s="3">
        <v>370668425295</v>
      </c>
      <c r="K500" s="3">
        <v>243604118569</v>
      </c>
      <c r="M500" s="3">
        <v>715425027099</v>
      </c>
      <c r="N500" s="3">
        <v>275241310307</v>
      </c>
      <c r="O500" s="3">
        <v>910038027610</v>
      </c>
      <c r="P500">
        <f t="shared" si="118"/>
        <v>3.78357606045022</v>
      </c>
      <c r="Q500">
        <f t="shared" si="119"/>
        <v>0</v>
      </c>
      <c r="R500" t="str">
        <f t="shared" si="110"/>
        <v>Safe</v>
      </c>
      <c r="S500">
        <f t="shared" si="120"/>
        <v>0.15994592338943689</v>
      </c>
      <c r="T500">
        <f t="shared" si="121"/>
        <v>0.24337397866417629</v>
      </c>
      <c r="U500">
        <f t="shared" si="122"/>
        <v>0.22490451045829962</v>
      </c>
      <c r="V500">
        <f t="shared" si="123"/>
        <v>0.40911744980050097</v>
      </c>
      <c r="X500" s="13">
        <f t="shared" si="111"/>
        <v>2.8807806775120084</v>
      </c>
      <c r="Y500" s="10"/>
      <c r="Z500" s="10"/>
      <c r="AB500" s="10" t="str">
        <f t="shared" si="112"/>
        <v>Non-Distress</v>
      </c>
      <c r="AC500" s="10">
        <f t="shared" si="113"/>
        <v>0</v>
      </c>
      <c r="AE500" s="10">
        <f t="shared" si="114"/>
        <v>0</v>
      </c>
      <c r="AG500" s="13">
        <f t="shared" si="115"/>
        <v>0.5</v>
      </c>
      <c r="AH500" s="13">
        <f t="shared" si="116"/>
        <v>0.5</v>
      </c>
      <c r="AI500" s="10">
        <f t="shared" si="117"/>
        <v>0.25</v>
      </c>
    </row>
    <row r="501" spans="1:35" x14ac:dyDescent="0.3">
      <c r="A501" t="s">
        <v>140</v>
      </c>
      <c r="B501">
        <v>2025</v>
      </c>
      <c r="C501" s="3">
        <v>-280212908088</v>
      </c>
      <c r="D501" s="3">
        <v>85025780082</v>
      </c>
      <c r="E501" s="3">
        <v>1831679823755</v>
      </c>
      <c r="F501" s="3">
        <v>941763925753</v>
      </c>
      <c r="G501" s="3">
        <v>1561884536250</v>
      </c>
      <c r="H501" s="3">
        <v>260177195135</v>
      </c>
      <c r="I501" s="3">
        <v>258099759948</v>
      </c>
      <c r="J501" s="3">
        <v>-774182020263</v>
      </c>
      <c r="K501" s="3">
        <v>681586730618</v>
      </c>
      <c r="M501" s="3">
        <v>565585284252</v>
      </c>
      <c r="N501" s="3">
        <v>-362020498475</v>
      </c>
      <c r="O501" s="3">
        <v>1326455709737</v>
      </c>
      <c r="P501">
        <f t="shared" si="118"/>
        <v>0.20864024445615972</v>
      </c>
      <c r="Q501">
        <f t="shared" si="119"/>
        <v>1</v>
      </c>
      <c r="R501" t="str">
        <f t="shared" si="110"/>
        <v>Distress</v>
      </c>
      <c r="S501">
        <f t="shared" si="120"/>
        <v>0.37211019184604338</v>
      </c>
      <c r="T501">
        <f t="shared" si="121"/>
        <v>-0.42266230714705533</v>
      </c>
      <c r="U501">
        <f t="shared" si="122"/>
        <v>-0.15298138050871518</v>
      </c>
      <c r="V501">
        <f t="shared" si="123"/>
        <v>0.16524893739436303</v>
      </c>
      <c r="X501" s="13">
        <f t="shared" si="111"/>
        <v>0.15607579679917824</v>
      </c>
      <c r="Y501" s="10"/>
      <c r="Z501" s="10"/>
      <c r="AB501" s="10" t="str">
        <f t="shared" si="112"/>
        <v>Non-Distress</v>
      </c>
      <c r="AC501" s="10">
        <f t="shared" si="113"/>
        <v>0</v>
      </c>
      <c r="AE501" s="10">
        <f t="shared" si="114"/>
        <v>1</v>
      </c>
      <c r="AG501" s="13">
        <f t="shared" si="115"/>
        <v>0.7310585786300049</v>
      </c>
      <c r="AH501" s="13">
        <f t="shared" si="116"/>
        <v>-0.2689414213699951</v>
      </c>
      <c r="AI501" s="10">
        <f t="shared" si="117"/>
        <v>0.19661193324148185</v>
      </c>
    </row>
    <row r="502" spans="1:35" x14ac:dyDescent="0.3">
      <c r="A502" t="s">
        <v>140</v>
      </c>
      <c r="B502">
        <v>2024</v>
      </c>
      <c r="C502" s="3">
        <v>-44666173931</v>
      </c>
      <c r="D502" s="3">
        <v>73613626562</v>
      </c>
      <c r="E502" s="3">
        <v>1479209393792</v>
      </c>
      <c r="F502" s="3">
        <v>1294068387890</v>
      </c>
      <c r="G502" s="3">
        <v>1565825907219</v>
      </c>
      <c r="H502" s="3">
        <v>1492605333524</v>
      </c>
      <c r="I502" s="3">
        <v>-103591345449</v>
      </c>
      <c r="J502" s="3">
        <v>-412161521788</v>
      </c>
      <c r="K502" s="3">
        <v>-198536945634</v>
      </c>
      <c r="M502" s="3">
        <v>885524999245</v>
      </c>
      <c r="N502" s="3">
        <v>-111248675298</v>
      </c>
      <c r="O502" s="3">
        <v>1346018918005</v>
      </c>
      <c r="P502">
        <f t="shared" si="118"/>
        <v>-2.061208965731093</v>
      </c>
      <c r="Q502">
        <f t="shared" si="119"/>
        <v>1</v>
      </c>
      <c r="R502" t="str">
        <f t="shared" si="110"/>
        <v>Distress</v>
      </c>
      <c r="S502">
        <f t="shared" si="120"/>
        <v>-0.13421828340681657</v>
      </c>
      <c r="T502">
        <f t="shared" si="121"/>
        <v>-0.27863636042184059</v>
      </c>
      <c r="U502">
        <f t="shared" si="122"/>
        <v>-3.0195977742202444E-2</v>
      </c>
      <c r="V502">
        <f t="shared" si="123"/>
        <v>-6.6157639218643663E-2</v>
      </c>
      <c r="X502" s="13">
        <f t="shared" si="111"/>
        <v>-1.8825069935444578</v>
      </c>
      <c r="Y502" s="10"/>
      <c r="Z502" s="10"/>
      <c r="AB502" s="10" t="str">
        <f t="shared" si="112"/>
        <v>Distress</v>
      </c>
      <c r="AC502" s="10">
        <f t="shared" si="113"/>
        <v>1</v>
      </c>
      <c r="AE502" s="10">
        <f t="shared" si="114"/>
        <v>1</v>
      </c>
      <c r="AG502" s="13">
        <f t="shared" si="115"/>
        <v>0.7310585786300049</v>
      </c>
      <c r="AH502" s="13">
        <f t="shared" si="116"/>
        <v>-0.2689414213699951</v>
      </c>
      <c r="AI502" s="10">
        <f t="shared" si="117"/>
        <v>0.19661193324148185</v>
      </c>
    </row>
    <row r="503" spans="1:35" x14ac:dyDescent="0.3">
      <c r="A503" t="s">
        <v>140</v>
      </c>
      <c r="B503">
        <v>2023</v>
      </c>
      <c r="C503" s="3">
        <v>7450670519</v>
      </c>
      <c r="D503" s="3">
        <v>82039364979</v>
      </c>
      <c r="E503" s="3">
        <v>1547052331875</v>
      </c>
      <c r="F503" s="3">
        <v>1343290751374</v>
      </c>
      <c r="G503" s="3">
        <v>1516126328397</v>
      </c>
      <c r="H503" s="3">
        <v>1155504379852</v>
      </c>
      <c r="I503" s="3">
        <v>9265372505</v>
      </c>
      <c r="J503" s="3">
        <v>-300912846490</v>
      </c>
      <c r="K503" s="3">
        <v>187786371522</v>
      </c>
      <c r="M503" s="3">
        <v>868483140503</v>
      </c>
      <c r="N503" s="3">
        <v>-74626202722</v>
      </c>
      <c r="O503" s="3">
        <v>1313693968421</v>
      </c>
      <c r="P503">
        <f t="shared" si="118"/>
        <v>0.20096172795011125</v>
      </c>
      <c r="Q503">
        <f t="shared" si="119"/>
        <v>1</v>
      </c>
      <c r="R503" t="str">
        <f t="shared" si="110"/>
        <v>Distress</v>
      </c>
      <c r="S503">
        <f t="shared" si="120"/>
        <v>0.12138333503845099</v>
      </c>
      <c r="T503">
        <f t="shared" si="121"/>
        <v>-0.19450721885102554</v>
      </c>
      <c r="U503">
        <f t="shared" si="122"/>
        <v>4.8160429776605675E-3</v>
      </c>
      <c r="V503">
        <f t="shared" si="123"/>
        <v>6.1112140403209517E-3</v>
      </c>
      <c r="X503" s="13">
        <f t="shared" si="111"/>
        <v>0.1279302876945245</v>
      </c>
      <c r="Y503" s="10"/>
      <c r="Z503" s="10"/>
      <c r="AB503" s="10" t="str">
        <f t="shared" si="112"/>
        <v>Non-Distress</v>
      </c>
      <c r="AC503" s="10">
        <f t="shared" si="113"/>
        <v>0</v>
      </c>
      <c r="AE503" s="10">
        <f t="shared" si="114"/>
        <v>1</v>
      </c>
      <c r="AG503" s="13">
        <f t="shared" si="115"/>
        <v>0.7310585786300049</v>
      </c>
      <c r="AH503" s="13">
        <f t="shared" si="116"/>
        <v>-0.2689414213699951</v>
      </c>
      <c r="AI503" s="10">
        <f t="shared" si="117"/>
        <v>0.19661193324148185</v>
      </c>
    </row>
    <row r="504" spans="1:35" x14ac:dyDescent="0.3">
      <c r="A504" t="s">
        <v>140</v>
      </c>
      <c r="B504">
        <v>2022</v>
      </c>
      <c r="C504" s="3">
        <v>1803869656</v>
      </c>
      <c r="D504" s="3">
        <v>68031529252</v>
      </c>
      <c r="E504" s="3">
        <v>1661297872791</v>
      </c>
      <c r="F504" s="3">
        <v>1430195053524</v>
      </c>
      <c r="G504" s="3">
        <v>1552521081686</v>
      </c>
      <c r="H504" s="3">
        <v>1189697176680</v>
      </c>
      <c r="I504" s="3">
        <v>85618898084</v>
      </c>
      <c r="J504" s="3">
        <v>-226286643769</v>
      </c>
      <c r="K504" s="3">
        <v>240497876844</v>
      </c>
      <c r="M504" s="3">
        <v>1214494538430</v>
      </c>
      <c r="N504" s="3">
        <v>-64988406391</v>
      </c>
      <c r="O504" s="3">
        <v>1335210028696</v>
      </c>
      <c r="P504">
        <f t="shared" si="118"/>
        <v>0.57081410496026286</v>
      </c>
      <c r="Q504">
        <f t="shared" si="119"/>
        <v>1</v>
      </c>
      <c r="R504" t="str">
        <f t="shared" si="110"/>
        <v>Distress</v>
      </c>
      <c r="S504">
        <f t="shared" si="120"/>
        <v>0.14476505434871878</v>
      </c>
      <c r="T504">
        <f t="shared" si="121"/>
        <v>-0.13621075875383851</v>
      </c>
      <c r="U504">
        <f t="shared" si="122"/>
        <v>1.0858195183079827E-3</v>
      </c>
      <c r="V504">
        <f t="shared" si="123"/>
        <v>5.5148299816334838E-2</v>
      </c>
      <c r="X504" s="13">
        <f t="shared" si="111"/>
        <v>0.44597350402835617</v>
      </c>
      <c r="Y504" s="10"/>
      <c r="Z504" s="10"/>
      <c r="AB504" s="10" t="str">
        <f t="shared" si="112"/>
        <v>Non-Distress</v>
      </c>
      <c r="AC504" s="10">
        <f t="shared" si="113"/>
        <v>0</v>
      </c>
      <c r="AE504" s="10">
        <f t="shared" si="114"/>
        <v>1</v>
      </c>
      <c r="AG504" s="13">
        <f t="shared" si="115"/>
        <v>0.7310585786300049</v>
      </c>
      <c r="AH504" s="13">
        <f t="shared" si="116"/>
        <v>-0.2689414213699951</v>
      </c>
      <c r="AI504" s="10">
        <f t="shared" si="117"/>
        <v>0.19661193324148185</v>
      </c>
    </row>
    <row r="505" spans="1:35" x14ac:dyDescent="0.3">
      <c r="A505" t="s">
        <v>141</v>
      </c>
      <c r="B505">
        <v>2025</v>
      </c>
      <c r="C505" s="3">
        <v>91718736374</v>
      </c>
      <c r="D505" s="3">
        <v>37734764212</v>
      </c>
      <c r="E505" s="3">
        <v>809763148771</v>
      </c>
      <c r="F505" s="3">
        <v>701595768840</v>
      </c>
      <c r="G505" s="3">
        <v>504420026551</v>
      </c>
      <c r="H505" s="3">
        <v>476725772265</v>
      </c>
      <c r="I505" s="3">
        <v>304648401158</v>
      </c>
      <c r="J505" s="3">
        <v>39031444854</v>
      </c>
      <c r="K505" s="3">
        <v>224869996575</v>
      </c>
      <c r="M505" s="3">
        <v>635168976387</v>
      </c>
      <c r="N505" s="3">
        <v>43064013760</v>
      </c>
      <c r="O505" s="3">
        <v>490044996643</v>
      </c>
      <c r="P505">
        <f t="shared" si="118"/>
        <v>3.3741415555901773</v>
      </c>
      <c r="Q505">
        <f t="shared" si="119"/>
        <v>0</v>
      </c>
      <c r="R505" t="str">
        <f t="shared" si="110"/>
        <v>Safe</v>
      </c>
      <c r="S505">
        <f t="shared" si="120"/>
        <v>0.27769848123650903</v>
      </c>
      <c r="T505">
        <f t="shared" si="121"/>
        <v>4.8201063376666506E-2</v>
      </c>
      <c r="U505">
        <f t="shared" si="122"/>
        <v>0.11326612789579776</v>
      </c>
      <c r="V505">
        <f t="shared" si="123"/>
        <v>0.60395778343903272</v>
      </c>
      <c r="X505" s="13">
        <f t="shared" si="111"/>
        <v>2.4291165101325327</v>
      </c>
      <c r="Y505" s="10"/>
      <c r="Z505" s="10"/>
      <c r="AB505" s="10" t="str">
        <f t="shared" si="112"/>
        <v>Non-Distress</v>
      </c>
      <c r="AC505" s="10">
        <f t="shared" si="113"/>
        <v>0</v>
      </c>
      <c r="AE505" s="10">
        <f t="shared" si="114"/>
        <v>0</v>
      </c>
      <c r="AG505" s="13">
        <f t="shared" si="115"/>
        <v>0.5</v>
      </c>
      <c r="AH505" s="13">
        <f t="shared" si="116"/>
        <v>0.5</v>
      </c>
      <c r="AI505" s="10">
        <f t="shared" si="117"/>
        <v>0.25</v>
      </c>
    </row>
    <row r="506" spans="1:35" x14ac:dyDescent="0.3">
      <c r="A506" t="s">
        <v>141</v>
      </c>
      <c r="B506">
        <v>2024</v>
      </c>
      <c r="C506" s="3">
        <v>57844558230</v>
      </c>
      <c r="D506" s="3">
        <v>27715305073</v>
      </c>
      <c r="E506" s="3">
        <v>636970180207</v>
      </c>
      <c r="F506" s="3">
        <v>548447627267</v>
      </c>
      <c r="G506" s="3">
        <v>572010868797</v>
      </c>
      <c r="H506" s="3">
        <v>534493362167</v>
      </c>
      <c r="I506" s="3">
        <v>64327935025</v>
      </c>
      <c r="J506" s="3">
        <v>34400894562</v>
      </c>
      <c r="K506" s="3">
        <v>13954265100</v>
      </c>
      <c r="M506" s="3">
        <v>530380755775</v>
      </c>
      <c r="N506" s="3">
        <v>23178055983</v>
      </c>
      <c r="O506" s="3">
        <v>481192044306</v>
      </c>
      <c r="P506">
        <f t="shared" si="118"/>
        <v>1.0481137437198109</v>
      </c>
      <c r="Q506">
        <f t="shared" si="119"/>
        <v>1</v>
      </c>
      <c r="R506" t="str">
        <f t="shared" si="110"/>
        <v>Distress</v>
      </c>
      <c r="S506">
        <f t="shared" si="120"/>
        <v>2.1907250187858402E-2</v>
      </c>
      <c r="T506">
        <f t="shared" si="121"/>
        <v>5.4007072278988849E-2</v>
      </c>
      <c r="U506">
        <f t="shared" si="122"/>
        <v>9.0812034891809071E-2</v>
      </c>
      <c r="V506">
        <f t="shared" si="123"/>
        <v>0.11245928798571349</v>
      </c>
      <c r="X506" s="13">
        <f t="shared" si="111"/>
        <v>0.75502957716216168</v>
      </c>
      <c r="Y506" s="10"/>
      <c r="Z506" s="10"/>
      <c r="AB506" s="10" t="str">
        <f t="shared" si="112"/>
        <v>Non-Distress</v>
      </c>
      <c r="AC506" s="10">
        <f t="shared" si="113"/>
        <v>0</v>
      </c>
      <c r="AE506" s="10">
        <f t="shared" si="114"/>
        <v>1</v>
      </c>
      <c r="AG506" s="13">
        <f t="shared" si="115"/>
        <v>0.7310585786300049</v>
      </c>
      <c r="AH506" s="13">
        <f t="shared" si="116"/>
        <v>-0.2689414213699951</v>
      </c>
      <c r="AI506" s="10">
        <f t="shared" si="117"/>
        <v>0.19661193324148185</v>
      </c>
    </row>
    <row r="507" spans="1:35" x14ac:dyDescent="0.3">
      <c r="A507" t="s">
        <v>141</v>
      </c>
      <c r="B507">
        <v>2023</v>
      </c>
      <c r="C507" s="3">
        <v>41498282904</v>
      </c>
      <c r="D507" s="3">
        <v>25268862982</v>
      </c>
      <c r="E507" s="3">
        <v>494985239718</v>
      </c>
      <c r="F507" s="3">
        <v>392071174555</v>
      </c>
      <c r="G507" s="3">
        <v>456084615082</v>
      </c>
      <c r="H507" s="3">
        <v>406129634488</v>
      </c>
      <c r="I507" s="3">
        <v>38576025291</v>
      </c>
      <c r="J507" s="3">
        <v>25075001842</v>
      </c>
      <c r="K507" s="3">
        <v>-14058459933</v>
      </c>
      <c r="M507" s="3">
        <v>467950155401</v>
      </c>
      <c r="N507" s="3">
        <v>12486082293</v>
      </c>
      <c r="O507" s="3">
        <v>394547058045</v>
      </c>
      <c r="P507">
        <f t="shared" si="118"/>
        <v>0.63102701216571166</v>
      </c>
      <c r="Q507">
        <f t="shared" si="119"/>
        <v>1</v>
      </c>
      <c r="R507" t="str">
        <f t="shared" si="110"/>
        <v>Distress</v>
      </c>
      <c r="S507">
        <f t="shared" si="120"/>
        <v>-2.8401776063078771E-2</v>
      </c>
      <c r="T507">
        <f t="shared" si="121"/>
        <v>5.0658079938475695E-2</v>
      </c>
      <c r="U507">
        <f t="shared" si="122"/>
        <v>8.3837414884617878E-2</v>
      </c>
      <c r="V507">
        <f t="shared" si="123"/>
        <v>8.4580851919471942E-2</v>
      </c>
      <c r="X507" s="13">
        <f t="shared" si="111"/>
        <v>0.40163020791200804</v>
      </c>
      <c r="Y507" s="10"/>
      <c r="Z507" s="10"/>
      <c r="AB507" s="10" t="str">
        <f t="shared" si="112"/>
        <v>Non-Distress</v>
      </c>
      <c r="AC507" s="10">
        <f t="shared" si="113"/>
        <v>0</v>
      </c>
      <c r="AE507" s="10">
        <f t="shared" si="114"/>
        <v>1</v>
      </c>
      <c r="AG507" s="13">
        <f t="shared" si="115"/>
        <v>0.7310585786300049</v>
      </c>
      <c r="AH507" s="13">
        <f t="shared" si="116"/>
        <v>-0.2689414213699951</v>
      </c>
      <c r="AI507" s="10">
        <f t="shared" si="117"/>
        <v>0.19661193324148185</v>
      </c>
    </row>
    <row r="508" spans="1:35" x14ac:dyDescent="0.3">
      <c r="A508" t="s">
        <v>141</v>
      </c>
      <c r="B508">
        <v>2022</v>
      </c>
      <c r="C508" s="3">
        <v>32241921715</v>
      </c>
      <c r="D508" s="3">
        <v>19376708437</v>
      </c>
      <c r="E508" s="3">
        <v>439284057006</v>
      </c>
      <c r="F508" s="3">
        <v>333711196156</v>
      </c>
      <c r="G508" s="3">
        <v>413031225921</v>
      </c>
      <c r="H508" s="3">
        <v>381370342349</v>
      </c>
      <c r="I508" s="3">
        <v>26084298377</v>
      </c>
      <c r="J508" s="3">
        <v>17635074149</v>
      </c>
      <c r="K508" s="3">
        <v>-47659146193</v>
      </c>
      <c r="M508" s="3">
        <v>379455627571</v>
      </c>
      <c r="N508" s="3">
        <v>9989921411</v>
      </c>
      <c r="O508" s="3">
        <v>376269347070</v>
      </c>
      <c r="P508">
        <f t="shared" si="118"/>
        <v>-2.1304161781173489E-2</v>
      </c>
      <c r="Q508">
        <f t="shared" si="119"/>
        <v>1</v>
      </c>
      <c r="R508" t="str">
        <f t="shared" si="110"/>
        <v>Distress</v>
      </c>
      <c r="S508">
        <f t="shared" si="120"/>
        <v>-0.10849277462475504</v>
      </c>
      <c r="T508">
        <f t="shared" si="121"/>
        <v>4.014503569556846E-2</v>
      </c>
      <c r="U508">
        <f t="shared" si="122"/>
        <v>7.3396521455272437E-2</v>
      </c>
      <c r="V508">
        <f t="shared" si="123"/>
        <v>6.3153332581176599E-2</v>
      </c>
      <c r="X508" s="13">
        <f t="shared" si="111"/>
        <v>-0.17376656950274674</v>
      </c>
      <c r="Y508" s="10"/>
      <c r="Z508" s="10"/>
      <c r="AB508" s="10" t="str">
        <f t="shared" si="112"/>
        <v>Distress</v>
      </c>
      <c r="AC508" s="10">
        <f t="shared" si="113"/>
        <v>1</v>
      </c>
      <c r="AE508" s="10">
        <f t="shared" si="114"/>
        <v>1</v>
      </c>
      <c r="AG508" s="13">
        <f t="shared" si="115"/>
        <v>0.7310585786300049</v>
      </c>
      <c r="AH508" s="13">
        <f t="shared" si="116"/>
        <v>-0.2689414213699951</v>
      </c>
      <c r="AI508" s="10">
        <f t="shared" si="117"/>
        <v>0.19661193324148185</v>
      </c>
    </row>
    <row r="509" spans="1:35" x14ac:dyDescent="0.3">
      <c r="A509" t="s">
        <v>142</v>
      </c>
      <c r="B509">
        <v>2025</v>
      </c>
      <c r="C509" s="3">
        <v>394294062399</v>
      </c>
      <c r="D509" s="3">
        <v>61061391351</v>
      </c>
      <c r="E509" s="3">
        <v>3537708507669</v>
      </c>
      <c r="F509" s="3">
        <v>968438657330</v>
      </c>
      <c r="G509" s="3">
        <v>1492743472483</v>
      </c>
      <c r="H509" s="3">
        <v>704948625479</v>
      </c>
      <c r="I509" s="3">
        <v>2040989438254</v>
      </c>
      <c r="J509" s="3">
        <v>1128063479618</v>
      </c>
      <c r="K509" s="3">
        <v>263490031851</v>
      </c>
      <c r="M509" s="3">
        <v>3757615147215</v>
      </c>
      <c r="N509" s="3">
        <v>258516403560</v>
      </c>
      <c r="O509" s="3">
        <v>639192267360</v>
      </c>
      <c r="P509">
        <f t="shared" si="118"/>
        <v>3.7127156114075341</v>
      </c>
      <c r="Q509">
        <f t="shared" si="119"/>
        <v>0</v>
      </c>
      <c r="R509" t="str">
        <f t="shared" si="110"/>
        <v>Safe</v>
      </c>
      <c r="S509">
        <f t="shared" si="120"/>
        <v>7.4480424625095493E-2</v>
      </c>
      <c r="T509">
        <f t="shared" si="121"/>
        <v>0.31886840794616012</v>
      </c>
      <c r="U509">
        <f t="shared" si="122"/>
        <v>0.11145464968192102</v>
      </c>
      <c r="V509">
        <f t="shared" si="123"/>
        <v>1.3672740667618251</v>
      </c>
      <c r="X509" s="13">
        <f t="shared" si="111"/>
        <v>2.0982274070565095</v>
      </c>
      <c r="Y509" s="10"/>
      <c r="Z509" s="10"/>
      <c r="AB509" s="10" t="str">
        <f t="shared" si="112"/>
        <v>Non-Distress</v>
      </c>
      <c r="AC509" s="10">
        <f t="shared" si="113"/>
        <v>0</v>
      </c>
      <c r="AE509" s="10">
        <f t="shared" si="114"/>
        <v>0</v>
      </c>
      <c r="AG509" s="13">
        <f t="shared" si="115"/>
        <v>0.5</v>
      </c>
      <c r="AH509" s="13">
        <f t="shared" si="116"/>
        <v>0.5</v>
      </c>
      <c r="AI509" s="10">
        <f t="shared" si="117"/>
        <v>0.25</v>
      </c>
    </row>
    <row r="510" spans="1:35" x14ac:dyDescent="0.3">
      <c r="A510" t="s">
        <v>142</v>
      </c>
      <c r="B510">
        <v>2024</v>
      </c>
      <c r="C510" s="3">
        <v>531831052967</v>
      </c>
      <c r="D510" s="3">
        <v>62886056759</v>
      </c>
      <c r="E510" s="3">
        <v>3746346988767</v>
      </c>
      <c r="F510" s="3">
        <v>1044136874729</v>
      </c>
      <c r="G510" s="3">
        <v>1438191795263</v>
      </c>
      <c r="H510" s="3">
        <v>610720198188</v>
      </c>
      <c r="I510" s="3">
        <v>2302361184539</v>
      </c>
      <c r="J510" s="3">
        <v>1329667659858</v>
      </c>
      <c r="K510" s="3">
        <v>433416676541</v>
      </c>
      <c r="M510" s="3">
        <v>3932169542456</v>
      </c>
      <c r="N510" s="3">
        <v>362565606268</v>
      </c>
      <c r="O510" s="3">
        <v>623098035500</v>
      </c>
      <c r="P510">
        <f t="shared" si="118"/>
        <v>4.5508673820212149</v>
      </c>
      <c r="Q510">
        <f t="shared" si="119"/>
        <v>0</v>
      </c>
      <c r="R510" t="str">
        <f t="shared" si="110"/>
        <v>Safe</v>
      </c>
      <c r="S510">
        <f t="shared" si="120"/>
        <v>0.11569047870914018</v>
      </c>
      <c r="T510">
        <f t="shared" si="121"/>
        <v>0.35492378678346104</v>
      </c>
      <c r="U510">
        <f t="shared" si="122"/>
        <v>0.14195990242271619</v>
      </c>
      <c r="V510">
        <f t="shared" si="123"/>
        <v>1.600872145232876</v>
      </c>
      <c r="X510" s="13">
        <f t="shared" si="111"/>
        <v>2.6258761420000072</v>
      </c>
      <c r="Y510" s="10"/>
      <c r="Z510" s="10"/>
      <c r="AB510" s="10" t="str">
        <f t="shared" si="112"/>
        <v>Non-Distress</v>
      </c>
      <c r="AC510" s="10">
        <f t="shared" si="113"/>
        <v>0</v>
      </c>
      <c r="AE510" s="10">
        <f t="shared" si="114"/>
        <v>0</v>
      </c>
      <c r="AG510" s="13">
        <f t="shared" si="115"/>
        <v>0.5</v>
      </c>
      <c r="AH510" s="13">
        <f t="shared" si="116"/>
        <v>0.5</v>
      </c>
      <c r="AI510" s="10">
        <f t="shared" si="117"/>
        <v>0.25</v>
      </c>
    </row>
    <row r="511" spans="1:35" x14ac:dyDescent="0.3">
      <c r="A511" t="s">
        <v>142</v>
      </c>
      <c r="B511">
        <v>2023</v>
      </c>
      <c r="C511" s="3">
        <v>488859656276</v>
      </c>
      <c r="D511" s="3">
        <v>60868971013</v>
      </c>
      <c r="E511" s="3">
        <v>3943518425042</v>
      </c>
      <c r="F511" s="3">
        <v>1164940801635</v>
      </c>
      <c r="G511" s="3">
        <v>1550086849761</v>
      </c>
      <c r="H511" s="3">
        <v>669095049839</v>
      </c>
      <c r="I511" s="3">
        <v>2393347658528</v>
      </c>
      <c r="J511" s="3">
        <v>1408800907546</v>
      </c>
      <c r="K511" s="3">
        <v>495845751796</v>
      </c>
      <c r="M511" s="3">
        <v>3820532634926</v>
      </c>
      <c r="N511" s="3">
        <v>333291088862</v>
      </c>
      <c r="O511" s="3">
        <v>636842263914</v>
      </c>
      <c r="P511">
        <f t="shared" si="118"/>
        <v>4.4437079763575502</v>
      </c>
      <c r="Q511">
        <f t="shared" si="119"/>
        <v>0</v>
      </c>
      <c r="R511" t="str">
        <f t="shared" si="110"/>
        <v>Safe</v>
      </c>
      <c r="S511">
        <f t="shared" si="120"/>
        <v>0.12573689237694358</v>
      </c>
      <c r="T511">
        <f t="shared" si="121"/>
        <v>0.357244662177785</v>
      </c>
      <c r="U511">
        <f t="shared" si="122"/>
        <v>0.12396535367291797</v>
      </c>
      <c r="V511">
        <f t="shared" si="123"/>
        <v>1.5440087495078214</v>
      </c>
      <c r="X511" s="13">
        <f t="shared" si="111"/>
        <v>2.6053978017448007</v>
      </c>
      <c r="Y511" s="10"/>
      <c r="Z511" s="10"/>
      <c r="AB511" s="10" t="str">
        <f t="shared" si="112"/>
        <v>Non-Distress</v>
      </c>
      <c r="AC511" s="10">
        <f t="shared" si="113"/>
        <v>0</v>
      </c>
      <c r="AE511" s="10">
        <f t="shared" si="114"/>
        <v>0</v>
      </c>
      <c r="AG511" s="13">
        <f t="shared" si="115"/>
        <v>0.5</v>
      </c>
      <c r="AH511" s="13">
        <f t="shared" si="116"/>
        <v>0.5</v>
      </c>
      <c r="AI511" s="10">
        <f t="shared" si="117"/>
        <v>0.25</v>
      </c>
    </row>
    <row r="512" spans="1:35" x14ac:dyDescent="0.3">
      <c r="A512" t="s">
        <v>142</v>
      </c>
      <c r="B512">
        <v>2022</v>
      </c>
      <c r="C512" s="3">
        <v>623239351423</v>
      </c>
      <c r="D512" s="3">
        <v>50456631438</v>
      </c>
      <c r="E512" s="3">
        <v>4130321616083</v>
      </c>
      <c r="F512" s="3">
        <v>1285672230703</v>
      </c>
      <c r="G512" s="3">
        <v>1449163077319</v>
      </c>
      <c r="H512" s="3">
        <v>612417576293</v>
      </c>
      <c r="I512" s="3">
        <v>2681083954112</v>
      </c>
      <c r="J512" s="3">
        <v>1698537203130</v>
      </c>
      <c r="K512" s="3">
        <v>673254654410</v>
      </c>
      <c r="M512" s="3">
        <v>3935182048668</v>
      </c>
      <c r="N512" s="3">
        <v>432220344060</v>
      </c>
      <c r="O512" s="3">
        <v>533968178507</v>
      </c>
      <c r="P512">
        <f t="shared" si="118"/>
        <v>5.3665302287131675</v>
      </c>
      <c r="Q512">
        <f t="shared" si="119"/>
        <v>0</v>
      </c>
      <c r="R512" t="str">
        <f t="shared" si="110"/>
        <v>Safe</v>
      </c>
      <c r="S512">
        <f t="shared" si="120"/>
        <v>0.16300296126781588</v>
      </c>
      <c r="T512">
        <f t="shared" si="121"/>
        <v>0.41123606367990578</v>
      </c>
      <c r="U512">
        <f t="shared" si="122"/>
        <v>0.15089366140306781</v>
      </c>
      <c r="V512">
        <f t="shared" si="123"/>
        <v>1.8500912672106542</v>
      </c>
      <c r="X512" s="13">
        <f t="shared" si="111"/>
        <v>3.1535393381389167</v>
      </c>
      <c r="Y512" s="10"/>
      <c r="Z512" s="10"/>
      <c r="AB512" s="10" t="str">
        <f t="shared" si="112"/>
        <v>Non-Distress</v>
      </c>
      <c r="AC512" s="10">
        <f t="shared" si="113"/>
        <v>0</v>
      </c>
      <c r="AE512" s="10">
        <f t="shared" si="114"/>
        <v>0</v>
      </c>
      <c r="AG512" s="13">
        <f t="shared" si="115"/>
        <v>0.5</v>
      </c>
      <c r="AH512" s="13">
        <f t="shared" si="116"/>
        <v>0.5</v>
      </c>
      <c r="AI512" s="10">
        <f t="shared" si="117"/>
        <v>0.25</v>
      </c>
    </row>
    <row r="513" spans="1:35" x14ac:dyDescent="0.3">
      <c r="A513" t="s">
        <v>143</v>
      </c>
      <c r="B513">
        <v>2025</v>
      </c>
      <c r="C513" s="3">
        <v>409781602479</v>
      </c>
      <c r="D513" s="3">
        <v>67455617436</v>
      </c>
      <c r="E513" s="3">
        <v>3175190969502</v>
      </c>
      <c r="F513" s="3">
        <v>2314965996051</v>
      </c>
      <c r="G513" s="3">
        <v>1286836932562</v>
      </c>
      <c r="H513" s="3">
        <v>1171514604203</v>
      </c>
      <c r="I513" s="3">
        <v>1831339209665</v>
      </c>
      <c r="J513" s="3">
        <v>961184244025</v>
      </c>
      <c r="K513" s="3">
        <v>1143451391848</v>
      </c>
      <c r="M513" s="3">
        <v>4074971418788</v>
      </c>
      <c r="N513" s="3">
        <v>255420935727</v>
      </c>
      <c r="O513" s="3">
        <v>773657213907</v>
      </c>
      <c r="P513">
        <f t="shared" si="118"/>
        <v>5.7108019622813888</v>
      </c>
      <c r="Q513">
        <f t="shared" si="119"/>
        <v>0</v>
      </c>
      <c r="R513" t="str">
        <f t="shared" si="110"/>
        <v>Safe</v>
      </c>
      <c r="S513">
        <f t="shared" si="120"/>
        <v>0.36012051017748392</v>
      </c>
      <c r="T513">
        <f t="shared" si="121"/>
        <v>0.30271698718510559</v>
      </c>
      <c r="U513">
        <f t="shared" si="122"/>
        <v>0.12905730912407784</v>
      </c>
      <c r="V513">
        <f t="shared" si="123"/>
        <v>1.4231323047427114</v>
      </c>
      <c r="X513" s="13">
        <f t="shared" si="111"/>
        <v>3.8786581248530188</v>
      </c>
      <c r="Y513" s="10"/>
      <c r="Z513" s="10"/>
      <c r="AB513" s="10" t="str">
        <f t="shared" si="112"/>
        <v>Non-Distress</v>
      </c>
      <c r="AC513" s="10">
        <f t="shared" si="113"/>
        <v>0</v>
      </c>
      <c r="AE513" s="10">
        <f t="shared" si="114"/>
        <v>0</v>
      </c>
      <c r="AG513" s="13">
        <f t="shared" si="115"/>
        <v>0.5</v>
      </c>
      <c r="AH513" s="13">
        <f t="shared" si="116"/>
        <v>0.5</v>
      </c>
      <c r="AI513" s="10">
        <f t="shared" si="117"/>
        <v>0.25</v>
      </c>
    </row>
    <row r="514" spans="1:35" x14ac:dyDescent="0.3">
      <c r="A514" t="s">
        <v>143</v>
      </c>
      <c r="B514">
        <v>2024</v>
      </c>
      <c r="C514" s="3">
        <v>589961891500</v>
      </c>
      <c r="D514" s="3">
        <v>81501198398</v>
      </c>
      <c r="E514" s="3">
        <v>2788361965167</v>
      </c>
      <c r="F514" s="3">
        <v>2220463310236</v>
      </c>
      <c r="G514" s="3">
        <v>1226413768688</v>
      </c>
      <c r="H514" s="3">
        <v>1085747755077</v>
      </c>
      <c r="I514" s="3">
        <v>1506837694396</v>
      </c>
      <c r="J514" s="3">
        <v>900513308298</v>
      </c>
      <c r="K514" s="3">
        <v>1134715555159</v>
      </c>
      <c r="M514" s="3">
        <v>4797559081178</v>
      </c>
      <c r="N514" s="3">
        <v>378864743920</v>
      </c>
      <c r="O514" s="3">
        <v>773149416098</v>
      </c>
      <c r="P514">
        <f t="shared" si="118"/>
        <v>6.4343076984211169</v>
      </c>
      <c r="Q514">
        <f t="shared" si="119"/>
        <v>0</v>
      </c>
      <c r="R514" t="str">
        <f t="shared" ref="R514:R577" si="124">IF(P514&lt;1.1, "Distress", IF(P514&lt;=2.6, "Grey Area", "Safe"))</f>
        <v>Safe</v>
      </c>
      <c r="S514">
        <f t="shared" si="120"/>
        <v>0.40694700664195865</v>
      </c>
      <c r="T514">
        <f t="shared" si="121"/>
        <v>0.32295423605237228</v>
      </c>
      <c r="U514">
        <f t="shared" si="122"/>
        <v>0.2115800957228543</v>
      </c>
      <c r="V514">
        <f t="shared" si="123"/>
        <v>1.2286536019633842</v>
      </c>
      <c r="X514" s="13">
        <f t="shared" ref="X514:X577" si="125">(S514 * $T$729) + (T514 * $T$730) + (U514 * $T$731) + (V514 * $T$732)</f>
        <v>4.6220250092276514</v>
      </c>
      <c r="Y514" s="10"/>
      <c r="Z514" s="10"/>
      <c r="AB514" s="10" t="str">
        <f t="shared" si="112"/>
        <v>Non-Distress</v>
      </c>
      <c r="AC514" s="10">
        <f t="shared" si="113"/>
        <v>0</v>
      </c>
      <c r="AE514" s="10">
        <f t="shared" si="114"/>
        <v>0</v>
      </c>
      <c r="AG514" s="13">
        <f t="shared" si="115"/>
        <v>0.5</v>
      </c>
      <c r="AH514" s="13">
        <f t="shared" si="116"/>
        <v>0.5</v>
      </c>
      <c r="AI514" s="10">
        <f t="shared" si="117"/>
        <v>0.25</v>
      </c>
    </row>
    <row r="515" spans="1:35" x14ac:dyDescent="0.3">
      <c r="A515" t="s">
        <v>143</v>
      </c>
      <c r="B515">
        <v>2023</v>
      </c>
      <c r="C515" s="3">
        <v>602743148570</v>
      </c>
      <c r="D515" s="3">
        <v>65777807501</v>
      </c>
      <c r="E515" s="3">
        <v>2793664505857</v>
      </c>
      <c r="F515" s="3">
        <v>2379889872284</v>
      </c>
      <c r="G515" s="3">
        <v>1413587710511</v>
      </c>
      <c r="H515" s="3">
        <v>1354566277107</v>
      </c>
      <c r="I515" s="3">
        <v>1336422827024</v>
      </c>
      <c r="J515" s="3">
        <v>741773564378</v>
      </c>
      <c r="K515" s="3">
        <v>1025323595177</v>
      </c>
      <c r="M515" s="3">
        <v>4463507984781</v>
      </c>
      <c r="N515" s="3">
        <v>406351639859</v>
      </c>
      <c r="O515" s="3">
        <v>785751159720</v>
      </c>
      <c r="P515">
        <f t="shared" si="118"/>
        <v>5.7157760935308346</v>
      </c>
      <c r="Q515">
        <f t="shared" si="119"/>
        <v>0</v>
      </c>
      <c r="R515" t="str">
        <f t="shared" si="124"/>
        <v>Safe</v>
      </c>
      <c r="S515">
        <f t="shared" si="120"/>
        <v>0.36701744000662173</v>
      </c>
      <c r="T515">
        <f t="shared" si="121"/>
        <v>0.26551991580336504</v>
      </c>
      <c r="U515">
        <f t="shared" si="122"/>
        <v>0.21575359077882517</v>
      </c>
      <c r="V515">
        <f t="shared" si="123"/>
        <v>0.94541203003306706</v>
      </c>
      <c r="X515" s="13">
        <f t="shared" si="125"/>
        <v>4.1977508387582185</v>
      </c>
      <c r="Y515" s="10"/>
      <c r="Z515" s="10"/>
      <c r="AB515" s="10" t="str">
        <f t="shared" ref="AB515:AB578" si="126">IF(X515 &lt; AA515, "Distress", "Non-Distress")</f>
        <v>Non-Distress</v>
      </c>
      <c r="AC515" s="10">
        <f t="shared" ref="AC515:AC578" si="127">IF(X515 &lt; AA515, 1, 0)</f>
        <v>0</v>
      </c>
      <c r="AE515" s="10">
        <f t="shared" ref="AE515:AE578" si="128">IF(VALUE(TRIM(P515))&lt;=1.1, 1, 0)</f>
        <v>0</v>
      </c>
      <c r="AG515" s="13">
        <f t="shared" ref="AG515:AG578" si="129">1/(1+EXP(-Q515))</f>
        <v>0.5</v>
      </c>
      <c r="AH515" s="13">
        <f t="shared" ref="AH515:AH578" si="130">AG515-Q515</f>
        <v>0.5</v>
      </c>
      <c r="AI515" s="10">
        <f t="shared" ref="AI515:AI578" si="131">AG515*(1-AG515)</f>
        <v>0.25</v>
      </c>
    </row>
    <row r="516" spans="1:35" x14ac:dyDescent="0.3">
      <c r="A516" t="s">
        <v>143</v>
      </c>
      <c r="B516">
        <v>2022</v>
      </c>
      <c r="C516" s="3">
        <v>510310478245</v>
      </c>
      <c r="D516" s="3">
        <v>68763067629</v>
      </c>
      <c r="E516" s="3">
        <v>3097781579099</v>
      </c>
      <c r="F516" s="3">
        <v>2678284003472</v>
      </c>
      <c r="G516" s="3">
        <v>1977461409047</v>
      </c>
      <c r="H516" s="3">
        <v>1929970523411</v>
      </c>
      <c r="I516" s="3">
        <v>1084449124733</v>
      </c>
      <c r="J516" s="3">
        <v>489171924519</v>
      </c>
      <c r="K516" s="3">
        <v>748313480061</v>
      </c>
      <c r="M516" s="3">
        <v>3689403867254</v>
      </c>
      <c r="N516" s="3">
        <v>334149305747</v>
      </c>
      <c r="O516" s="3">
        <v>828693888168</v>
      </c>
      <c r="P516">
        <f t="shared" si="118"/>
        <v>3.7822883519154495</v>
      </c>
      <c r="Q516">
        <f t="shared" si="119"/>
        <v>0</v>
      </c>
      <c r="R516" t="str">
        <f t="shared" si="124"/>
        <v>Safe</v>
      </c>
      <c r="S516">
        <f t="shared" si="120"/>
        <v>0.24156431334924827</v>
      </c>
      <c r="T516">
        <f t="shared" si="121"/>
        <v>0.15791039878972915</v>
      </c>
      <c r="U516">
        <f t="shared" si="122"/>
        <v>0.16473417031339746</v>
      </c>
      <c r="V516">
        <f t="shared" si="123"/>
        <v>0.54840469693698335</v>
      </c>
      <c r="X516" s="13">
        <f t="shared" si="125"/>
        <v>2.814431998067688</v>
      </c>
      <c r="Y516" s="10"/>
      <c r="Z516" s="10"/>
      <c r="AB516" s="10" t="str">
        <f t="shared" si="126"/>
        <v>Non-Distress</v>
      </c>
      <c r="AC516" s="10">
        <f t="shared" si="127"/>
        <v>0</v>
      </c>
      <c r="AE516" s="10">
        <f t="shared" si="128"/>
        <v>0</v>
      </c>
      <c r="AG516" s="13">
        <f t="shared" si="129"/>
        <v>0.5</v>
      </c>
      <c r="AH516" s="13">
        <f t="shared" si="130"/>
        <v>0.5</v>
      </c>
      <c r="AI516" s="10">
        <f t="shared" si="131"/>
        <v>0.25</v>
      </c>
    </row>
    <row r="517" spans="1:35" x14ac:dyDescent="0.3">
      <c r="A517" t="s">
        <v>144</v>
      </c>
      <c r="B517">
        <v>2025</v>
      </c>
      <c r="C517" s="3">
        <v>369891956527</v>
      </c>
      <c r="E517" s="3">
        <v>5878655192185</v>
      </c>
      <c r="F517" s="3">
        <v>2429191044493</v>
      </c>
      <c r="G517" s="3">
        <v>258292339197</v>
      </c>
      <c r="H517" s="3">
        <v>208062008695</v>
      </c>
      <c r="I517" s="3">
        <v>5613179907269</v>
      </c>
      <c r="J517" s="3">
        <v>2542198890112</v>
      </c>
      <c r="K517" s="3">
        <v>2221129035798</v>
      </c>
      <c r="M517" s="3">
        <v>7420053450826</v>
      </c>
      <c r="N517" s="3">
        <v>313055053493</v>
      </c>
      <c r="P517">
        <f t="shared" si="118"/>
        <v>27.129645633507181</v>
      </c>
      <c r="Q517">
        <f t="shared" si="119"/>
        <v>0</v>
      </c>
      <c r="R517" t="str">
        <f t="shared" si="124"/>
        <v>Safe</v>
      </c>
      <c r="S517">
        <f t="shared" si="120"/>
        <v>0.37782944622279208</v>
      </c>
      <c r="T517">
        <f t="shared" si="121"/>
        <v>0.43244565415089542</v>
      </c>
      <c r="U517">
        <f t="shared" si="122"/>
        <v>6.2921185957415748E-2</v>
      </c>
      <c r="V517">
        <f t="shared" si="123"/>
        <v>21.73188691820944</v>
      </c>
      <c r="X517" s="13">
        <f t="shared" si="125"/>
        <v>4.9646228187057897</v>
      </c>
      <c r="Y517" s="10"/>
      <c r="Z517" s="10"/>
      <c r="AB517" s="10" t="str">
        <f t="shared" si="126"/>
        <v>Non-Distress</v>
      </c>
      <c r="AC517" s="10">
        <f t="shared" si="127"/>
        <v>0</v>
      </c>
      <c r="AE517" s="10">
        <f t="shared" si="128"/>
        <v>0</v>
      </c>
      <c r="AG517" s="13">
        <f t="shared" si="129"/>
        <v>0.5</v>
      </c>
      <c r="AH517" s="13">
        <f t="shared" si="130"/>
        <v>0.5</v>
      </c>
      <c r="AI517" s="10">
        <f t="shared" si="131"/>
        <v>0.25</v>
      </c>
    </row>
    <row r="518" spans="1:35" x14ac:dyDescent="0.3">
      <c r="A518" t="s">
        <v>144</v>
      </c>
      <c r="B518">
        <v>2024</v>
      </c>
      <c r="C518" s="3">
        <v>346371176590</v>
      </c>
      <c r="E518" s="3">
        <v>5702138963030</v>
      </c>
      <c r="F518" s="3">
        <v>2218175953025</v>
      </c>
      <c r="G518" s="3">
        <v>331653018017</v>
      </c>
      <c r="H518" s="3">
        <v>285976020771</v>
      </c>
      <c r="I518" s="3">
        <v>5381749652285</v>
      </c>
      <c r="J518" s="3">
        <v>2319377196619</v>
      </c>
      <c r="K518" s="3">
        <v>1932199932254</v>
      </c>
      <c r="M518" s="3">
        <v>6939147619476</v>
      </c>
      <c r="N518" s="3">
        <v>294373699764</v>
      </c>
      <c r="P518">
        <f t="shared" ref="P518:P568" si="132">6.56*(F518-H518)/E518+3.26*J518/E518+6.72*C518/E518+1.05*I518/G518</f>
        <v>20.995515344585847</v>
      </c>
      <c r="Q518">
        <f t="shared" ref="Q518:Q568" si="133">IF(VALUE(TRIM(P518))&lt;=1.1, 1, 0)</f>
        <v>0</v>
      </c>
      <c r="R518" t="str">
        <f t="shared" si="124"/>
        <v>Safe</v>
      </c>
      <c r="S518">
        <f t="shared" ref="S518:S568" si="134">MAX(-2,MIN(K518/E518,2))</f>
        <v>0.33885528654799191</v>
      </c>
      <c r="T518">
        <f t="shared" ref="T518:T568" si="135" xml:space="preserve"> J518/E518</f>
        <v>0.40675564233996331</v>
      </c>
      <c r="U518">
        <f t="shared" ref="U518:U568" si="136">C518/E518</f>
        <v>6.0744078465240603E-2</v>
      </c>
      <c r="V518">
        <f t="shared" ref="V518:V568" si="137">I518/G518</f>
        <v>16.227048631920304</v>
      </c>
      <c r="X518" s="13">
        <f t="shared" si="125"/>
        <v>4.395196947656534</v>
      </c>
      <c r="Y518" s="10"/>
      <c r="Z518" s="10"/>
      <c r="AB518" s="10" t="str">
        <f t="shared" si="126"/>
        <v>Non-Distress</v>
      </c>
      <c r="AC518" s="10">
        <f t="shared" si="127"/>
        <v>0</v>
      </c>
      <c r="AE518" s="10">
        <f t="shared" si="128"/>
        <v>0</v>
      </c>
      <c r="AG518" s="13">
        <f t="shared" si="129"/>
        <v>0.5</v>
      </c>
      <c r="AH518" s="13">
        <f t="shared" si="130"/>
        <v>0.5</v>
      </c>
      <c r="AI518" s="10">
        <f t="shared" si="131"/>
        <v>0.25</v>
      </c>
    </row>
    <row r="519" spans="1:35" x14ac:dyDescent="0.3">
      <c r="A519" t="s">
        <v>144</v>
      </c>
      <c r="B519">
        <v>2023</v>
      </c>
      <c r="C519" s="3">
        <v>251751714287</v>
      </c>
      <c r="E519" s="3">
        <v>5329800918271</v>
      </c>
      <c r="F519" s="3">
        <v>2080263323999</v>
      </c>
      <c r="G519" s="3">
        <v>392506174822</v>
      </c>
      <c r="H519" s="3">
        <v>350038626503</v>
      </c>
      <c r="I519" s="3">
        <v>4949069995753</v>
      </c>
      <c r="J519" s="3">
        <v>2093461685701</v>
      </c>
      <c r="K519" s="3">
        <v>1730224697496</v>
      </c>
      <c r="M519" s="3">
        <v>5823016502106</v>
      </c>
      <c r="N519" s="3">
        <v>237225447058</v>
      </c>
      <c r="P519">
        <f t="shared" si="132"/>
        <v>16.966822832935833</v>
      </c>
      <c r="Q519">
        <f t="shared" si="133"/>
        <v>0</v>
      </c>
      <c r="R519" t="str">
        <f t="shared" si="124"/>
        <v>Safe</v>
      </c>
      <c r="S519">
        <f t="shared" si="134"/>
        <v>0.32463214368188614</v>
      </c>
      <c r="T519">
        <f t="shared" si="135"/>
        <v>0.39278421798541097</v>
      </c>
      <c r="U519">
        <f t="shared" si="136"/>
        <v>4.7234731305624236E-2</v>
      </c>
      <c r="V519">
        <f t="shared" si="137"/>
        <v>12.608897167025166</v>
      </c>
      <c r="X519" s="13">
        <f t="shared" si="125"/>
        <v>4.0416901365946334</v>
      </c>
      <c r="Y519" s="10"/>
      <c r="Z519" s="10"/>
      <c r="AB519" s="10" t="str">
        <f t="shared" si="126"/>
        <v>Non-Distress</v>
      </c>
      <c r="AC519" s="10">
        <f t="shared" si="127"/>
        <v>0</v>
      </c>
      <c r="AE519" s="10">
        <f t="shared" si="128"/>
        <v>0</v>
      </c>
      <c r="AG519" s="13">
        <f t="shared" si="129"/>
        <v>0.5</v>
      </c>
      <c r="AH519" s="13">
        <f t="shared" si="130"/>
        <v>0.5</v>
      </c>
      <c r="AI519" s="10">
        <f t="shared" si="131"/>
        <v>0.25</v>
      </c>
    </row>
    <row r="520" spans="1:35" x14ac:dyDescent="0.3">
      <c r="A520" t="s">
        <v>144</v>
      </c>
      <c r="B520">
        <v>2022</v>
      </c>
      <c r="C520" s="3">
        <v>106736747181</v>
      </c>
      <c r="E520" s="3">
        <v>5128133329237</v>
      </c>
      <c r="F520" s="3">
        <v>1896185326170</v>
      </c>
      <c r="G520" s="3">
        <v>397471639920</v>
      </c>
      <c r="H520" s="3">
        <v>348948204860</v>
      </c>
      <c r="I520" s="3">
        <v>4742679107261</v>
      </c>
      <c r="J520" s="3">
        <v>1890073748643</v>
      </c>
      <c r="K520" s="3">
        <v>1547237121310</v>
      </c>
      <c r="M520" s="3">
        <v>5469205561730</v>
      </c>
      <c r="N520" s="3">
        <v>106468989630</v>
      </c>
      <c r="P520">
        <f t="shared" si="132"/>
        <v>15.849385412941743</v>
      </c>
      <c r="Q520">
        <f t="shared" si="133"/>
        <v>0</v>
      </c>
      <c r="R520" t="str">
        <f t="shared" si="124"/>
        <v>Safe</v>
      </c>
      <c r="S520">
        <f t="shared" si="134"/>
        <v>0.30171546291293655</v>
      </c>
      <c r="T520">
        <f t="shared" si="135"/>
        <v>0.36856954125337038</v>
      </c>
      <c r="U520">
        <f t="shared" si="136"/>
        <v>2.0813957112320449E-2</v>
      </c>
      <c r="V520">
        <f t="shared" si="137"/>
        <v>11.932119504716285</v>
      </c>
      <c r="X520" s="13">
        <f t="shared" si="125"/>
        <v>3.6653781211310066</v>
      </c>
      <c r="Y520" s="10"/>
      <c r="Z520" s="10"/>
      <c r="AB520" s="10" t="str">
        <f t="shared" si="126"/>
        <v>Non-Distress</v>
      </c>
      <c r="AC520" s="10">
        <f t="shared" si="127"/>
        <v>0</v>
      </c>
      <c r="AE520" s="10">
        <f t="shared" si="128"/>
        <v>0</v>
      </c>
      <c r="AG520" s="13">
        <f t="shared" si="129"/>
        <v>0.5</v>
      </c>
      <c r="AH520" s="13">
        <f t="shared" si="130"/>
        <v>0.5</v>
      </c>
      <c r="AI520" s="10">
        <f t="shared" si="131"/>
        <v>0.25</v>
      </c>
    </row>
    <row r="521" spans="1:35" x14ac:dyDescent="0.3">
      <c r="A521" t="s">
        <v>145</v>
      </c>
      <c r="B521">
        <v>2025</v>
      </c>
      <c r="C521" s="3">
        <v>1063140000000</v>
      </c>
      <c r="D521" s="3">
        <v>168349000000</v>
      </c>
      <c r="E521" s="3">
        <v>9960538000000</v>
      </c>
      <c r="F521" s="3">
        <v>4351893000000</v>
      </c>
      <c r="G521" s="3">
        <v>4921224000000</v>
      </c>
      <c r="H521" s="3">
        <v>2243844000000</v>
      </c>
      <c r="I521" s="3">
        <v>5039314000000</v>
      </c>
      <c r="J521" s="3">
        <v>4293789000000</v>
      </c>
      <c r="K521" s="3">
        <v>2108049000000</v>
      </c>
      <c r="M521" s="3">
        <v>6446671000000</v>
      </c>
      <c r="N521" s="3">
        <v>359677000000</v>
      </c>
      <c r="O521" s="3">
        <v>2996097000000</v>
      </c>
      <c r="P521">
        <f t="shared" si="132"/>
        <v>4.5861361765604327</v>
      </c>
      <c r="Q521">
        <f t="shared" si="133"/>
        <v>0</v>
      </c>
      <c r="R521" t="str">
        <f t="shared" si="124"/>
        <v>Safe</v>
      </c>
      <c r="S521">
        <f t="shared" si="134"/>
        <v>0.21164007406025659</v>
      </c>
      <c r="T521">
        <f t="shared" si="135"/>
        <v>0.43108002800651934</v>
      </c>
      <c r="U521">
        <f t="shared" si="136"/>
        <v>0.10673519844008426</v>
      </c>
      <c r="V521">
        <f t="shared" si="137"/>
        <v>1.0239960627681244</v>
      </c>
      <c r="X521" s="13">
        <f t="shared" si="125"/>
        <v>3.2667500657623711</v>
      </c>
      <c r="Y521" s="10"/>
      <c r="Z521" s="10"/>
      <c r="AB521" s="10" t="str">
        <f t="shared" si="126"/>
        <v>Non-Distress</v>
      </c>
      <c r="AC521" s="10">
        <f t="shared" si="127"/>
        <v>0</v>
      </c>
      <c r="AE521" s="10">
        <f t="shared" si="128"/>
        <v>0</v>
      </c>
      <c r="AG521" s="13">
        <f t="shared" si="129"/>
        <v>0.5</v>
      </c>
      <c r="AH521" s="13">
        <f t="shared" si="130"/>
        <v>0.5</v>
      </c>
      <c r="AI521" s="10">
        <f t="shared" si="131"/>
        <v>0.25</v>
      </c>
    </row>
    <row r="522" spans="1:35" x14ac:dyDescent="0.3">
      <c r="A522" t="s">
        <v>145</v>
      </c>
      <c r="B522">
        <v>2024</v>
      </c>
      <c r="C522" s="3">
        <v>1450436000000</v>
      </c>
      <c r="D522" s="3">
        <v>170533000000</v>
      </c>
      <c r="E522" s="3">
        <v>10702351000000</v>
      </c>
      <c r="F522" s="3">
        <v>2224658000000</v>
      </c>
      <c r="G522" s="3">
        <v>4492331000000</v>
      </c>
      <c r="H522" s="3">
        <v>1760388000000</v>
      </c>
      <c r="I522" s="3">
        <v>5764412000000</v>
      </c>
      <c r="J522" s="3">
        <v>4529148000000</v>
      </c>
      <c r="K522" s="3">
        <v>464270000000</v>
      </c>
      <c r="M522" s="3">
        <v>5536975000000</v>
      </c>
      <c r="N522" s="3">
        <v>748560000000</v>
      </c>
      <c r="O522" s="3">
        <v>2922405000000</v>
      </c>
      <c r="P522">
        <f t="shared" si="132"/>
        <v>3.922233084846769</v>
      </c>
      <c r="Q522">
        <f t="shared" si="133"/>
        <v>0</v>
      </c>
      <c r="R522" t="str">
        <f t="shared" si="124"/>
        <v>Safe</v>
      </c>
      <c r="S522">
        <f t="shared" si="134"/>
        <v>4.3380188147445362E-2</v>
      </c>
      <c r="T522">
        <f t="shared" si="135"/>
        <v>0.42319187625223653</v>
      </c>
      <c r="U522">
        <f t="shared" si="136"/>
        <v>0.13552498885525247</v>
      </c>
      <c r="V522">
        <f t="shared" si="137"/>
        <v>1.2831672465808952</v>
      </c>
      <c r="X522" s="13">
        <f t="shared" si="125"/>
        <v>2.3628987640077725</v>
      </c>
      <c r="Y522" s="10"/>
      <c r="Z522" s="10"/>
      <c r="AB522" s="10" t="str">
        <f t="shared" si="126"/>
        <v>Non-Distress</v>
      </c>
      <c r="AC522" s="10">
        <f t="shared" si="127"/>
        <v>0</v>
      </c>
      <c r="AE522" s="10">
        <f t="shared" si="128"/>
        <v>0</v>
      </c>
      <c r="AG522" s="13">
        <f t="shared" si="129"/>
        <v>0.5</v>
      </c>
      <c r="AH522" s="13">
        <f t="shared" si="130"/>
        <v>0.5</v>
      </c>
      <c r="AI522" s="10">
        <f t="shared" si="131"/>
        <v>0.25</v>
      </c>
    </row>
    <row r="523" spans="1:35" x14ac:dyDescent="0.3">
      <c r="A523" t="s">
        <v>145</v>
      </c>
      <c r="B523">
        <v>2023</v>
      </c>
      <c r="C523" s="3">
        <v>936608000000</v>
      </c>
      <c r="D523" s="3">
        <v>192303000000</v>
      </c>
      <c r="E523" s="3">
        <v>10067533000000</v>
      </c>
      <c r="F523" s="3">
        <v>1615746000000</v>
      </c>
      <c r="G523" s="3">
        <v>4555126000000</v>
      </c>
      <c r="H523" s="3">
        <v>1309773000000</v>
      </c>
      <c r="I523" s="3">
        <v>5230443000000</v>
      </c>
      <c r="J523" s="3">
        <v>3995093000000</v>
      </c>
      <c r="K523" s="3">
        <v>305973000000</v>
      </c>
      <c r="M523" s="3">
        <v>5620503000000</v>
      </c>
      <c r="N523" s="3">
        <v>483712000000</v>
      </c>
      <c r="O523" s="3">
        <v>2850781000000</v>
      </c>
      <c r="P523">
        <f t="shared" si="132"/>
        <v>3.3238812569212399</v>
      </c>
      <c r="Q523">
        <f t="shared" si="133"/>
        <v>0</v>
      </c>
      <c r="R523" t="str">
        <f t="shared" si="124"/>
        <v>Safe</v>
      </c>
      <c r="S523">
        <f t="shared" si="134"/>
        <v>3.0392053346137531E-2</v>
      </c>
      <c r="T523">
        <f t="shared" si="135"/>
        <v>0.39682939206655693</v>
      </c>
      <c r="U523">
        <f t="shared" si="136"/>
        <v>9.3032523459322156E-2</v>
      </c>
      <c r="V523">
        <f t="shared" si="137"/>
        <v>1.1482542963685307</v>
      </c>
      <c r="X523" s="13">
        <f t="shared" si="125"/>
        <v>1.9857639049788089</v>
      </c>
      <c r="Y523" s="10"/>
      <c r="Z523" s="10"/>
      <c r="AB523" s="10" t="str">
        <f t="shared" si="126"/>
        <v>Non-Distress</v>
      </c>
      <c r="AC523" s="10">
        <f t="shared" si="127"/>
        <v>0</v>
      </c>
      <c r="AE523" s="10">
        <f t="shared" si="128"/>
        <v>0</v>
      </c>
      <c r="AG523" s="13">
        <f t="shared" si="129"/>
        <v>0.5</v>
      </c>
      <c r="AH523" s="13">
        <f t="shared" si="130"/>
        <v>0.5</v>
      </c>
      <c r="AI523" s="10">
        <f t="shared" si="131"/>
        <v>0.25</v>
      </c>
    </row>
    <row r="524" spans="1:35" x14ac:dyDescent="0.3">
      <c r="A524" t="s">
        <v>145</v>
      </c>
      <c r="B524">
        <v>2022</v>
      </c>
      <c r="C524" s="3">
        <v>1612794000000</v>
      </c>
      <c r="D524" s="3">
        <v>208755000000</v>
      </c>
      <c r="E524" s="3">
        <v>10243238000000</v>
      </c>
      <c r="F524" s="3">
        <v>1800148000000</v>
      </c>
      <c r="G524" s="3">
        <v>5013127000000</v>
      </c>
      <c r="H524" s="3">
        <v>1360809000000</v>
      </c>
      <c r="I524" s="3">
        <v>5100895000000</v>
      </c>
      <c r="J524" s="3">
        <v>3865536000000</v>
      </c>
      <c r="K524" s="3">
        <v>439339000000</v>
      </c>
      <c r="M524" s="3">
        <v>5671723000000</v>
      </c>
      <c r="N524" s="3">
        <v>1049826000000</v>
      </c>
      <c r="O524" s="3">
        <v>3107145000000</v>
      </c>
      <c r="P524">
        <f t="shared" si="132"/>
        <v>3.638047695524588</v>
      </c>
      <c r="Q524">
        <f t="shared" si="133"/>
        <v>0</v>
      </c>
      <c r="R524" t="str">
        <f t="shared" si="124"/>
        <v>Safe</v>
      </c>
      <c r="S524">
        <f t="shared" si="134"/>
        <v>4.2890636730299539E-2</v>
      </c>
      <c r="T524">
        <f t="shared" si="135"/>
        <v>0.37737442008083771</v>
      </c>
      <c r="U524">
        <f t="shared" si="136"/>
        <v>0.15744962676841054</v>
      </c>
      <c r="V524">
        <f t="shared" si="137"/>
        <v>1.0175076354538795</v>
      </c>
      <c r="X524" s="13">
        <f t="shared" si="125"/>
        <v>2.3043792326676531</v>
      </c>
      <c r="Y524" s="10"/>
      <c r="Z524" s="10"/>
      <c r="AB524" s="10" t="str">
        <f t="shared" si="126"/>
        <v>Non-Distress</v>
      </c>
      <c r="AC524" s="10">
        <f t="shared" si="127"/>
        <v>0</v>
      </c>
      <c r="AE524" s="10">
        <f t="shared" si="128"/>
        <v>0</v>
      </c>
      <c r="AG524" s="13">
        <f t="shared" si="129"/>
        <v>0.5</v>
      </c>
      <c r="AH524" s="13">
        <f t="shared" si="130"/>
        <v>0.5</v>
      </c>
      <c r="AI524" s="10">
        <f t="shared" si="131"/>
        <v>0.25</v>
      </c>
    </row>
    <row r="525" spans="1:35" x14ac:dyDescent="0.3">
      <c r="A525" t="s">
        <v>146</v>
      </c>
      <c r="B525">
        <v>2025</v>
      </c>
      <c r="C525" s="3">
        <v>1576048000000</v>
      </c>
      <c r="D525" s="3">
        <v>1630000000</v>
      </c>
      <c r="E525" s="3">
        <v>3681875000000</v>
      </c>
      <c r="F525" s="3">
        <v>1986717000000</v>
      </c>
      <c r="G525" s="3">
        <v>561441000000</v>
      </c>
      <c r="H525" s="3">
        <v>514644000000</v>
      </c>
      <c r="I525" s="3">
        <v>3120427000000</v>
      </c>
      <c r="J525" s="3">
        <v>945260000000</v>
      </c>
      <c r="K525" s="3">
        <v>1472073000000</v>
      </c>
      <c r="M525" s="3">
        <v>4079659000000</v>
      </c>
      <c r="N525" s="3">
        <v>1229202000000</v>
      </c>
      <c r="O525" s="3">
        <v>4110000000</v>
      </c>
      <c r="P525">
        <f t="shared" si="132"/>
        <v>12.172063390526354</v>
      </c>
      <c r="Q525">
        <f t="shared" si="133"/>
        <v>0</v>
      </c>
      <c r="R525" t="str">
        <f t="shared" si="124"/>
        <v>Safe</v>
      </c>
      <c r="S525">
        <f t="shared" si="134"/>
        <v>0.39981612629434732</v>
      </c>
      <c r="T525">
        <f t="shared" si="135"/>
        <v>0.25673332201663557</v>
      </c>
      <c r="U525">
        <f t="shared" si="136"/>
        <v>0.42805581395348835</v>
      </c>
      <c r="V525">
        <f t="shared" si="137"/>
        <v>5.5578894309464397</v>
      </c>
      <c r="X525" s="13">
        <f t="shared" si="125"/>
        <v>5.5945420690596084</v>
      </c>
      <c r="Y525" s="10"/>
      <c r="Z525" s="10"/>
      <c r="AB525" s="10" t="str">
        <f t="shared" si="126"/>
        <v>Non-Distress</v>
      </c>
      <c r="AC525" s="10">
        <f t="shared" si="127"/>
        <v>0</v>
      </c>
      <c r="AE525" s="10">
        <f t="shared" si="128"/>
        <v>0</v>
      </c>
      <c r="AG525" s="13">
        <f t="shared" si="129"/>
        <v>0.5</v>
      </c>
      <c r="AH525" s="13">
        <f t="shared" si="130"/>
        <v>0.5</v>
      </c>
      <c r="AI525" s="10">
        <f t="shared" si="131"/>
        <v>0.25</v>
      </c>
    </row>
    <row r="526" spans="1:35" x14ac:dyDescent="0.3">
      <c r="A526" t="s">
        <v>146</v>
      </c>
      <c r="B526">
        <v>2024</v>
      </c>
      <c r="C526" s="3">
        <v>1511438000000</v>
      </c>
      <c r="D526" s="3">
        <v>1305000000</v>
      </c>
      <c r="E526" s="3">
        <v>3939625000000</v>
      </c>
      <c r="F526" s="3">
        <v>2203551000000</v>
      </c>
      <c r="G526" s="3">
        <v>451781000000</v>
      </c>
      <c r="H526" s="3">
        <v>411316000000</v>
      </c>
      <c r="I526" s="3">
        <v>3487837000000</v>
      </c>
      <c r="J526" s="3">
        <v>1013055000000</v>
      </c>
      <c r="K526" s="3">
        <v>1792235000000</v>
      </c>
      <c r="M526" s="3">
        <v>3919084000000</v>
      </c>
      <c r="N526" s="3">
        <v>1171026000000</v>
      </c>
      <c r="O526" s="3">
        <v>3300000000</v>
      </c>
      <c r="P526">
        <f t="shared" si="132"/>
        <v>14.506935895516428</v>
      </c>
      <c r="Q526">
        <f t="shared" si="133"/>
        <v>0</v>
      </c>
      <c r="R526" t="str">
        <f t="shared" si="124"/>
        <v>Safe</v>
      </c>
      <c r="S526">
        <f t="shared" si="134"/>
        <v>0.45492527842116953</v>
      </c>
      <c r="T526">
        <f t="shared" si="135"/>
        <v>0.25714503283941997</v>
      </c>
      <c r="U526">
        <f t="shared" si="136"/>
        <v>0.38365022051591202</v>
      </c>
      <c r="V526">
        <f t="shared" si="137"/>
        <v>7.7201940763334447</v>
      </c>
      <c r="X526" s="13">
        <f t="shared" si="125"/>
        <v>5.8108026198841216</v>
      </c>
      <c r="Y526" s="10"/>
      <c r="Z526" s="10"/>
      <c r="AB526" s="10" t="str">
        <f t="shared" si="126"/>
        <v>Non-Distress</v>
      </c>
      <c r="AC526" s="10">
        <f t="shared" si="127"/>
        <v>0</v>
      </c>
      <c r="AE526" s="10">
        <f t="shared" si="128"/>
        <v>0</v>
      </c>
      <c r="AG526" s="13">
        <f t="shared" si="129"/>
        <v>0.5</v>
      </c>
      <c r="AH526" s="13">
        <f t="shared" si="130"/>
        <v>0.5</v>
      </c>
      <c r="AI526" s="10">
        <f t="shared" si="131"/>
        <v>0.25</v>
      </c>
    </row>
    <row r="527" spans="1:35" x14ac:dyDescent="0.3">
      <c r="A527" t="s">
        <v>146</v>
      </c>
      <c r="B527">
        <v>2023</v>
      </c>
      <c r="C527" s="3">
        <v>1220081000000</v>
      </c>
      <c r="D527" s="3">
        <v>542000000</v>
      </c>
      <c r="E527" s="3">
        <v>3890706000000</v>
      </c>
      <c r="F527" s="3">
        <v>2066770000000</v>
      </c>
      <c r="G527" s="3">
        <v>504765000000</v>
      </c>
      <c r="H527" s="3">
        <v>461979000000</v>
      </c>
      <c r="I527" s="3">
        <v>3385934000000</v>
      </c>
      <c r="J527" s="3">
        <v>911152000000</v>
      </c>
      <c r="K527" s="3">
        <v>1604791000000</v>
      </c>
      <c r="M527" s="3">
        <v>3565930000000</v>
      </c>
      <c r="N527" s="3">
        <v>950648000000</v>
      </c>
      <c r="O527" s="3">
        <v>9391000000</v>
      </c>
      <c r="P527">
        <f t="shared" si="132"/>
        <v>12.619891535183005</v>
      </c>
      <c r="Q527">
        <f t="shared" si="133"/>
        <v>0</v>
      </c>
      <c r="R527" t="str">
        <f t="shared" si="124"/>
        <v>Safe</v>
      </c>
      <c r="S527">
        <f t="shared" si="134"/>
        <v>0.41246781432470098</v>
      </c>
      <c r="T527">
        <f t="shared" si="135"/>
        <v>0.23418680311491025</v>
      </c>
      <c r="U527">
        <f t="shared" si="136"/>
        <v>0.31358858777815646</v>
      </c>
      <c r="V527">
        <f t="shared" si="137"/>
        <v>6.7079413192277597</v>
      </c>
      <c r="X527" s="13">
        <f t="shared" si="125"/>
        <v>5.0936591060763501</v>
      </c>
      <c r="Y527" s="10"/>
      <c r="Z527" s="10"/>
      <c r="AB527" s="10" t="str">
        <f t="shared" si="126"/>
        <v>Non-Distress</v>
      </c>
      <c r="AC527" s="10">
        <f t="shared" si="127"/>
        <v>0</v>
      </c>
      <c r="AE527" s="10">
        <f t="shared" si="128"/>
        <v>0</v>
      </c>
      <c r="AG527" s="13">
        <f t="shared" si="129"/>
        <v>0.5</v>
      </c>
      <c r="AH527" s="13">
        <f t="shared" si="130"/>
        <v>0.5</v>
      </c>
      <c r="AI527" s="10">
        <f t="shared" si="131"/>
        <v>0.25</v>
      </c>
    </row>
    <row r="528" spans="1:35" x14ac:dyDescent="0.3">
      <c r="A528" t="s">
        <v>146</v>
      </c>
      <c r="B528">
        <v>2022</v>
      </c>
      <c r="C528" s="3">
        <v>1420494000000</v>
      </c>
      <c r="D528" s="3">
        <v>642000000</v>
      </c>
      <c r="E528" s="3">
        <v>4081442000000</v>
      </c>
      <c r="F528" s="3">
        <v>2194242000000</v>
      </c>
      <c r="G528" s="3">
        <v>575967000000</v>
      </c>
      <c r="H528" s="3">
        <v>541048000000</v>
      </c>
      <c r="I528" s="3">
        <v>3505468000000</v>
      </c>
      <c r="J528" s="3">
        <v>1030686000000</v>
      </c>
      <c r="K528" s="3">
        <v>1653194000000</v>
      </c>
      <c r="M528" s="3">
        <v>3865523000000</v>
      </c>
      <c r="N528" s="3">
        <v>1104714000000</v>
      </c>
      <c r="O528" s="3">
        <v>2385000000</v>
      </c>
      <c r="P528">
        <f t="shared" si="132"/>
        <v>12.209737607697347</v>
      </c>
      <c r="Q528">
        <f t="shared" si="133"/>
        <v>0</v>
      </c>
      <c r="R528" t="str">
        <f t="shared" si="124"/>
        <v>Safe</v>
      </c>
      <c r="S528">
        <f t="shared" si="134"/>
        <v>0.40505144995322734</v>
      </c>
      <c r="T528">
        <f t="shared" si="135"/>
        <v>0.25252986567002544</v>
      </c>
      <c r="U528">
        <f t="shared" si="136"/>
        <v>0.34803728682166746</v>
      </c>
      <c r="V528">
        <f t="shared" si="137"/>
        <v>6.0862306347412263</v>
      </c>
      <c r="X528" s="13">
        <f t="shared" si="125"/>
        <v>5.2483836055657163</v>
      </c>
      <c r="Y528" s="10"/>
      <c r="Z528" s="10"/>
      <c r="AB528" s="10" t="str">
        <f t="shared" si="126"/>
        <v>Non-Distress</v>
      </c>
      <c r="AC528" s="10">
        <f t="shared" si="127"/>
        <v>0</v>
      </c>
      <c r="AE528" s="10">
        <f t="shared" si="128"/>
        <v>0</v>
      </c>
      <c r="AG528" s="13">
        <f t="shared" si="129"/>
        <v>0.5</v>
      </c>
      <c r="AH528" s="13">
        <f t="shared" si="130"/>
        <v>0.5</v>
      </c>
      <c r="AI528" s="10">
        <f t="shared" si="131"/>
        <v>0.25</v>
      </c>
    </row>
    <row r="529" spans="1:35" x14ac:dyDescent="0.3">
      <c r="A529" t="s">
        <v>147</v>
      </c>
      <c r="B529">
        <v>2025</v>
      </c>
      <c r="C529" s="3">
        <v>4295862000000</v>
      </c>
      <c r="D529" s="3">
        <v>558514000000</v>
      </c>
      <c r="E529" s="3">
        <v>41376385000000</v>
      </c>
      <c r="F529" s="3">
        <v>15161953000000</v>
      </c>
      <c r="G529" s="3">
        <v>14781711000000</v>
      </c>
      <c r="H529" s="3">
        <v>11898013000000</v>
      </c>
      <c r="I529" s="3">
        <v>20443837000000</v>
      </c>
      <c r="J529" s="3">
        <v>15172178000000</v>
      </c>
      <c r="K529" s="3">
        <v>3263940000000</v>
      </c>
      <c r="M529" s="3">
        <v>21056904000000</v>
      </c>
      <c r="N529" s="3">
        <v>2067904000000</v>
      </c>
      <c r="O529" s="3">
        <v>9400423000000</v>
      </c>
      <c r="P529">
        <f t="shared" si="132"/>
        <v>3.8627783546974097</v>
      </c>
      <c r="Q529">
        <f t="shared" si="133"/>
        <v>0</v>
      </c>
      <c r="R529" t="str">
        <f t="shared" si="124"/>
        <v>Safe</v>
      </c>
      <c r="S529">
        <f t="shared" si="134"/>
        <v>7.8884126779079425E-2</v>
      </c>
      <c r="T529">
        <f t="shared" si="135"/>
        <v>0.36668689156870521</v>
      </c>
      <c r="U529">
        <f t="shared" si="136"/>
        <v>0.10382400492454814</v>
      </c>
      <c r="V529">
        <f t="shared" si="137"/>
        <v>1.3830494318282911</v>
      </c>
      <c r="X529" s="13">
        <f t="shared" si="125"/>
        <v>2.2456386001037814</v>
      </c>
      <c r="Y529" s="10"/>
      <c r="Z529" s="10"/>
      <c r="AB529" s="10" t="str">
        <f t="shared" si="126"/>
        <v>Non-Distress</v>
      </c>
      <c r="AC529" s="10">
        <f t="shared" si="127"/>
        <v>0</v>
      </c>
      <c r="AE529" s="10">
        <f t="shared" si="128"/>
        <v>0</v>
      </c>
      <c r="AG529" s="13">
        <f t="shared" si="129"/>
        <v>0.5</v>
      </c>
      <c r="AH529" s="13">
        <f t="shared" si="130"/>
        <v>0.5</v>
      </c>
      <c r="AI529" s="10">
        <f t="shared" si="131"/>
        <v>0.25</v>
      </c>
    </row>
    <row r="530" spans="1:35" x14ac:dyDescent="0.3">
      <c r="A530" t="s">
        <v>147</v>
      </c>
      <c r="B530">
        <v>2024</v>
      </c>
      <c r="C530" s="3">
        <v>3541406000000</v>
      </c>
      <c r="D530" s="3">
        <v>556302000000</v>
      </c>
      <c r="E530" s="3">
        <v>37247829000000</v>
      </c>
      <c r="F530" s="3">
        <v>13232699000000</v>
      </c>
      <c r="G530" s="3">
        <v>13260394000000</v>
      </c>
      <c r="H530" s="3">
        <v>8769433000000</v>
      </c>
      <c r="I530" s="3">
        <v>18724382000000</v>
      </c>
      <c r="J530" s="3">
        <v>13457619000000</v>
      </c>
      <c r="K530" s="3">
        <v>4463266000000</v>
      </c>
      <c r="M530" s="3">
        <v>15967804000000</v>
      </c>
      <c r="N530" s="3">
        <v>1549914000000</v>
      </c>
      <c r="O530" s="3">
        <v>7874433000000</v>
      </c>
      <c r="P530">
        <f t="shared" si="132"/>
        <v>4.0854682780347389</v>
      </c>
      <c r="Q530">
        <f t="shared" si="133"/>
        <v>0</v>
      </c>
      <c r="R530" t="str">
        <f t="shared" si="124"/>
        <v>Safe</v>
      </c>
      <c r="S530">
        <f t="shared" si="134"/>
        <v>0.1198262051729243</v>
      </c>
      <c r="T530">
        <f t="shared" si="135"/>
        <v>0.3612994196252351</v>
      </c>
      <c r="U530">
        <f t="shared" si="136"/>
        <v>9.507684327051652E-2</v>
      </c>
      <c r="V530">
        <f t="shared" si="137"/>
        <v>1.4120532165183026</v>
      </c>
      <c r="X530" s="13">
        <f t="shared" si="125"/>
        <v>2.4371497201036099</v>
      </c>
      <c r="Y530" s="10"/>
      <c r="Z530" s="10"/>
      <c r="AB530" s="10" t="str">
        <f t="shared" si="126"/>
        <v>Non-Distress</v>
      </c>
      <c r="AC530" s="10">
        <f t="shared" si="127"/>
        <v>0</v>
      </c>
      <c r="AE530" s="10">
        <f t="shared" si="128"/>
        <v>0</v>
      </c>
      <c r="AG530" s="13">
        <f t="shared" si="129"/>
        <v>0.5</v>
      </c>
      <c r="AH530" s="13">
        <f t="shared" si="130"/>
        <v>0.5</v>
      </c>
      <c r="AI530" s="10">
        <f t="shared" si="131"/>
        <v>0.25</v>
      </c>
    </row>
    <row r="531" spans="1:35" x14ac:dyDescent="0.3">
      <c r="A531" t="s">
        <v>147</v>
      </c>
      <c r="B531">
        <v>2023</v>
      </c>
      <c r="C531" s="3">
        <v>2099229000000</v>
      </c>
      <c r="D531" s="3">
        <v>611540000000</v>
      </c>
      <c r="E531" s="3">
        <v>35012351000000</v>
      </c>
      <c r="F531" s="3">
        <v>9896897000000</v>
      </c>
      <c r="G531" s="3">
        <v>13291426000000</v>
      </c>
      <c r="H531" s="3">
        <v>9411112000000</v>
      </c>
      <c r="I531" s="3">
        <v>17336832000000</v>
      </c>
      <c r="J531" s="3">
        <v>12075071000000</v>
      </c>
      <c r="K531" s="3">
        <v>485785000000</v>
      </c>
      <c r="M531" s="3">
        <v>16002643000000</v>
      </c>
      <c r="N531" s="3">
        <v>736417000000</v>
      </c>
      <c r="O531" s="3">
        <v>7926587000000</v>
      </c>
      <c r="P531">
        <f t="shared" si="132"/>
        <v>2.9878176957938294</v>
      </c>
      <c r="Q531">
        <f t="shared" si="133"/>
        <v>0</v>
      </c>
      <c r="R531" t="str">
        <f t="shared" si="124"/>
        <v>Safe</v>
      </c>
      <c r="S531">
        <f t="shared" si="134"/>
        <v>1.3874675253883979E-2</v>
      </c>
      <c r="T531">
        <f t="shared" si="135"/>
        <v>0.34488032523151618</v>
      </c>
      <c r="U531">
        <f t="shared" si="136"/>
        <v>5.9956813525604148E-2</v>
      </c>
      <c r="V531">
        <f t="shared" si="137"/>
        <v>1.3043620752205218</v>
      </c>
      <c r="X531" s="13">
        <f t="shared" si="125"/>
        <v>1.5612497504435443</v>
      </c>
      <c r="Y531" s="10"/>
      <c r="Z531" s="10"/>
      <c r="AB531" s="10" t="str">
        <f t="shared" si="126"/>
        <v>Non-Distress</v>
      </c>
      <c r="AC531" s="10">
        <f t="shared" si="127"/>
        <v>0</v>
      </c>
      <c r="AE531" s="10">
        <f t="shared" si="128"/>
        <v>0</v>
      </c>
      <c r="AG531" s="13">
        <f t="shared" si="129"/>
        <v>0.5</v>
      </c>
      <c r="AH531" s="13">
        <f t="shared" si="130"/>
        <v>0.5</v>
      </c>
      <c r="AI531" s="10">
        <f t="shared" si="131"/>
        <v>0.25</v>
      </c>
    </row>
    <row r="532" spans="1:35" x14ac:dyDescent="0.3">
      <c r="A532" t="s">
        <v>147</v>
      </c>
      <c r="B532">
        <v>2022</v>
      </c>
      <c r="C532" s="3">
        <v>3007814000000</v>
      </c>
      <c r="D532" s="3">
        <v>610828000000</v>
      </c>
      <c r="E532" s="3">
        <v>36113081000000</v>
      </c>
      <c r="F532" s="3">
        <v>10442878000000</v>
      </c>
      <c r="G532" s="3">
        <v>14945799000000</v>
      </c>
      <c r="H532" s="3">
        <v>9460845000000</v>
      </c>
      <c r="I532" s="3">
        <v>16832316000000</v>
      </c>
      <c r="J532" s="3">
        <v>11575536000000</v>
      </c>
      <c r="K532" s="3">
        <v>982033000000</v>
      </c>
      <c r="M532" s="3">
        <v>17794246000000</v>
      </c>
      <c r="N532" s="3">
        <v>1198367000000</v>
      </c>
      <c r="O532" s="3">
        <v>8701576000000</v>
      </c>
      <c r="P532">
        <f t="shared" si="132"/>
        <v>2.9655702733772173</v>
      </c>
      <c r="Q532">
        <f t="shared" si="133"/>
        <v>0</v>
      </c>
      <c r="R532" t="str">
        <f t="shared" si="124"/>
        <v>Safe</v>
      </c>
      <c r="S532">
        <f t="shared" si="134"/>
        <v>2.7193276585844337E-2</v>
      </c>
      <c r="T532">
        <f t="shared" si="135"/>
        <v>0.32053581913988449</v>
      </c>
      <c r="U532">
        <f t="shared" si="136"/>
        <v>8.3288767302906117E-2</v>
      </c>
      <c r="V532">
        <f t="shared" si="137"/>
        <v>1.1262238974309771</v>
      </c>
      <c r="X532" s="13">
        <f t="shared" si="125"/>
        <v>1.6680724594070546</v>
      </c>
      <c r="Y532" s="10"/>
      <c r="Z532" s="10"/>
      <c r="AB532" s="10" t="str">
        <f t="shared" si="126"/>
        <v>Non-Distress</v>
      </c>
      <c r="AC532" s="10">
        <f t="shared" si="127"/>
        <v>0</v>
      </c>
      <c r="AE532" s="10">
        <f t="shared" si="128"/>
        <v>0</v>
      </c>
      <c r="AG532" s="13">
        <f t="shared" si="129"/>
        <v>0.5</v>
      </c>
      <c r="AH532" s="13">
        <f t="shared" si="130"/>
        <v>0.5</v>
      </c>
      <c r="AI532" s="10">
        <f t="shared" si="131"/>
        <v>0.25</v>
      </c>
    </row>
    <row r="533" spans="1:35" x14ac:dyDescent="0.3">
      <c r="A533" t="s">
        <v>148</v>
      </c>
      <c r="B533">
        <v>2025</v>
      </c>
      <c r="C533" s="3">
        <v>7278598817</v>
      </c>
      <c r="D533" s="3">
        <v>48639230051</v>
      </c>
      <c r="E533" s="3">
        <v>1569197460365</v>
      </c>
      <c r="F533" s="3">
        <v>687763151181</v>
      </c>
      <c r="G533" s="3">
        <v>2256613426882</v>
      </c>
      <c r="H533" s="3">
        <v>1821585075379</v>
      </c>
      <c r="I533" s="3">
        <v>-763526872554</v>
      </c>
      <c r="J533" s="3">
        <v>-78271390052</v>
      </c>
      <c r="K533" s="3">
        <v>-1133821924198</v>
      </c>
      <c r="M533" s="3">
        <v>534021405626</v>
      </c>
      <c r="N533" s="3">
        <v>-43087994671</v>
      </c>
      <c r="O533" s="3">
        <v>953848601602</v>
      </c>
      <c r="P533">
        <f t="shared" si="132"/>
        <v>-5.2266274268865809</v>
      </c>
      <c r="Q533">
        <f t="shared" si="133"/>
        <v>1</v>
      </c>
      <c r="R533" t="str">
        <f t="shared" si="124"/>
        <v>Distress</v>
      </c>
      <c r="S533">
        <f t="shared" si="134"/>
        <v>-0.72254891614103789</v>
      </c>
      <c r="T533">
        <f t="shared" si="135"/>
        <v>-4.9879885756247556E-2</v>
      </c>
      <c r="U533">
        <f t="shared" si="136"/>
        <v>4.6384212317721798E-3</v>
      </c>
      <c r="V533">
        <f t="shared" si="137"/>
        <v>-0.33835076201287062</v>
      </c>
      <c r="X533" s="13">
        <f t="shared" si="125"/>
        <v>-4.5717704081031307</v>
      </c>
      <c r="Y533" s="10"/>
      <c r="Z533" s="10"/>
      <c r="AB533" s="10" t="str">
        <f t="shared" si="126"/>
        <v>Distress</v>
      </c>
      <c r="AC533" s="10">
        <f t="shared" si="127"/>
        <v>1</v>
      </c>
      <c r="AE533" s="10">
        <f t="shared" si="128"/>
        <v>1</v>
      </c>
      <c r="AG533" s="13">
        <f t="shared" si="129"/>
        <v>0.7310585786300049</v>
      </c>
      <c r="AH533" s="13">
        <f t="shared" si="130"/>
        <v>-0.2689414213699951</v>
      </c>
      <c r="AI533" s="10">
        <f t="shared" si="131"/>
        <v>0.19661193324148185</v>
      </c>
    </row>
    <row r="534" spans="1:35" x14ac:dyDescent="0.3">
      <c r="A534" t="s">
        <v>148</v>
      </c>
      <c r="B534">
        <v>2024</v>
      </c>
      <c r="C534" s="3">
        <v>30237491390</v>
      </c>
      <c r="D534" s="3">
        <v>49006817292</v>
      </c>
      <c r="E534" s="3">
        <v>806899523671</v>
      </c>
      <c r="F534" s="3">
        <v>211209244654</v>
      </c>
      <c r="G534" s="3">
        <v>1452954863010</v>
      </c>
      <c r="H534" s="3">
        <v>1243690269789</v>
      </c>
      <c r="I534" s="3">
        <v>-720293836665</v>
      </c>
      <c r="J534" s="3">
        <v>-35038354163</v>
      </c>
      <c r="K534" s="3">
        <v>-1032481025135</v>
      </c>
      <c r="M534" s="3">
        <v>435143362568</v>
      </c>
      <c r="N534" s="3">
        <v>-30960092762</v>
      </c>
      <c r="O534" s="3">
        <v>1009809122302</v>
      </c>
      <c r="P534">
        <f t="shared" si="132"/>
        <v>-8.8042202180383065</v>
      </c>
      <c r="Q534">
        <f t="shared" si="133"/>
        <v>1</v>
      </c>
      <c r="R534" t="str">
        <f t="shared" si="124"/>
        <v>Distress</v>
      </c>
      <c r="S534">
        <f t="shared" si="134"/>
        <v>-1.2795657883619933</v>
      </c>
      <c r="T534">
        <f t="shared" si="135"/>
        <v>-4.342344137668163E-2</v>
      </c>
      <c r="U534">
        <f t="shared" si="136"/>
        <v>3.7473676093442383E-2</v>
      </c>
      <c r="V534">
        <f t="shared" si="137"/>
        <v>-0.49574412461293543</v>
      </c>
      <c r="X534" s="13">
        <f t="shared" si="125"/>
        <v>-7.8029967575372483</v>
      </c>
      <c r="Y534" s="10"/>
      <c r="Z534" s="10"/>
      <c r="AB534" s="10" t="str">
        <f t="shared" si="126"/>
        <v>Distress</v>
      </c>
      <c r="AC534" s="10">
        <f t="shared" si="127"/>
        <v>1</v>
      </c>
      <c r="AE534" s="10">
        <f t="shared" si="128"/>
        <v>1</v>
      </c>
      <c r="AG534" s="13">
        <f t="shared" si="129"/>
        <v>0.7310585786300049</v>
      </c>
      <c r="AH534" s="13">
        <f t="shared" si="130"/>
        <v>-0.2689414213699951</v>
      </c>
      <c r="AI534" s="10">
        <f t="shared" si="131"/>
        <v>0.19661193324148185</v>
      </c>
    </row>
    <row r="535" spans="1:35" x14ac:dyDescent="0.3">
      <c r="A535" t="s">
        <v>148</v>
      </c>
      <c r="B535">
        <v>2023</v>
      </c>
      <c r="C535" s="3">
        <v>14366856167</v>
      </c>
      <c r="D535" s="3">
        <v>19547188867</v>
      </c>
      <c r="E535" s="3">
        <v>596476287836</v>
      </c>
      <c r="F535" s="3">
        <v>128477450069</v>
      </c>
      <c r="G535" s="3">
        <v>1220048412263</v>
      </c>
      <c r="H535" s="3">
        <v>1013816502571</v>
      </c>
      <c r="I535" s="3">
        <v>-689955339428</v>
      </c>
      <c r="J535" s="3">
        <v>-4699856926</v>
      </c>
      <c r="K535" s="3">
        <v>-885339052502</v>
      </c>
      <c r="M535" s="3">
        <v>297411483210</v>
      </c>
      <c r="N535" s="3">
        <v>-16493526203</v>
      </c>
      <c r="O535" s="3">
        <v>962594735076</v>
      </c>
      <c r="P535">
        <f t="shared" si="132"/>
        <v>-10.194508142462185</v>
      </c>
      <c r="Q535">
        <f t="shared" si="133"/>
        <v>1</v>
      </c>
      <c r="R535" t="str">
        <f t="shared" si="124"/>
        <v>Distress</v>
      </c>
      <c r="S535">
        <f t="shared" si="134"/>
        <v>-1.4842820587453465</v>
      </c>
      <c r="T535">
        <f t="shared" si="135"/>
        <v>-7.8793692588366836E-3</v>
      </c>
      <c r="U535">
        <f t="shared" si="136"/>
        <v>2.4086215093516241E-2</v>
      </c>
      <c r="V535">
        <f t="shared" si="137"/>
        <v>-0.56551472260698266</v>
      </c>
      <c r="X535" s="13">
        <f t="shared" si="125"/>
        <v>-9.0054706408971459</v>
      </c>
      <c r="Y535" s="10"/>
      <c r="Z535" s="10"/>
      <c r="AB535" s="10" t="str">
        <f t="shared" si="126"/>
        <v>Distress</v>
      </c>
      <c r="AC535" s="10">
        <f t="shared" si="127"/>
        <v>1</v>
      </c>
      <c r="AE535" s="10">
        <f t="shared" si="128"/>
        <v>1</v>
      </c>
      <c r="AG535" s="13">
        <f t="shared" si="129"/>
        <v>0.7310585786300049</v>
      </c>
      <c r="AH535" s="13">
        <f t="shared" si="130"/>
        <v>-0.2689414213699951</v>
      </c>
      <c r="AI535" s="10">
        <f t="shared" si="131"/>
        <v>0.19661193324148185</v>
      </c>
    </row>
    <row r="536" spans="1:35" x14ac:dyDescent="0.3">
      <c r="A536" t="s">
        <v>148</v>
      </c>
      <c r="B536">
        <v>2022</v>
      </c>
      <c r="C536" s="3">
        <v>21481028392</v>
      </c>
      <c r="D536" s="3">
        <v>6633527072</v>
      </c>
      <c r="E536" s="3">
        <v>563818753191</v>
      </c>
      <c r="F536" s="3">
        <v>142091124989</v>
      </c>
      <c r="G536" s="3">
        <v>283587154073</v>
      </c>
      <c r="H536" s="3">
        <v>119891311041</v>
      </c>
      <c r="I536" s="3">
        <v>264997410457</v>
      </c>
      <c r="J536" s="3">
        <v>7814494356</v>
      </c>
      <c r="K536" s="3">
        <v>22199813948</v>
      </c>
      <c r="M536" s="3">
        <v>413645245865</v>
      </c>
      <c r="N536" s="3">
        <v>4989306638</v>
      </c>
      <c r="O536" s="3">
        <v>67927416275</v>
      </c>
      <c r="P536">
        <f t="shared" si="132"/>
        <v>1.540673715121933</v>
      </c>
      <c r="Q536">
        <f t="shared" si="133"/>
        <v>0</v>
      </c>
      <c r="R536" t="str">
        <f t="shared" si="124"/>
        <v>Grey Area</v>
      </c>
      <c r="S536">
        <f t="shared" si="134"/>
        <v>3.9374025468925052E-2</v>
      </c>
      <c r="T536">
        <f t="shared" si="135"/>
        <v>1.3859940471601787E-2</v>
      </c>
      <c r="U536">
        <f t="shared" si="136"/>
        <v>3.8099173307779385E-2</v>
      </c>
      <c r="V536">
        <f t="shared" si="137"/>
        <v>0.93444786426674775</v>
      </c>
      <c r="X536" s="13">
        <f t="shared" si="125"/>
        <v>0.51052146782516916</v>
      </c>
      <c r="Y536" s="10"/>
      <c r="Z536" s="10"/>
      <c r="AB536" s="10" t="str">
        <f t="shared" si="126"/>
        <v>Non-Distress</v>
      </c>
      <c r="AC536" s="10">
        <f t="shared" si="127"/>
        <v>0</v>
      </c>
      <c r="AE536" s="10">
        <f t="shared" si="128"/>
        <v>0</v>
      </c>
      <c r="AG536" s="13">
        <f t="shared" si="129"/>
        <v>0.5</v>
      </c>
      <c r="AH536" s="13">
        <f t="shared" si="130"/>
        <v>0.5</v>
      </c>
      <c r="AI536" s="10">
        <f t="shared" si="131"/>
        <v>0.25</v>
      </c>
    </row>
    <row r="537" spans="1:35" x14ac:dyDescent="0.3">
      <c r="A537" t="s">
        <v>149</v>
      </c>
      <c r="B537">
        <v>2025</v>
      </c>
      <c r="C537" s="3">
        <v>114416000000</v>
      </c>
      <c r="D537" s="3">
        <v>59376000000</v>
      </c>
      <c r="E537" s="3">
        <v>2886577000000</v>
      </c>
      <c r="F537" s="3">
        <v>1588123000000</v>
      </c>
      <c r="G537" s="3">
        <v>1648217000000</v>
      </c>
      <c r="H537" s="3">
        <v>1263869000000</v>
      </c>
      <c r="I537" s="3">
        <v>1238360000000</v>
      </c>
      <c r="J537" s="3">
        <v>-680597000000</v>
      </c>
      <c r="K537" s="3">
        <v>324254000000</v>
      </c>
      <c r="M537" s="3">
        <v>5441546000000</v>
      </c>
      <c r="N537" s="3">
        <v>29326000000</v>
      </c>
      <c r="O537" s="3">
        <v>599105000000</v>
      </c>
      <c r="P537">
        <f t="shared" si="132"/>
        <v>1.0235152050346674</v>
      </c>
      <c r="Q537">
        <f t="shared" si="133"/>
        <v>1</v>
      </c>
      <c r="R537" t="str">
        <f t="shared" si="124"/>
        <v>Distress</v>
      </c>
      <c r="S537">
        <f t="shared" si="134"/>
        <v>0.11233166480575436</v>
      </c>
      <c r="T537">
        <f t="shared" si="135"/>
        <v>-0.23577995667532861</v>
      </c>
      <c r="U537">
        <f t="shared" si="136"/>
        <v>3.9637258940260385E-2</v>
      </c>
      <c r="V537">
        <f t="shared" si="137"/>
        <v>0.75133310723041935</v>
      </c>
      <c r="X537" s="13">
        <f t="shared" si="125"/>
        <v>0.13778719056432853</v>
      </c>
      <c r="Y537" s="10"/>
      <c r="Z537" s="10"/>
      <c r="AB537" s="10" t="str">
        <f t="shared" si="126"/>
        <v>Non-Distress</v>
      </c>
      <c r="AC537" s="10">
        <f t="shared" si="127"/>
        <v>0</v>
      </c>
      <c r="AE537" s="10">
        <f t="shared" si="128"/>
        <v>1</v>
      </c>
      <c r="AG537" s="13">
        <f t="shared" si="129"/>
        <v>0.7310585786300049</v>
      </c>
      <c r="AH537" s="13">
        <f t="shared" si="130"/>
        <v>-0.2689414213699951</v>
      </c>
      <c r="AI537" s="10">
        <f t="shared" si="131"/>
        <v>0.19661193324148185</v>
      </c>
    </row>
    <row r="538" spans="1:35" x14ac:dyDescent="0.3">
      <c r="A538" t="s">
        <v>149</v>
      </c>
      <c r="B538">
        <v>2024</v>
      </c>
      <c r="C538" s="3">
        <v>84168000000</v>
      </c>
      <c r="D538" s="3">
        <v>68319000000</v>
      </c>
      <c r="E538" s="3">
        <v>3119496000000</v>
      </c>
      <c r="F538" s="3">
        <v>1822892000000</v>
      </c>
      <c r="G538" s="3">
        <v>1915653000000</v>
      </c>
      <c r="H538" s="3">
        <v>1790792000000</v>
      </c>
      <c r="I538" s="3">
        <v>1203843000000</v>
      </c>
      <c r="J538" s="3">
        <v>-709258000000</v>
      </c>
      <c r="K538" s="3">
        <v>32100000000</v>
      </c>
      <c r="M538" s="3">
        <v>5360755000000</v>
      </c>
      <c r="N538" s="3">
        <v>3325000000</v>
      </c>
      <c r="O538" s="3">
        <v>1024098000000</v>
      </c>
      <c r="P538">
        <f t="shared" si="132"/>
        <v>0.16745958424796958</v>
      </c>
      <c r="Q538">
        <f t="shared" si="133"/>
        <v>1</v>
      </c>
      <c r="R538" t="str">
        <f t="shared" si="124"/>
        <v>Distress</v>
      </c>
      <c r="S538">
        <f t="shared" si="134"/>
        <v>1.0290123789227491E-2</v>
      </c>
      <c r="T538">
        <f t="shared" si="135"/>
        <v>-0.22736300992211561</v>
      </c>
      <c r="U538">
        <f t="shared" si="136"/>
        <v>2.6981281591641728E-2</v>
      </c>
      <c r="V538">
        <f t="shared" si="137"/>
        <v>0.62842435451514445</v>
      </c>
      <c r="X538" s="13">
        <f t="shared" si="125"/>
        <v>-0.52479987888046076</v>
      </c>
      <c r="Y538" s="10"/>
      <c r="Z538" s="10"/>
      <c r="AB538" s="10" t="str">
        <f t="shared" si="126"/>
        <v>Distress</v>
      </c>
      <c r="AC538" s="10">
        <f t="shared" si="127"/>
        <v>1</v>
      </c>
      <c r="AE538" s="10">
        <f t="shared" si="128"/>
        <v>1</v>
      </c>
      <c r="AG538" s="13">
        <f t="shared" si="129"/>
        <v>0.7310585786300049</v>
      </c>
      <c r="AH538" s="13">
        <f t="shared" si="130"/>
        <v>-0.2689414213699951</v>
      </c>
      <c r="AI538" s="10">
        <f t="shared" si="131"/>
        <v>0.19661193324148185</v>
      </c>
    </row>
    <row r="539" spans="1:35" x14ac:dyDescent="0.3">
      <c r="A539" t="s">
        <v>149</v>
      </c>
      <c r="B539">
        <v>2023</v>
      </c>
      <c r="C539" s="3">
        <v>27654000000</v>
      </c>
      <c r="D539" s="3">
        <v>69647000000</v>
      </c>
      <c r="E539" s="3">
        <v>3281471000000</v>
      </c>
      <c r="F539" s="3">
        <v>2122106000000</v>
      </c>
      <c r="G539" s="3">
        <v>2088422000000</v>
      </c>
      <c r="H539" s="3">
        <v>1949230000000</v>
      </c>
      <c r="I539" s="3">
        <v>1193049000000</v>
      </c>
      <c r="J539" s="3">
        <v>-712583000000</v>
      </c>
      <c r="K539" s="3">
        <v>172876000000</v>
      </c>
      <c r="M539" s="3">
        <v>6091342000000</v>
      </c>
      <c r="N539" s="3">
        <v>-17315000000</v>
      </c>
      <c r="O539" s="3">
        <v>1078378000000</v>
      </c>
      <c r="P539">
        <f t="shared" si="132"/>
        <v>0.29413966066547043</v>
      </c>
      <c r="Q539">
        <f t="shared" si="133"/>
        <v>1</v>
      </c>
      <c r="R539" t="str">
        <f t="shared" si="124"/>
        <v>Distress</v>
      </c>
      <c r="S539">
        <f t="shared" si="134"/>
        <v>5.2682470757779057E-2</v>
      </c>
      <c r="T539">
        <f t="shared" si="135"/>
        <v>-0.21715352657390541</v>
      </c>
      <c r="U539">
        <f t="shared" si="136"/>
        <v>8.4273181143456697E-3</v>
      </c>
      <c r="V539">
        <f t="shared" si="137"/>
        <v>0.57126816323520824</v>
      </c>
      <c r="X539" s="13">
        <f t="shared" si="125"/>
        <v>-0.32444424210409395</v>
      </c>
      <c r="Y539" s="10"/>
      <c r="Z539" s="10"/>
      <c r="AB539" s="10" t="str">
        <f t="shared" si="126"/>
        <v>Distress</v>
      </c>
      <c r="AC539" s="10">
        <f t="shared" si="127"/>
        <v>1</v>
      </c>
      <c r="AE539" s="10">
        <f t="shared" si="128"/>
        <v>1</v>
      </c>
      <c r="AG539" s="13">
        <f t="shared" si="129"/>
        <v>0.7310585786300049</v>
      </c>
      <c r="AH539" s="13">
        <f t="shared" si="130"/>
        <v>-0.2689414213699951</v>
      </c>
      <c r="AI539" s="10">
        <f t="shared" si="131"/>
        <v>0.19661193324148185</v>
      </c>
    </row>
    <row r="540" spans="1:35" x14ac:dyDescent="0.3">
      <c r="A540" t="s">
        <v>149</v>
      </c>
      <c r="B540">
        <v>2022</v>
      </c>
      <c r="C540" s="3">
        <v>-136959000000</v>
      </c>
      <c r="D540" s="3">
        <v>72090000000</v>
      </c>
      <c r="E540" s="3">
        <v>3002424000000</v>
      </c>
      <c r="F540" s="3">
        <v>1897751000000</v>
      </c>
      <c r="G540" s="3">
        <v>2300107000000</v>
      </c>
      <c r="H540" s="3">
        <v>2174878000000</v>
      </c>
      <c r="I540" s="3">
        <v>702317000000</v>
      </c>
      <c r="J540" s="3">
        <v>-694966000000</v>
      </c>
      <c r="K540" s="3">
        <v>-277127000000</v>
      </c>
      <c r="M540" s="3">
        <v>6047203000000</v>
      </c>
      <c r="N540" s="3">
        <v>-218103000000</v>
      </c>
      <c r="O540" s="3">
        <v>1223402000000</v>
      </c>
      <c r="P540">
        <f t="shared" si="132"/>
        <v>-1.3460142261741352</v>
      </c>
      <c r="Q540">
        <f t="shared" si="133"/>
        <v>1</v>
      </c>
      <c r="R540" t="str">
        <f t="shared" si="124"/>
        <v>Distress</v>
      </c>
      <c r="S540">
        <f t="shared" si="134"/>
        <v>-9.2301087388057118E-2</v>
      </c>
      <c r="T540">
        <f t="shared" si="135"/>
        <v>-0.23146830694132475</v>
      </c>
      <c r="U540">
        <f t="shared" si="136"/>
        <v>-4.5616142157137031E-2</v>
      </c>
      <c r="V540">
        <f t="shared" si="137"/>
        <v>0.30534101239637984</v>
      </c>
      <c r="X540" s="13">
        <f t="shared" si="125"/>
        <v>-1.5303457652665269</v>
      </c>
      <c r="Y540" s="10"/>
      <c r="Z540" s="10"/>
      <c r="AB540" s="10" t="str">
        <f t="shared" si="126"/>
        <v>Distress</v>
      </c>
      <c r="AC540" s="10">
        <f t="shared" si="127"/>
        <v>1</v>
      </c>
      <c r="AE540" s="10">
        <f t="shared" si="128"/>
        <v>1</v>
      </c>
      <c r="AG540" s="13">
        <f t="shared" si="129"/>
        <v>0.7310585786300049</v>
      </c>
      <c r="AH540" s="13">
        <f t="shared" si="130"/>
        <v>-0.2689414213699951</v>
      </c>
      <c r="AI540" s="10">
        <f t="shared" si="131"/>
        <v>0.19661193324148185</v>
      </c>
    </row>
    <row r="541" spans="1:35" x14ac:dyDescent="0.3">
      <c r="A541" t="s">
        <v>150</v>
      </c>
      <c r="B541">
        <v>2025</v>
      </c>
      <c r="C541" s="3">
        <v>145743060535</v>
      </c>
      <c r="D541" s="3">
        <v>45542652993</v>
      </c>
      <c r="E541" s="3">
        <v>2323482396543</v>
      </c>
      <c r="F541" s="3">
        <v>1574892735136</v>
      </c>
      <c r="G541" s="3">
        <v>1267759966132</v>
      </c>
      <c r="H541" s="3">
        <v>1163257222596</v>
      </c>
      <c r="I541" s="3">
        <v>997275972041</v>
      </c>
      <c r="J541" s="3">
        <v>331657081014</v>
      </c>
      <c r="K541" s="3">
        <v>411635512540</v>
      </c>
      <c r="M541" s="3">
        <v>3013683622195</v>
      </c>
      <c r="N541" s="3">
        <v>69545985208</v>
      </c>
      <c r="O541" s="3">
        <v>654026486594</v>
      </c>
      <c r="P541">
        <f t="shared" si="132"/>
        <v>2.8750232715490003</v>
      </c>
      <c r="Q541">
        <f t="shared" si="133"/>
        <v>0</v>
      </c>
      <c r="R541" t="str">
        <f t="shared" si="124"/>
        <v>Safe</v>
      </c>
      <c r="S541">
        <f t="shared" si="134"/>
        <v>0.17716317246580093</v>
      </c>
      <c r="T541">
        <f t="shared" si="135"/>
        <v>0.14274137884903149</v>
      </c>
      <c r="U541">
        <f t="shared" si="136"/>
        <v>6.2726130721646192E-2</v>
      </c>
      <c r="V541">
        <f t="shared" si="137"/>
        <v>0.78664415873908655</v>
      </c>
      <c r="X541" s="13">
        <f t="shared" si="125"/>
        <v>1.8878845916957994</v>
      </c>
      <c r="Y541" s="10"/>
      <c r="Z541" s="10"/>
      <c r="AB541" s="10" t="str">
        <f t="shared" si="126"/>
        <v>Non-Distress</v>
      </c>
      <c r="AC541" s="10">
        <f t="shared" si="127"/>
        <v>0</v>
      </c>
      <c r="AE541" s="10">
        <f t="shared" si="128"/>
        <v>0</v>
      </c>
      <c r="AG541" s="13">
        <f t="shared" si="129"/>
        <v>0.5</v>
      </c>
      <c r="AH541" s="13">
        <f t="shared" si="130"/>
        <v>0.5</v>
      </c>
      <c r="AI541" s="10">
        <f t="shared" si="131"/>
        <v>0.25</v>
      </c>
    </row>
    <row r="542" spans="1:35" x14ac:dyDescent="0.3">
      <c r="A542" t="s">
        <v>150</v>
      </c>
      <c r="B542">
        <v>2024</v>
      </c>
      <c r="C542" s="3">
        <v>-61248464760</v>
      </c>
      <c r="D542" s="3">
        <v>41950282519</v>
      </c>
      <c r="E542" s="3">
        <v>1841387615106</v>
      </c>
      <c r="F542" s="3">
        <v>1068708952564</v>
      </c>
      <c r="G542" s="3">
        <v>852908675358</v>
      </c>
      <c r="H542" s="3">
        <v>753716763605</v>
      </c>
      <c r="I542" s="3">
        <v>925859571874</v>
      </c>
      <c r="J542" s="3">
        <v>260240374546</v>
      </c>
      <c r="K542" s="3">
        <v>314992188959</v>
      </c>
      <c r="M542" s="3">
        <v>2269370863582</v>
      </c>
      <c r="N542" s="3">
        <v>-75222579818</v>
      </c>
      <c r="O542" s="3">
        <v>555081474394</v>
      </c>
      <c r="P542">
        <f t="shared" si="132"/>
        <v>2.4991869713386761</v>
      </c>
      <c r="Q542">
        <f t="shared" si="133"/>
        <v>0</v>
      </c>
      <c r="R542" t="str">
        <f t="shared" si="124"/>
        <v>Grey Area</v>
      </c>
      <c r="S542">
        <f t="shared" si="134"/>
        <v>0.17106240227474723</v>
      </c>
      <c r="T542">
        <f t="shared" si="135"/>
        <v>0.14132840495455334</v>
      </c>
      <c r="U542">
        <f t="shared" si="136"/>
        <v>-3.3262124854942191E-2</v>
      </c>
      <c r="V542">
        <f t="shared" si="137"/>
        <v>1.0855318964663827</v>
      </c>
      <c r="X542" s="13">
        <f t="shared" si="125"/>
        <v>1.3944784410182016</v>
      </c>
      <c r="Y542" s="10"/>
      <c r="Z542" s="10"/>
      <c r="AB542" s="10" t="str">
        <f t="shared" si="126"/>
        <v>Non-Distress</v>
      </c>
      <c r="AC542" s="10">
        <f t="shared" si="127"/>
        <v>0</v>
      </c>
      <c r="AE542" s="10">
        <f t="shared" si="128"/>
        <v>0</v>
      </c>
      <c r="AG542" s="13">
        <f t="shared" si="129"/>
        <v>0.5</v>
      </c>
      <c r="AH542" s="13">
        <f t="shared" si="130"/>
        <v>0.5</v>
      </c>
      <c r="AI542" s="10">
        <f t="shared" si="131"/>
        <v>0.25</v>
      </c>
    </row>
    <row r="543" spans="1:35" x14ac:dyDescent="0.3">
      <c r="A543" t="s">
        <v>150</v>
      </c>
      <c r="B543">
        <v>2023</v>
      </c>
      <c r="C543" s="3">
        <v>58338871684</v>
      </c>
      <c r="D543" s="3">
        <v>46392861761</v>
      </c>
      <c r="E543" s="3">
        <v>1839622473747</v>
      </c>
      <c r="F543" s="3">
        <v>1073290266264</v>
      </c>
      <c r="G543" s="3">
        <v>772343255862</v>
      </c>
      <c r="H543" s="3">
        <v>685194518888</v>
      </c>
      <c r="I543" s="3">
        <v>998211077919</v>
      </c>
      <c r="J543" s="3">
        <v>331450310066</v>
      </c>
      <c r="K543" s="3">
        <v>388095747376</v>
      </c>
      <c r="M543" s="3">
        <v>2839561359367</v>
      </c>
      <c r="N543" s="3">
        <v>1496164143</v>
      </c>
      <c r="O543" s="3">
        <v>552900373691</v>
      </c>
      <c r="P543">
        <f t="shared" si="132"/>
        <v>3.5414681991395645</v>
      </c>
      <c r="Q543">
        <f t="shared" si="133"/>
        <v>0</v>
      </c>
      <c r="R543" t="str">
        <f t="shared" si="124"/>
        <v>Safe</v>
      </c>
      <c r="S543">
        <f t="shared" si="134"/>
        <v>0.21096488704310867</v>
      </c>
      <c r="T543">
        <f t="shared" si="135"/>
        <v>0.18017300549220391</v>
      </c>
      <c r="U543">
        <f t="shared" si="136"/>
        <v>3.1712415192000555E-2</v>
      </c>
      <c r="V543">
        <f t="shared" si="137"/>
        <v>1.2924448687066121</v>
      </c>
      <c r="X543" s="13">
        <f t="shared" si="125"/>
        <v>2.0888704727584821</v>
      </c>
      <c r="Y543" s="10"/>
      <c r="Z543" s="10"/>
      <c r="AB543" s="10" t="str">
        <f t="shared" si="126"/>
        <v>Non-Distress</v>
      </c>
      <c r="AC543" s="10">
        <f t="shared" si="127"/>
        <v>0</v>
      </c>
      <c r="AE543" s="10">
        <f t="shared" si="128"/>
        <v>0</v>
      </c>
      <c r="AG543" s="13">
        <f t="shared" si="129"/>
        <v>0.5</v>
      </c>
      <c r="AH543" s="13">
        <f t="shared" si="130"/>
        <v>0.5</v>
      </c>
      <c r="AI543" s="10">
        <f t="shared" si="131"/>
        <v>0.25</v>
      </c>
    </row>
    <row r="544" spans="1:35" x14ac:dyDescent="0.3">
      <c r="A544" t="s">
        <v>150</v>
      </c>
      <c r="B544">
        <v>2022</v>
      </c>
      <c r="C544" s="3">
        <v>157658543259</v>
      </c>
      <c r="D544" s="3">
        <v>40471029356</v>
      </c>
      <c r="E544" s="3">
        <v>2042199577083</v>
      </c>
      <c r="F544" s="3">
        <v>1263255237692</v>
      </c>
      <c r="G544" s="3">
        <v>968233866594</v>
      </c>
      <c r="H544" s="3">
        <v>875853096624</v>
      </c>
      <c r="I544" s="3">
        <v>1007768725727</v>
      </c>
      <c r="J544" s="3">
        <v>341007957874</v>
      </c>
      <c r="K544" s="3">
        <v>387402141068</v>
      </c>
      <c r="M544" s="3">
        <v>3802296289773</v>
      </c>
      <c r="N544" s="3">
        <v>86221358302</v>
      </c>
      <c r="O544" s="3">
        <v>607726856207</v>
      </c>
      <c r="P544">
        <f t="shared" si="132"/>
        <v>3.4004390824592083</v>
      </c>
      <c r="Q544">
        <f t="shared" si="133"/>
        <v>0</v>
      </c>
      <c r="R544" t="str">
        <f t="shared" si="124"/>
        <v>Safe</v>
      </c>
      <c r="S544">
        <f t="shared" si="134"/>
        <v>0.18969847286980171</v>
      </c>
      <c r="T544">
        <f t="shared" si="135"/>
        <v>0.16698072103270278</v>
      </c>
      <c r="U544">
        <f t="shared" si="136"/>
        <v>7.720036035077113E-2</v>
      </c>
      <c r="V544">
        <f t="shared" si="137"/>
        <v>1.0408319317233485</v>
      </c>
      <c r="X544" s="13">
        <f t="shared" si="125"/>
        <v>2.1248832905876043</v>
      </c>
      <c r="Y544" s="10"/>
      <c r="Z544" s="10"/>
      <c r="AB544" s="10" t="str">
        <f t="shared" si="126"/>
        <v>Non-Distress</v>
      </c>
      <c r="AC544" s="10">
        <f t="shared" si="127"/>
        <v>0</v>
      </c>
      <c r="AE544" s="10">
        <f t="shared" si="128"/>
        <v>0</v>
      </c>
      <c r="AG544" s="13">
        <f t="shared" si="129"/>
        <v>0.5</v>
      </c>
      <c r="AH544" s="13">
        <f t="shared" si="130"/>
        <v>0.5</v>
      </c>
      <c r="AI544" s="10">
        <f t="shared" si="131"/>
        <v>0.25</v>
      </c>
    </row>
    <row r="545" spans="1:35" x14ac:dyDescent="0.3">
      <c r="A545" t="s">
        <v>151</v>
      </c>
      <c r="B545">
        <v>2025</v>
      </c>
      <c r="C545" s="3">
        <v>179675431839</v>
      </c>
      <c r="D545" s="3">
        <v>17715991169</v>
      </c>
      <c r="E545" s="3">
        <v>1799912711783</v>
      </c>
      <c r="F545" s="3">
        <v>913515235295</v>
      </c>
      <c r="G545" s="3">
        <v>815967471964</v>
      </c>
      <c r="H545" s="3">
        <v>570640316177</v>
      </c>
      <c r="I545" s="3">
        <v>766518767671</v>
      </c>
      <c r="J545" s="3">
        <v>505899291690</v>
      </c>
      <c r="K545" s="3">
        <v>342874919118</v>
      </c>
      <c r="M545" s="3">
        <v>2650814989155</v>
      </c>
      <c r="N545" s="3">
        <v>115221223030</v>
      </c>
      <c r="O545" s="3">
        <v>411583410266</v>
      </c>
      <c r="P545">
        <f t="shared" si="132"/>
        <v>3.8231228813193989</v>
      </c>
      <c r="Q545">
        <f t="shared" si="133"/>
        <v>0</v>
      </c>
      <c r="R545" t="str">
        <f t="shared" si="124"/>
        <v>Safe</v>
      </c>
      <c r="S545">
        <f t="shared" si="134"/>
        <v>0.19049530395190492</v>
      </c>
      <c r="T545">
        <f t="shared" si="135"/>
        <v>0.2810687920465067</v>
      </c>
      <c r="U545">
        <f t="shared" si="136"/>
        <v>9.9824525191009331E-2</v>
      </c>
      <c r="V545">
        <f t="shared" si="137"/>
        <v>0.93939868194257914</v>
      </c>
      <c r="X545" s="13">
        <f t="shared" si="125"/>
        <v>2.608772645711471</v>
      </c>
      <c r="Y545" s="10"/>
      <c r="Z545" s="10"/>
      <c r="AB545" s="10" t="str">
        <f t="shared" si="126"/>
        <v>Non-Distress</v>
      </c>
      <c r="AC545" s="10">
        <f t="shared" si="127"/>
        <v>0</v>
      </c>
      <c r="AE545" s="10">
        <f t="shared" si="128"/>
        <v>0</v>
      </c>
      <c r="AG545" s="13">
        <f t="shared" si="129"/>
        <v>0.5</v>
      </c>
      <c r="AH545" s="13">
        <f t="shared" si="130"/>
        <v>0.5</v>
      </c>
      <c r="AI545" s="10">
        <f t="shared" si="131"/>
        <v>0.25</v>
      </c>
    </row>
    <row r="546" spans="1:35" x14ac:dyDescent="0.3">
      <c r="A546" t="s">
        <v>151</v>
      </c>
      <c r="B546">
        <v>2024</v>
      </c>
      <c r="C546" s="3">
        <v>161288787317</v>
      </c>
      <c r="D546" s="3">
        <v>9846373748</v>
      </c>
      <c r="E546" s="3">
        <v>1522025167907</v>
      </c>
      <c r="F546" s="3">
        <v>830121924354</v>
      </c>
      <c r="G546" s="3">
        <v>607398668005</v>
      </c>
      <c r="H546" s="3">
        <v>468756288013</v>
      </c>
      <c r="I546" s="3">
        <v>703537523148</v>
      </c>
      <c r="J546" s="3">
        <v>444448714667</v>
      </c>
      <c r="K546" s="3">
        <v>361365636341</v>
      </c>
      <c r="M546" s="3">
        <v>2293274190663</v>
      </c>
      <c r="N546" s="3">
        <v>109707478296</v>
      </c>
      <c r="O546" s="3">
        <v>238148157996</v>
      </c>
      <c r="P546">
        <f t="shared" si="132"/>
        <v>4.4377711435908607</v>
      </c>
      <c r="Q546">
        <f t="shared" si="133"/>
        <v>0</v>
      </c>
      <c r="R546" t="str">
        <f t="shared" si="124"/>
        <v>Safe</v>
      </c>
      <c r="S546">
        <f t="shared" si="134"/>
        <v>0.23742421870587652</v>
      </c>
      <c r="T546">
        <f t="shared" si="135"/>
        <v>0.29201140956044758</v>
      </c>
      <c r="U546">
        <f t="shared" si="136"/>
        <v>0.1059698556356955</v>
      </c>
      <c r="V546">
        <f t="shared" si="137"/>
        <v>1.1582796608013117</v>
      </c>
      <c r="X546" s="13">
        <f t="shared" si="125"/>
        <v>2.9705956537966864</v>
      </c>
      <c r="Y546" s="10"/>
      <c r="Z546" s="10"/>
      <c r="AB546" s="10" t="str">
        <f t="shared" si="126"/>
        <v>Non-Distress</v>
      </c>
      <c r="AC546" s="10">
        <f t="shared" si="127"/>
        <v>0</v>
      </c>
      <c r="AE546" s="10">
        <f t="shared" si="128"/>
        <v>0</v>
      </c>
      <c r="AG546" s="13">
        <f t="shared" si="129"/>
        <v>0.5</v>
      </c>
      <c r="AH546" s="13">
        <f t="shared" si="130"/>
        <v>0.5</v>
      </c>
      <c r="AI546" s="10">
        <f t="shared" si="131"/>
        <v>0.25</v>
      </c>
    </row>
    <row r="547" spans="1:35" x14ac:dyDescent="0.3">
      <c r="A547" t="s">
        <v>151</v>
      </c>
      <c r="B547">
        <v>2023</v>
      </c>
      <c r="C547" s="3">
        <v>107993834165</v>
      </c>
      <c r="D547" s="3">
        <v>10875450157</v>
      </c>
      <c r="E547" s="3">
        <v>1282739303035</v>
      </c>
      <c r="F547" s="3">
        <v>736999330347</v>
      </c>
      <c r="G547" s="3">
        <v>465795522143</v>
      </c>
      <c r="H547" s="3">
        <v>349749364269</v>
      </c>
      <c r="I547" s="3">
        <v>615708877106</v>
      </c>
      <c r="J547" s="3">
        <v>357778213425</v>
      </c>
      <c r="K547" s="3">
        <v>387249966078</v>
      </c>
      <c r="M547" s="3">
        <v>1794345306509</v>
      </c>
      <c r="N547" s="3">
        <v>77849644887</v>
      </c>
      <c r="O547" s="3">
        <v>182027316973</v>
      </c>
      <c r="P547">
        <f t="shared" si="132"/>
        <v>4.8433810485534297</v>
      </c>
      <c r="Q547">
        <f t="shared" si="133"/>
        <v>0</v>
      </c>
      <c r="R547" t="str">
        <f t="shared" si="124"/>
        <v>Safe</v>
      </c>
      <c r="S547">
        <f t="shared" si="134"/>
        <v>0.30189296076120448</v>
      </c>
      <c r="T547">
        <f t="shared" si="135"/>
        <v>0.27891732371377875</v>
      </c>
      <c r="U547">
        <f t="shared" si="136"/>
        <v>8.4190009544015162E-2</v>
      </c>
      <c r="V547">
        <f t="shared" si="137"/>
        <v>1.3218437014449795</v>
      </c>
      <c r="X547" s="13">
        <f t="shared" si="125"/>
        <v>3.2233785653919584</v>
      </c>
      <c r="Y547" s="10"/>
      <c r="Z547" s="10"/>
      <c r="AB547" s="10" t="str">
        <f t="shared" si="126"/>
        <v>Non-Distress</v>
      </c>
      <c r="AC547" s="10">
        <f t="shared" si="127"/>
        <v>0</v>
      </c>
      <c r="AE547" s="10">
        <f t="shared" si="128"/>
        <v>0</v>
      </c>
      <c r="AG547" s="13">
        <f t="shared" si="129"/>
        <v>0.5</v>
      </c>
      <c r="AH547" s="13">
        <f t="shared" si="130"/>
        <v>0.5</v>
      </c>
      <c r="AI547" s="10">
        <f t="shared" si="131"/>
        <v>0.25</v>
      </c>
    </row>
    <row r="548" spans="1:35" x14ac:dyDescent="0.3">
      <c r="A548" t="s">
        <v>151</v>
      </c>
      <c r="B548">
        <v>2022</v>
      </c>
      <c r="C548" s="3">
        <v>99726749593</v>
      </c>
      <c r="D548" s="3">
        <v>7287213571</v>
      </c>
      <c r="E548" s="3">
        <v>1033289474829</v>
      </c>
      <c r="F548" s="3">
        <v>543799195487</v>
      </c>
      <c r="G548" s="3">
        <v>442535947408</v>
      </c>
      <c r="H548" s="3">
        <v>333670108915</v>
      </c>
      <c r="I548" s="3">
        <v>586721339522</v>
      </c>
      <c r="J548" s="3">
        <v>289975539708</v>
      </c>
      <c r="K548" s="3">
        <v>210129086572</v>
      </c>
      <c r="M548" s="3">
        <v>1539310803104</v>
      </c>
      <c r="N548" s="3">
        <v>75154155539</v>
      </c>
      <c r="O548" s="3">
        <v>146938070155</v>
      </c>
      <c r="P548">
        <f t="shared" si="132"/>
        <v>4.2895824275124692</v>
      </c>
      <c r="Q548">
        <f t="shared" si="133"/>
        <v>0</v>
      </c>
      <c r="R548" t="str">
        <f t="shared" si="124"/>
        <v>Safe</v>
      </c>
      <c r="S548">
        <f t="shared" si="134"/>
        <v>0.20335936026714532</v>
      </c>
      <c r="T548">
        <f t="shared" si="135"/>
        <v>0.28063340116378166</v>
      </c>
      <c r="U548">
        <f t="shared" si="136"/>
        <v>9.6513854077052194E-2</v>
      </c>
      <c r="V548">
        <f t="shared" si="137"/>
        <v>1.3258162256840731</v>
      </c>
      <c r="X548" s="13">
        <f t="shared" si="125"/>
        <v>2.6865555579715239</v>
      </c>
      <c r="Y548" s="10"/>
      <c r="Z548" s="10"/>
      <c r="AB548" s="10" t="str">
        <f t="shared" si="126"/>
        <v>Non-Distress</v>
      </c>
      <c r="AC548" s="10">
        <f t="shared" si="127"/>
        <v>0</v>
      </c>
      <c r="AE548" s="10">
        <f t="shared" si="128"/>
        <v>0</v>
      </c>
      <c r="AG548" s="13">
        <f t="shared" si="129"/>
        <v>0.5</v>
      </c>
      <c r="AH548" s="13">
        <f t="shared" si="130"/>
        <v>0.5</v>
      </c>
      <c r="AI548" s="10">
        <f t="shared" si="131"/>
        <v>0.25</v>
      </c>
    </row>
    <row r="549" spans="1:35" x14ac:dyDescent="0.3">
      <c r="A549" t="s">
        <v>152</v>
      </c>
      <c r="B549">
        <v>2025</v>
      </c>
      <c r="C549" s="3">
        <v>4330218000000</v>
      </c>
      <c r="D549" s="3">
        <v>1026440000000</v>
      </c>
      <c r="E549" s="3">
        <v>45202974000000</v>
      </c>
      <c r="F549" s="3">
        <v>22097650000000</v>
      </c>
      <c r="G549" s="3">
        <v>22767954000000</v>
      </c>
      <c r="H549" s="3">
        <v>13310197000000</v>
      </c>
      <c r="I549" s="3">
        <v>22420231000000</v>
      </c>
      <c r="J549" s="3">
        <v>19417629000000</v>
      </c>
      <c r="K549" s="3">
        <v>8787453000000</v>
      </c>
      <c r="M549" s="3">
        <v>86946068000000</v>
      </c>
      <c r="N549" s="3">
        <v>2584906000000</v>
      </c>
      <c r="O549" s="3">
        <v>16417676000000</v>
      </c>
      <c r="P549">
        <f t="shared" si="132"/>
        <v>4.3533522936427662</v>
      </c>
      <c r="Q549">
        <f t="shared" si="133"/>
        <v>0</v>
      </c>
      <c r="R549" t="str">
        <f t="shared" si="124"/>
        <v>Safe</v>
      </c>
      <c r="S549">
        <f t="shared" si="134"/>
        <v>0.19439988616678186</v>
      </c>
      <c r="T549">
        <f t="shared" si="135"/>
        <v>0.42956529807087473</v>
      </c>
      <c r="U549">
        <f t="shared" si="136"/>
        <v>9.5794980215239814E-2</v>
      </c>
      <c r="V549">
        <f t="shared" si="137"/>
        <v>0.98472752536306074</v>
      </c>
      <c r="X549" s="13">
        <f t="shared" si="125"/>
        <v>3.1018056786500989</v>
      </c>
      <c r="Y549" s="10"/>
      <c r="Z549" s="10"/>
      <c r="AB549" s="10" t="str">
        <f t="shared" si="126"/>
        <v>Non-Distress</v>
      </c>
      <c r="AC549" s="10">
        <f t="shared" si="127"/>
        <v>0</v>
      </c>
      <c r="AE549" s="10">
        <f t="shared" si="128"/>
        <v>0</v>
      </c>
      <c r="AG549" s="13">
        <f t="shared" si="129"/>
        <v>0.5</v>
      </c>
      <c r="AH549" s="13">
        <f t="shared" si="130"/>
        <v>0.5</v>
      </c>
      <c r="AI549" s="10">
        <f t="shared" si="131"/>
        <v>0.25</v>
      </c>
    </row>
    <row r="550" spans="1:35" x14ac:dyDescent="0.3">
      <c r="A550" t="s">
        <v>152</v>
      </c>
      <c r="B550">
        <v>2024</v>
      </c>
      <c r="C550" s="3">
        <v>2762492000000</v>
      </c>
      <c r="D550" s="3">
        <v>1177050000000</v>
      </c>
      <c r="E550" s="3">
        <v>45333131000000</v>
      </c>
      <c r="F550" s="3">
        <v>24441530000000</v>
      </c>
      <c r="G550" s="3">
        <v>25450074000000</v>
      </c>
      <c r="H550" s="3">
        <v>13370729000000</v>
      </c>
      <c r="I550" s="3">
        <v>19869434000000</v>
      </c>
      <c r="J550" s="3">
        <v>16928467000000</v>
      </c>
      <c r="K550" s="3">
        <v>11070801000000</v>
      </c>
      <c r="M550" s="3">
        <v>78835443000000</v>
      </c>
      <c r="N550" s="3">
        <v>1278172000000</v>
      </c>
      <c r="O550" s="3">
        <v>19220607000000</v>
      </c>
      <c r="P550">
        <f t="shared" si="132"/>
        <v>4.0486373428900269</v>
      </c>
      <c r="Q550">
        <f t="shared" si="133"/>
        <v>0</v>
      </c>
      <c r="R550" t="str">
        <f t="shared" si="124"/>
        <v>Safe</v>
      </c>
      <c r="S550">
        <f t="shared" si="134"/>
        <v>0.24420993555463882</v>
      </c>
      <c r="T550">
        <f t="shared" si="135"/>
        <v>0.37342373285445474</v>
      </c>
      <c r="U550">
        <f t="shared" si="136"/>
        <v>6.0937595508238775E-2</v>
      </c>
      <c r="V550">
        <f t="shared" si="137"/>
        <v>0.78072205212448498</v>
      </c>
      <c r="X550" s="13">
        <f t="shared" si="125"/>
        <v>3.0448515645014389</v>
      </c>
      <c r="Y550" s="10"/>
      <c r="Z550" s="10"/>
      <c r="AB550" s="10" t="str">
        <f t="shared" si="126"/>
        <v>Non-Distress</v>
      </c>
      <c r="AC550" s="10">
        <f t="shared" si="127"/>
        <v>0</v>
      </c>
      <c r="AE550" s="10">
        <f t="shared" si="128"/>
        <v>0</v>
      </c>
      <c r="AG550" s="13">
        <f t="shared" si="129"/>
        <v>0.5</v>
      </c>
      <c r="AH550" s="13">
        <f t="shared" si="130"/>
        <v>0.5</v>
      </c>
      <c r="AI550" s="10">
        <f t="shared" si="131"/>
        <v>0.25</v>
      </c>
    </row>
    <row r="551" spans="1:35" x14ac:dyDescent="0.3">
      <c r="A551" t="s">
        <v>152</v>
      </c>
      <c r="B551">
        <v>2023</v>
      </c>
      <c r="C551" s="3">
        <v>2358078000000</v>
      </c>
      <c r="D551" s="3">
        <v>1249192000000</v>
      </c>
      <c r="E551" s="3">
        <v>39716363000000</v>
      </c>
      <c r="F551" s="3">
        <v>19141108000000</v>
      </c>
      <c r="G551" s="3">
        <v>20644500000000</v>
      </c>
      <c r="H551" s="3">
        <v>10225382000000</v>
      </c>
      <c r="I551" s="3">
        <v>19058823000000</v>
      </c>
      <c r="J551" s="3">
        <v>16198132000000</v>
      </c>
      <c r="K551" s="3">
        <v>8915726000000</v>
      </c>
      <c r="M551" s="3">
        <v>66530549000000</v>
      </c>
      <c r="N551" s="3">
        <v>917807000000</v>
      </c>
      <c r="O551" s="3">
        <v>16042955000000</v>
      </c>
      <c r="P551">
        <f t="shared" si="132"/>
        <v>4.1705341520609505</v>
      </c>
      <c r="Q551">
        <f t="shared" si="133"/>
        <v>0</v>
      </c>
      <c r="R551" t="str">
        <f t="shared" si="124"/>
        <v>Safe</v>
      </c>
      <c r="S551">
        <f t="shared" si="134"/>
        <v>0.22448495598652879</v>
      </c>
      <c r="T551">
        <f t="shared" si="135"/>
        <v>0.40784530043700123</v>
      </c>
      <c r="U551">
        <f t="shared" si="136"/>
        <v>5.9372959200720367E-2</v>
      </c>
      <c r="V551">
        <f t="shared" si="137"/>
        <v>0.92319131003414956</v>
      </c>
      <c r="X551" s="13">
        <f t="shared" si="125"/>
        <v>3.0356655227356559</v>
      </c>
      <c r="Y551" s="10"/>
      <c r="Z551" s="10"/>
      <c r="AB551" s="10" t="str">
        <f t="shared" si="126"/>
        <v>Non-Distress</v>
      </c>
      <c r="AC551" s="10">
        <f t="shared" si="127"/>
        <v>0</v>
      </c>
      <c r="AE551" s="10">
        <f t="shared" si="128"/>
        <v>0</v>
      </c>
      <c r="AG551" s="13">
        <f t="shared" si="129"/>
        <v>0.5</v>
      </c>
      <c r="AH551" s="13">
        <f t="shared" si="130"/>
        <v>0.5</v>
      </c>
      <c r="AI551" s="10">
        <f t="shared" si="131"/>
        <v>0.25</v>
      </c>
    </row>
    <row r="552" spans="1:35" x14ac:dyDescent="0.3">
      <c r="A552" t="s">
        <v>152</v>
      </c>
      <c r="B552">
        <v>2022</v>
      </c>
      <c r="C552" s="3">
        <v>8121485000000</v>
      </c>
      <c r="D552" s="3">
        <v>1315514000000</v>
      </c>
      <c r="E552" s="3">
        <v>42600814000000</v>
      </c>
      <c r="F552" s="3">
        <v>23708820000000</v>
      </c>
      <c r="G552" s="3">
        <v>23353011000000</v>
      </c>
      <c r="H552" s="3">
        <v>12104564000000</v>
      </c>
      <c r="I552" s="3">
        <v>19234622000000</v>
      </c>
      <c r="J552" s="3">
        <v>16341045000000</v>
      </c>
      <c r="K552" s="3">
        <v>11604256000000</v>
      </c>
      <c r="M552" s="3">
        <v>75045559000000</v>
      </c>
      <c r="N552" s="3">
        <v>5500519000000</v>
      </c>
      <c r="O552" s="3">
        <v>18202904000000</v>
      </c>
      <c r="P552">
        <f t="shared" si="132"/>
        <v>5.1833401574367164</v>
      </c>
      <c r="Q552">
        <f t="shared" si="133"/>
        <v>0</v>
      </c>
      <c r="R552" t="str">
        <f t="shared" si="124"/>
        <v>Safe</v>
      </c>
      <c r="S552">
        <f t="shared" si="134"/>
        <v>0.27239517066504881</v>
      </c>
      <c r="T552">
        <f t="shared" si="135"/>
        <v>0.3835852760935507</v>
      </c>
      <c r="U552">
        <f t="shared" si="136"/>
        <v>0.19064154501836514</v>
      </c>
      <c r="V552">
        <f t="shared" si="137"/>
        <v>0.82364633836724521</v>
      </c>
      <c r="X552" s="13">
        <f t="shared" si="125"/>
        <v>3.8796894842105938</v>
      </c>
      <c r="Y552" s="10"/>
      <c r="Z552" s="10"/>
      <c r="AB552" s="10" t="str">
        <f t="shared" si="126"/>
        <v>Non-Distress</v>
      </c>
      <c r="AC552" s="10">
        <f t="shared" si="127"/>
        <v>0</v>
      </c>
      <c r="AE552" s="10">
        <f t="shared" si="128"/>
        <v>0</v>
      </c>
      <c r="AG552" s="13">
        <f t="shared" si="129"/>
        <v>0.5</v>
      </c>
      <c r="AH552" s="13">
        <f t="shared" si="130"/>
        <v>0.5</v>
      </c>
      <c r="AI552" s="10">
        <f t="shared" si="131"/>
        <v>0.25</v>
      </c>
    </row>
    <row r="553" spans="1:35" x14ac:dyDescent="0.3">
      <c r="A553" t="s">
        <v>153</v>
      </c>
      <c r="B553">
        <v>2025</v>
      </c>
      <c r="C553" s="3">
        <v>287362963000</v>
      </c>
      <c r="D553" s="3">
        <v>52932941000</v>
      </c>
      <c r="E553" s="3">
        <v>4772580731000</v>
      </c>
      <c r="F553" s="3">
        <v>1021354393000</v>
      </c>
      <c r="G553" s="3">
        <v>1359932978000</v>
      </c>
      <c r="H553" s="3">
        <v>746033870000</v>
      </c>
      <c r="I553" s="3">
        <v>3412673197000</v>
      </c>
      <c r="J553" s="3">
        <v>171924896000</v>
      </c>
      <c r="K553" s="3">
        <v>275320523000</v>
      </c>
      <c r="M553" s="3">
        <v>2361905786000</v>
      </c>
      <c r="N553" s="3">
        <v>171924896000</v>
      </c>
      <c r="O553" s="3">
        <v>522186481000</v>
      </c>
      <c r="P553">
        <f t="shared" si="132"/>
        <v>3.5354033994528073</v>
      </c>
      <c r="Q553">
        <f t="shared" si="133"/>
        <v>0</v>
      </c>
      <c r="R553" t="str">
        <f t="shared" si="124"/>
        <v>Safe</v>
      </c>
      <c r="S553">
        <f t="shared" si="134"/>
        <v>5.7687976069566042E-2</v>
      </c>
      <c r="T553">
        <f t="shared" si="135"/>
        <v>3.6023465225694891E-2</v>
      </c>
      <c r="U553">
        <f t="shared" si="136"/>
        <v>6.021123144831303E-2</v>
      </c>
      <c r="V553">
        <f t="shared" si="137"/>
        <v>2.5094421947314522</v>
      </c>
      <c r="X553" s="13">
        <f t="shared" si="125"/>
        <v>0.86972305415504425</v>
      </c>
      <c r="Y553" s="10"/>
      <c r="Z553" s="10"/>
      <c r="AB553" s="10" t="str">
        <f t="shared" si="126"/>
        <v>Non-Distress</v>
      </c>
      <c r="AC553" s="10">
        <f t="shared" si="127"/>
        <v>0</v>
      </c>
      <c r="AE553" s="10">
        <f t="shared" si="128"/>
        <v>0</v>
      </c>
      <c r="AG553" s="13">
        <f t="shared" si="129"/>
        <v>0.5</v>
      </c>
      <c r="AH553" s="13">
        <f t="shared" si="130"/>
        <v>0.5</v>
      </c>
      <c r="AI553" s="10">
        <f t="shared" si="131"/>
        <v>0.25</v>
      </c>
    </row>
    <row r="554" spans="1:35" x14ac:dyDescent="0.3">
      <c r="A554" t="s">
        <v>153</v>
      </c>
      <c r="B554">
        <v>2024</v>
      </c>
      <c r="C554" s="3">
        <v>250645897000</v>
      </c>
      <c r="D554" s="3">
        <v>78853176000</v>
      </c>
      <c r="E554" s="3">
        <v>4907686845000</v>
      </c>
      <c r="F554" s="3">
        <v>1000678460000</v>
      </c>
      <c r="G554" s="3">
        <v>1639441913000</v>
      </c>
      <c r="H554" s="3">
        <v>822078827000</v>
      </c>
      <c r="I554" s="3">
        <v>3268269004000</v>
      </c>
      <c r="J554" s="3">
        <v>129254004000</v>
      </c>
      <c r="K554" s="3">
        <v>178599633000</v>
      </c>
      <c r="M554" s="3">
        <v>2091352268000</v>
      </c>
      <c r="N554" s="3">
        <v>129254004000</v>
      </c>
      <c r="O554" s="3">
        <v>729056129000</v>
      </c>
      <c r="P554">
        <f t="shared" si="132"/>
        <v>2.7609952537415747</v>
      </c>
      <c r="Q554">
        <f t="shared" si="133"/>
        <v>0</v>
      </c>
      <c r="R554" t="str">
        <f t="shared" si="124"/>
        <v>Safe</v>
      </c>
      <c r="S554">
        <f t="shared" si="134"/>
        <v>3.6391815256500946E-2</v>
      </c>
      <c r="T554">
        <f t="shared" si="135"/>
        <v>2.6337052074071363E-2</v>
      </c>
      <c r="U554">
        <f t="shared" si="136"/>
        <v>5.1072104825791914E-2</v>
      </c>
      <c r="V554">
        <f t="shared" si="137"/>
        <v>1.9935253442553655</v>
      </c>
      <c r="X554" s="13">
        <f t="shared" si="125"/>
        <v>0.64144114175216849</v>
      </c>
      <c r="Y554" s="10"/>
      <c r="Z554" s="10"/>
      <c r="AB554" s="10" t="str">
        <f t="shared" si="126"/>
        <v>Non-Distress</v>
      </c>
      <c r="AC554" s="10">
        <f t="shared" si="127"/>
        <v>0</v>
      </c>
      <c r="AE554" s="10">
        <f t="shared" si="128"/>
        <v>0</v>
      </c>
      <c r="AG554" s="13">
        <f t="shared" si="129"/>
        <v>0.5</v>
      </c>
      <c r="AH554" s="13">
        <f t="shared" si="130"/>
        <v>0.5</v>
      </c>
      <c r="AI554" s="10">
        <f t="shared" si="131"/>
        <v>0.25</v>
      </c>
    </row>
    <row r="555" spans="1:35" x14ac:dyDescent="0.3">
      <c r="A555" t="s">
        <v>153</v>
      </c>
      <c r="B555">
        <v>2023</v>
      </c>
      <c r="C555" s="3">
        <v>261190210000</v>
      </c>
      <c r="D555" s="3">
        <v>98606832000</v>
      </c>
      <c r="E555" s="3">
        <v>4856730638000</v>
      </c>
      <c r="F555" s="3">
        <v>816846119000</v>
      </c>
      <c r="G555" s="3">
        <v>1694318282000</v>
      </c>
      <c r="H555" s="3">
        <v>731493137000</v>
      </c>
      <c r="I555" s="3">
        <v>3162435527000</v>
      </c>
      <c r="J555" s="3">
        <v>109898718000</v>
      </c>
      <c r="K555" s="3">
        <v>85352982000</v>
      </c>
      <c r="M555" s="3">
        <v>2040679390000</v>
      </c>
      <c r="N555" s="3">
        <v>121570941000</v>
      </c>
      <c r="O555" s="3">
        <v>891755898000</v>
      </c>
      <c r="P555">
        <f t="shared" si="132"/>
        <v>2.510268304437103</v>
      </c>
      <c r="Q555">
        <f t="shared" si="133"/>
        <v>0</v>
      </c>
      <c r="R555" t="str">
        <f t="shared" si="124"/>
        <v>Grey Area</v>
      </c>
      <c r="S555">
        <f t="shared" si="134"/>
        <v>1.7574164260249839E-2</v>
      </c>
      <c r="T555">
        <f t="shared" si="135"/>
        <v>2.2628127065588356E-2</v>
      </c>
      <c r="U555">
        <f t="shared" si="136"/>
        <v>5.3779019152595628E-2</v>
      </c>
      <c r="V555">
        <f t="shared" si="137"/>
        <v>1.8664943656672413</v>
      </c>
      <c r="X555" s="13">
        <f t="shared" si="125"/>
        <v>0.52190919712484607</v>
      </c>
      <c r="Y555" s="10"/>
      <c r="Z555" s="10"/>
      <c r="AB555" s="10" t="str">
        <f t="shared" si="126"/>
        <v>Non-Distress</v>
      </c>
      <c r="AC555" s="10">
        <f t="shared" si="127"/>
        <v>0</v>
      </c>
      <c r="AE555" s="10">
        <f t="shared" si="128"/>
        <v>0</v>
      </c>
      <c r="AG555" s="13">
        <f t="shared" si="129"/>
        <v>0.5</v>
      </c>
      <c r="AH555" s="13">
        <f t="shared" si="130"/>
        <v>0.5</v>
      </c>
      <c r="AI555" s="10">
        <f t="shared" si="131"/>
        <v>0.25</v>
      </c>
    </row>
    <row r="556" spans="1:35" x14ac:dyDescent="0.3">
      <c r="A556" t="s">
        <v>153</v>
      </c>
      <c r="B556">
        <v>2022</v>
      </c>
      <c r="C556" s="3">
        <v>264726531000</v>
      </c>
      <c r="D556" s="3">
        <v>162645800000</v>
      </c>
      <c r="E556" s="3">
        <v>5242724933000</v>
      </c>
      <c r="F556" s="3">
        <v>990295391000</v>
      </c>
      <c r="G556" s="3">
        <v>2167586907000</v>
      </c>
      <c r="H556" s="3">
        <v>588138938000</v>
      </c>
      <c r="I556" s="3">
        <v>3075162869000</v>
      </c>
      <c r="J556" s="3">
        <v>-199067034000</v>
      </c>
      <c r="K556" s="3">
        <v>402156453000</v>
      </c>
      <c r="M556" s="3">
        <v>1881767356000</v>
      </c>
      <c r="N556" s="3">
        <v>77323331000</v>
      </c>
      <c r="O556" s="3">
        <v>1477164027000</v>
      </c>
      <c r="P556">
        <f t="shared" si="132"/>
        <v>2.2083773978254868</v>
      </c>
      <c r="Q556">
        <f t="shared" si="133"/>
        <v>0</v>
      </c>
      <c r="R556" t="str">
        <f t="shared" si="124"/>
        <v>Grey Area</v>
      </c>
      <c r="S556">
        <f t="shared" si="134"/>
        <v>7.6707524834776608E-2</v>
      </c>
      <c r="T556">
        <f t="shared" si="135"/>
        <v>-3.7970146544783451E-2</v>
      </c>
      <c r="U556">
        <f t="shared" si="136"/>
        <v>5.0494072144372029E-2</v>
      </c>
      <c r="V556">
        <f t="shared" si="137"/>
        <v>1.4187033788906347</v>
      </c>
      <c r="X556" s="13">
        <f t="shared" si="125"/>
        <v>0.64958498550838639</v>
      </c>
      <c r="Y556" s="10"/>
      <c r="Z556" s="10"/>
      <c r="AB556" s="10" t="str">
        <f t="shared" si="126"/>
        <v>Non-Distress</v>
      </c>
      <c r="AC556" s="10">
        <f t="shared" si="127"/>
        <v>0</v>
      </c>
      <c r="AE556" s="10">
        <f t="shared" si="128"/>
        <v>0</v>
      </c>
      <c r="AG556" s="13">
        <f t="shared" si="129"/>
        <v>0.5</v>
      </c>
      <c r="AH556" s="13">
        <f t="shared" si="130"/>
        <v>0.5</v>
      </c>
      <c r="AI556" s="10">
        <f t="shared" si="131"/>
        <v>0.25</v>
      </c>
    </row>
    <row r="557" spans="1:35" x14ac:dyDescent="0.3">
      <c r="A557" t="s">
        <v>154</v>
      </c>
      <c r="B557">
        <v>2025</v>
      </c>
      <c r="C557" s="3">
        <v>1404210000000</v>
      </c>
      <c r="D557" s="3">
        <v>802297000000</v>
      </c>
      <c r="E557" s="3">
        <v>76568724000000</v>
      </c>
      <c r="F557" s="3">
        <v>17430795000000</v>
      </c>
      <c r="G557" s="3">
        <v>28849009000000</v>
      </c>
      <c r="H557" s="3">
        <v>15837335000000</v>
      </c>
      <c r="I557" s="3">
        <v>43464113000000</v>
      </c>
      <c r="J557" s="3">
        <v>34426299000000</v>
      </c>
      <c r="K557" s="3">
        <v>1593460000000</v>
      </c>
      <c r="M557" s="3">
        <v>35243751000000</v>
      </c>
      <c r="N557" s="3">
        <v>190848000000</v>
      </c>
      <c r="O557" s="3">
        <v>10398470000000</v>
      </c>
      <c r="P557">
        <f t="shared" si="132"/>
        <v>3.3074343961681496</v>
      </c>
      <c r="Q557">
        <f t="shared" si="133"/>
        <v>0</v>
      </c>
      <c r="R557" t="str">
        <f t="shared" si="124"/>
        <v>Safe</v>
      </c>
      <c r="S557">
        <f t="shared" si="134"/>
        <v>2.0810846998051059E-2</v>
      </c>
      <c r="T557">
        <f t="shared" si="135"/>
        <v>0.44961306916907745</v>
      </c>
      <c r="U557">
        <f t="shared" si="136"/>
        <v>1.8339211190198233E-2</v>
      </c>
      <c r="V557">
        <f t="shared" si="137"/>
        <v>1.5066067954015336</v>
      </c>
      <c r="X557" s="13">
        <f t="shared" si="125"/>
        <v>1.7542862252639901</v>
      </c>
      <c r="Y557" s="10"/>
      <c r="Z557" s="10"/>
      <c r="AB557" s="10" t="str">
        <f t="shared" si="126"/>
        <v>Non-Distress</v>
      </c>
      <c r="AC557" s="10">
        <f t="shared" si="127"/>
        <v>0</v>
      </c>
      <c r="AE557" s="10">
        <f t="shared" si="128"/>
        <v>0</v>
      </c>
      <c r="AG557" s="13">
        <f t="shared" si="129"/>
        <v>0.5</v>
      </c>
      <c r="AH557" s="13">
        <f t="shared" si="130"/>
        <v>0.5</v>
      </c>
      <c r="AI557" s="10">
        <f t="shared" si="131"/>
        <v>0.25</v>
      </c>
    </row>
    <row r="558" spans="1:35" x14ac:dyDescent="0.3">
      <c r="A558" t="s">
        <v>154</v>
      </c>
      <c r="B558">
        <v>2024</v>
      </c>
      <c r="C558" s="3">
        <v>2409837000000</v>
      </c>
      <c r="D558" s="3">
        <v>1158638000000</v>
      </c>
      <c r="E558" s="3">
        <v>76993082000000</v>
      </c>
      <c r="F558" s="3">
        <v>16224031000000</v>
      </c>
      <c r="G558" s="3">
        <v>28685871000000</v>
      </c>
      <c r="H558" s="3">
        <v>12943911000000</v>
      </c>
      <c r="I558" s="3">
        <v>43771520000000</v>
      </c>
      <c r="J558" s="3">
        <v>34680058000000</v>
      </c>
      <c r="K558" s="3">
        <v>3280120000000</v>
      </c>
      <c r="M558" s="3">
        <v>36186127000000</v>
      </c>
      <c r="N558" s="3">
        <v>719763000000</v>
      </c>
      <c r="O558" s="3">
        <v>10865404000000</v>
      </c>
      <c r="P558">
        <f t="shared" si="132"/>
        <v>3.5603965796306856</v>
      </c>
      <c r="Q558">
        <f t="shared" si="133"/>
        <v>0</v>
      </c>
      <c r="R558" t="str">
        <f t="shared" si="124"/>
        <v>Safe</v>
      </c>
      <c r="S558">
        <f t="shared" si="134"/>
        <v>4.2602788650543955E-2</v>
      </c>
      <c r="T558">
        <f t="shared" si="135"/>
        <v>0.45043083221425012</v>
      </c>
      <c r="U558">
        <f t="shared" si="136"/>
        <v>3.1299396483439899E-2</v>
      </c>
      <c r="V558">
        <f t="shared" si="137"/>
        <v>1.5258912654247103</v>
      </c>
      <c r="X558" s="13">
        <f t="shared" si="125"/>
        <v>1.9536790939061488</v>
      </c>
      <c r="Y558" s="10"/>
      <c r="Z558" s="10"/>
      <c r="AB558" s="10" t="str">
        <f t="shared" si="126"/>
        <v>Non-Distress</v>
      </c>
      <c r="AC558" s="10">
        <f t="shared" si="127"/>
        <v>0</v>
      </c>
      <c r="AE558" s="10">
        <f t="shared" si="128"/>
        <v>0</v>
      </c>
      <c r="AG558" s="13">
        <f t="shared" si="129"/>
        <v>0.5</v>
      </c>
      <c r="AH558" s="13">
        <f t="shared" si="130"/>
        <v>0.5</v>
      </c>
      <c r="AI558" s="10">
        <f t="shared" si="131"/>
        <v>0.25</v>
      </c>
    </row>
    <row r="559" spans="1:35" x14ac:dyDescent="0.3">
      <c r="A559" t="s">
        <v>154</v>
      </c>
      <c r="B559">
        <v>2023</v>
      </c>
      <c r="C559" s="3">
        <v>4613221000000</v>
      </c>
      <c r="D559" s="3">
        <v>1309461000000</v>
      </c>
      <c r="E559" s="3">
        <v>81820529000000</v>
      </c>
      <c r="F559" s="3">
        <v>19782972000000</v>
      </c>
      <c r="G559" s="3">
        <v>34019553000000</v>
      </c>
      <c r="H559" s="3">
        <v>16111660000000</v>
      </c>
      <c r="I559" s="3">
        <v>43261491000000</v>
      </c>
      <c r="J559" s="3">
        <v>34532338000000</v>
      </c>
      <c r="K559" s="3">
        <v>3671312000000</v>
      </c>
      <c r="M559" s="3">
        <v>38651360000000</v>
      </c>
      <c r="N559" s="3">
        <v>2170497000000</v>
      </c>
      <c r="O559" s="3">
        <v>15817928000000</v>
      </c>
      <c r="P559">
        <f t="shared" si="132"/>
        <v>3.3843686420812142</v>
      </c>
      <c r="Q559">
        <f t="shared" si="133"/>
        <v>0</v>
      </c>
      <c r="R559" t="str">
        <f t="shared" si="124"/>
        <v>Safe</v>
      </c>
      <c r="S559">
        <f t="shared" si="134"/>
        <v>4.4870303881804526E-2</v>
      </c>
      <c r="T559">
        <f t="shared" si="135"/>
        <v>0.42204980121798041</v>
      </c>
      <c r="U559">
        <f t="shared" si="136"/>
        <v>5.6382194742348832E-2</v>
      </c>
      <c r="V559">
        <f t="shared" si="137"/>
        <v>1.271665474264168</v>
      </c>
      <c r="X559" s="13">
        <f t="shared" si="125"/>
        <v>1.9849286683404139</v>
      </c>
      <c r="Y559" s="10"/>
      <c r="Z559" s="10"/>
      <c r="AB559" s="10" t="str">
        <f t="shared" si="126"/>
        <v>Non-Distress</v>
      </c>
      <c r="AC559" s="10">
        <f t="shared" si="127"/>
        <v>0</v>
      </c>
      <c r="AE559" s="10">
        <f t="shared" si="128"/>
        <v>0</v>
      </c>
      <c r="AG559" s="13">
        <f t="shared" si="129"/>
        <v>0.5</v>
      </c>
      <c r="AH559" s="13">
        <f t="shared" si="130"/>
        <v>0.5</v>
      </c>
      <c r="AI559" s="10">
        <f t="shared" si="131"/>
        <v>0.25</v>
      </c>
    </row>
    <row r="560" spans="1:35" x14ac:dyDescent="0.3">
      <c r="A560" t="s">
        <v>154</v>
      </c>
      <c r="B560">
        <v>2022</v>
      </c>
      <c r="C560" s="3">
        <v>4667859000000</v>
      </c>
      <c r="D560" s="3">
        <v>1369024000000</v>
      </c>
      <c r="E560" s="3">
        <v>82960012000000</v>
      </c>
      <c r="F560" s="3">
        <v>18878979000000</v>
      </c>
      <c r="G560" s="3">
        <v>35720652000000</v>
      </c>
      <c r="H560" s="3">
        <v>13061027000000</v>
      </c>
      <c r="I560" s="3">
        <v>42748214000000</v>
      </c>
      <c r="J560" s="3">
        <v>34017226000000</v>
      </c>
      <c r="K560" s="3">
        <v>5817952000000</v>
      </c>
      <c r="M560" s="3">
        <v>36378597000000</v>
      </c>
      <c r="N560" s="3">
        <v>2364836000000</v>
      </c>
      <c r="O560" s="3">
        <v>16801363000000</v>
      </c>
      <c r="P560">
        <f t="shared" si="132"/>
        <v>3.431475961998756</v>
      </c>
      <c r="Q560">
        <f t="shared" si="133"/>
        <v>0</v>
      </c>
      <c r="R560" t="str">
        <f t="shared" si="124"/>
        <v>Safe</v>
      </c>
      <c r="S560">
        <f t="shared" si="134"/>
        <v>7.0129594484629534E-2</v>
      </c>
      <c r="T560">
        <f t="shared" si="135"/>
        <v>0.41004364849899011</v>
      </c>
      <c r="U560">
        <f t="shared" si="136"/>
        <v>5.6266373249801362E-2</v>
      </c>
      <c r="V560">
        <f t="shared" si="137"/>
        <v>1.1967366665087749</v>
      </c>
      <c r="X560" s="13">
        <f t="shared" si="125"/>
        <v>2.0961816713276464</v>
      </c>
      <c r="Y560" s="10"/>
      <c r="Z560" s="10"/>
      <c r="AB560" s="10" t="str">
        <f t="shared" si="126"/>
        <v>Non-Distress</v>
      </c>
      <c r="AC560" s="10">
        <f t="shared" si="127"/>
        <v>0</v>
      </c>
      <c r="AE560" s="10">
        <f t="shared" si="128"/>
        <v>0</v>
      </c>
      <c r="AG560" s="13">
        <f t="shared" si="129"/>
        <v>0.5</v>
      </c>
      <c r="AH560" s="13">
        <f t="shared" si="130"/>
        <v>0.5</v>
      </c>
      <c r="AI560" s="10">
        <f t="shared" si="131"/>
        <v>0.25</v>
      </c>
    </row>
    <row r="561" spans="1:35" x14ac:dyDescent="0.3">
      <c r="A561" t="s">
        <v>155</v>
      </c>
      <c r="B561">
        <v>2025</v>
      </c>
      <c r="C561" s="3">
        <v>1548817000000</v>
      </c>
      <c r="D561" s="3">
        <v>16440000000</v>
      </c>
      <c r="E561" s="3">
        <v>5163198000000</v>
      </c>
      <c r="F561" s="3">
        <v>3723687000000</v>
      </c>
      <c r="G561" s="3">
        <v>856412000000</v>
      </c>
      <c r="H561" s="3">
        <v>629690000000</v>
      </c>
      <c r="I561" s="3">
        <v>3808380000000</v>
      </c>
      <c r="J561" s="3">
        <v>3513864000000</v>
      </c>
      <c r="K561" s="3">
        <v>3093997000000</v>
      </c>
      <c r="M561" s="3">
        <v>5338789000000</v>
      </c>
      <c r="N561" s="3">
        <v>1124703000000</v>
      </c>
      <c r="O561" s="3">
        <v>172984000000</v>
      </c>
      <c r="P561">
        <f t="shared" si="132"/>
        <v>12.834703026428894</v>
      </c>
      <c r="Q561">
        <f t="shared" si="133"/>
        <v>0</v>
      </c>
      <c r="R561" t="str">
        <f t="shared" si="124"/>
        <v>Safe</v>
      </c>
      <c r="S561">
        <f t="shared" si="134"/>
        <v>0.59924043199582899</v>
      </c>
      <c r="T561">
        <f t="shared" si="135"/>
        <v>0.68055960666238247</v>
      </c>
      <c r="U561">
        <f t="shared" si="136"/>
        <v>0.29997242019384113</v>
      </c>
      <c r="V561">
        <f t="shared" si="137"/>
        <v>4.4469017248707399</v>
      </c>
      <c r="X561" s="13">
        <f t="shared" si="125"/>
        <v>7.5352411615614985</v>
      </c>
      <c r="Y561" s="10"/>
      <c r="Z561" s="10"/>
      <c r="AB561" s="10" t="str">
        <f t="shared" si="126"/>
        <v>Non-Distress</v>
      </c>
      <c r="AC561" s="10">
        <f t="shared" si="127"/>
        <v>0</v>
      </c>
      <c r="AE561" s="10">
        <f t="shared" si="128"/>
        <v>0</v>
      </c>
      <c r="AG561" s="13">
        <f t="shared" si="129"/>
        <v>0.5</v>
      </c>
      <c r="AH561" s="13">
        <f t="shared" si="130"/>
        <v>0.5</v>
      </c>
      <c r="AI561" s="10">
        <f t="shared" si="131"/>
        <v>0.25</v>
      </c>
    </row>
    <row r="562" spans="1:35" x14ac:dyDescent="0.3">
      <c r="A562" t="s">
        <v>155</v>
      </c>
      <c r="B562">
        <v>2024</v>
      </c>
      <c r="C562" s="3">
        <v>1422514000000</v>
      </c>
      <c r="D562" s="3">
        <v>20637000000</v>
      </c>
      <c r="E562" s="3">
        <v>4963939000000</v>
      </c>
      <c r="F562" s="3">
        <v>3599989000000</v>
      </c>
      <c r="G562" s="3">
        <v>1037924000000</v>
      </c>
      <c r="H562" s="3">
        <v>769473000000</v>
      </c>
      <c r="I562" s="3">
        <v>3472538000000</v>
      </c>
      <c r="J562" s="3">
        <v>3221519000000</v>
      </c>
      <c r="K562" s="3">
        <v>2830516000000</v>
      </c>
      <c r="M562" s="3">
        <v>5164985000000</v>
      </c>
      <c r="N562" s="3">
        <v>1024180000000</v>
      </c>
      <c r="O562" s="3">
        <v>223544000000</v>
      </c>
      <c r="P562">
        <f t="shared" si="132"/>
        <v>11.294992068259184</v>
      </c>
      <c r="Q562">
        <f t="shared" si="133"/>
        <v>0</v>
      </c>
      <c r="R562" t="str">
        <f t="shared" si="124"/>
        <v>Safe</v>
      </c>
      <c r="S562">
        <f t="shared" si="134"/>
        <v>0.5702157097417998</v>
      </c>
      <c r="T562">
        <f t="shared" si="135"/>
        <v>0.64898440532810742</v>
      </c>
      <c r="U562">
        <f t="shared" si="136"/>
        <v>0.28656959724928127</v>
      </c>
      <c r="V562">
        <f t="shared" si="137"/>
        <v>3.3456572928268353</v>
      </c>
      <c r="X562" s="13">
        <f t="shared" si="125"/>
        <v>7.1422095290930123</v>
      </c>
      <c r="Y562" s="10"/>
      <c r="Z562" s="10"/>
      <c r="AB562" s="10" t="str">
        <f t="shared" si="126"/>
        <v>Non-Distress</v>
      </c>
      <c r="AC562" s="10">
        <f t="shared" si="127"/>
        <v>0</v>
      </c>
      <c r="AE562" s="10">
        <f t="shared" si="128"/>
        <v>0</v>
      </c>
      <c r="AG562" s="13">
        <f t="shared" si="129"/>
        <v>0.5</v>
      </c>
      <c r="AH562" s="13">
        <f t="shared" si="130"/>
        <v>0.5</v>
      </c>
      <c r="AI562" s="10">
        <f t="shared" si="131"/>
        <v>0.25</v>
      </c>
    </row>
    <row r="563" spans="1:35" x14ac:dyDescent="0.3">
      <c r="A563" t="s">
        <v>155</v>
      </c>
      <c r="B563">
        <v>2023</v>
      </c>
      <c r="C563" s="3">
        <v>1322902000000</v>
      </c>
      <c r="D563" s="3">
        <v>21175000000</v>
      </c>
      <c r="E563" s="3">
        <v>4588818000000</v>
      </c>
      <c r="F563" s="3">
        <v>3320685000000</v>
      </c>
      <c r="G563" s="3">
        <v>947278000000</v>
      </c>
      <c r="H563" s="3">
        <v>646514000000</v>
      </c>
      <c r="I563" s="3">
        <v>3227064000000</v>
      </c>
      <c r="J563" s="3">
        <v>2970786000000</v>
      </c>
      <c r="K563" s="3">
        <v>2674171000000</v>
      </c>
      <c r="M563" s="3">
        <v>5108399000000</v>
      </c>
      <c r="N563" s="3">
        <v>945950000000</v>
      </c>
      <c r="O563" s="3">
        <v>296020000000</v>
      </c>
      <c r="P563">
        <f t="shared" si="132"/>
        <v>11.447707432491443</v>
      </c>
      <c r="Q563">
        <f t="shared" si="133"/>
        <v>0</v>
      </c>
      <c r="R563" t="str">
        <f t="shared" si="124"/>
        <v>Safe</v>
      </c>
      <c r="S563">
        <f t="shared" si="134"/>
        <v>0.58275813074303662</v>
      </c>
      <c r="T563">
        <f t="shared" si="135"/>
        <v>0.64739678060886263</v>
      </c>
      <c r="U563">
        <f t="shared" si="136"/>
        <v>0.28828818227264624</v>
      </c>
      <c r="V563">
        <f t="shared" si="137"/>
        <v>3.4066704811048076</v>
      </c>
      <c r="X563" s="13">
        <f t="shared" si="125"/>
        <v>7.2245990813876517</v>
      </c>
      <c r="Y563" s="10"/>
      <c r="Z563" s="10"/>
      <c r="AB563" s="10" t="str">
        <f t="shared" si="126"/>
        <v>Non-Distress</v>
      </c>
      <c r="AC563" s="10">
        <f t="shared" si="127"/>
        <v>0</v>
      </c>
      <c r="AE563" s="10">
        <f t="shared" si="128"/>
        <v>0</v>
      </c>
      <c r="AG563" s="13">
        <f t="shared" si="129"/>
        <v>0.5</v>
      </c>
      <c r="AH563" s="13">
        <f t="shared" si="130"/>
        <v>0.5</v>
      </c>
      <c r="AI563" s="10">
        <f t="shared" si="131"/>
        <v>0.25</v>
      </c>
    </row>
    <row r="564" spans="1:35" x14ac:dyDescent="0.3">
      <c r="A564" t="s">
        <v>155</v>
      </c>
      <c r="B564">
        <v>2022</v>
      </c>
      <c r="C564" s="3">
        <v>1188866000000</v>
      </c>
      <c r="D564" s="3">
        <v>16864000000</v>
      </c>
      <c r="E564" s="3">
        <v>4393147000000</v>
      </c>
      <c r="F564" s="3">
        <v>3133332000000</v>
      </c>
      <c r="G564" s="3">
        <v>1062889000000</v>
      </c>
      <c r="H564" s="3">
        <v>707717000000</v>
      </c>
      <c r="I564" s="3">
        <v>2907632000000</v>
      </c>
      <c r="J564" s="3">
        <v>2625880000000</v>
      </c>
      <c r="K564" s="3">
        <v>2425615000000</v>
      </c>
      <c r="M564" s="3">
        <v>4894164000000</v>
      </c>
      <c r="N564" s="3">
        <v>848315000000</v>
      </c>
      <c r="O564" s="3">
        <v>351396000000</v>
      </c>
      <c r="P564">
        <f t="shared" si="132"/>
        <v>10.261513961791991</v>
      </c>
      <c r="Q564">
        <f t="shared" si="133"/>
        <v>0</v>
      </c>
      <c r="R564" t="str">
        <f t="shared" si="124"/>
        <v>Safe</v>
      </c>
      <c r="S564">
        <f t="shared" si="134"/>
        <v>0.55213608832119665</v>
      </c>
      <c r="T564">
        <f t="shared" si="135"/>
        <v>0.59772186088924406</v>
      </c>
      <c r="U564">
        <f t="shared" si="136"/>
        <v>0.27061830619371491</v>
      </c>
      <c r="V564">
        <f t="shared" si="137"/>
        <v>2.7355932745564213</v>
      </c>
      <c r="X564" s="13">
        <f t="shared" si="125"/>
        <v>6.760319462754258</v>
      </c>
      <c r="Y564" s="10"/>
      <c r="Z564" s="10"/>
      <c r="AB564" s="10" t="str">
        <f t="shared" si="126"/>
        <v>Non-Distress</v>
      </c>
      <c r="AC564" s="10">
        <f t="shared" si="127"/>
        <v>0</v>
      </c>
      <c r="AE564" s="10">
        <f t="shared" si="128"/>
        <v>0</v>
      </c>
      <c r="AG564" s="13">
        <f t="shared" si="129"/>
        <v>0.5</v>
      </c>
      <c r="AH564" s="13">
        <f t="shared" si="130"/>
        <v>0.5</v>
      </c>
      <c r="AI564" s="10">
        <f t="shared" si="131"/>
        <v>0.25</v>
      </c>
    </row>
    <row r="565" spans="1:35" x14ac:dyDescent="0.3">
      <c r="A565" t="s">
        <v>156</v>
      </c>
      <c r="B565">
        <v>2025</v>
      </c>
      <c r="C565" s="3">
        <v>176426198513</v>
      </c>
      <c r="D565" s="3">
        <v>39689079188</v>
      </c>
      <c r="E565" s="3">
        <v>3661123775579</v>
      </c>
      <c r="F565" s="3">
        <v>1557247695521</v>
      </c>
      <c r="G565" s="3">
        <v>1171645302980</v>
      </c>
      <c r="H565" s="3">
        <v>777954493852</v>
      </c>
      <c r="I565" s="3">
        <v>2489478472599</v>
      </c>
      <c r="J565" s="3">
        <v>733885241783</v>
      </c>
      <c r="K565" s="3">
        <v>779293201669</v>
      </c>
      <c r="M565" s="3">
        <v>2740741576467</v>
      </c>
      <c r="N565" s="3">
        <v>106230536169</v>
      </c>
      <c r="O565" s="3">
        <v>712492630837</v>
      </c>
      <c r="P565">
        <f t="shared" si="132"/>
        <v>4.6046564281047928</v>
      </c>
      <c r="Q565">
        <f t="shared" si="133"/>
        <v>0</v>
      </c>
      <c r="R565" t="str">
        <f t="shared" si="124"/>
        <v>Safe</v>
      </c>
      <c r="S565">
        <f t="shared" si="134"/>
        <v>0.21285628387304556</v>
      </c>
      <c r="T565">
        <f t="shared" si="135"/>
        <v>0.20045354562396278</v>
      </c>
      <c r="U565">
        <f t="shared" si="136"/>
        <v>4.8189083278152356E-2</v>
      </c>
      <c r="V565">
        <f t="shared" si="137"/>
        <v>2.1247714357469629</v>
      </c>
      <c r="X565" s="13">
        <f t="shared" si="125"/>
        <v>2.2823616632564723</v>
      </c>
      <c r="Y565" s="10"/>
      <c r="Z565" s="10"/>
      <c r="AB565" s="10" t="str">
        <f t="shared" si="126"/>
        <v>Non-Distress</v>
      </c>
      <c r="AC565" s="10">
        <f t="shared" si="127"/>
        <v>0</v>
      </c>
      <c r="AE565" s="10">
        <f t="shared" si="128"/>
        <v>0</v>
      </c>
      <c r="AG565" s="13">
        <f t="shared" si="129"/>
        <v>0.5</v>
      </c>
      <c r="AH565" s="13">
        <f t="shared" si="130"/>
        <v>0.5</v>
      </c>
      <c r="AI565" s="10">
        <f t="shared" si="131"/>
        <v>0.25</v>
      </c>
    </row>
    <row r="566" spans="1:35" x14ac:dyDescent="0.3">
      <c r="A566" t="s">
        <v>156</v>
      </c>
      <c r="B566">
        <v>2024</v>
      </c>
      <c r="C566" s="3">
        <v>169361503231</v>
      </c>
      <c r="D566" s="3">
        <v>34918475389</v>
      </c>
      <c r="E566" s="3">
        <v>3392686914315</v>
      </c>
      <c r="F566" s="3">
        <v>1434944365703</v>
      </c>
      <c r="G566" s="3">
        <v>1008005049539</v>
      </c>
      <c r="H566" s="3">
        <v>507892735105</v>
      </c>
      <c r="I566" s="3">
        <v>2384681864776</v>
      </c>
      <c r="J566" s="3">
        <v>1029177488767</v>
      </c>
      <c r="K566" s="3">
        <v>927051630598</v>
      </c>
      <c r="M566" s="3">
        <v>2729636216867</v>
      </c>
      <c r="N566" s="3">
        <v>104838993586</v>
      </c>
      <c r="O566" s="3">
        <v>606302197389</v>
      </c>
      <c r="P566">
        <f t="shared" si="132"/>
        <v>5.6009372870536644</v>
      </c>
      <c r="Q566">
        <f t="shared" si="133"/>
        <v>0</v>
      </c>
      <c r="R566" t="str">
        <f t="shared" si="124"/>
        <v>Safe</v>
      </c>
      <c r="S566">
        <f t="shared" si="134"/>
        <v>0.27324997973919329</v>
      </c>
      <c r="T566">
        <f t="shared" si="135"/>
        <v>0.30335174295763034</v>
      </c>
      <c r="U566">
        <f t="shared" si="136"/>
        <v>4.9919579232731798E-2</v>
      </c>
      <c r="V566">
        <f t="shared" si="137"/>
        <v>2.3657439671225933</v>
      </c>
      <c r="X566" s="13">
        <f t="shared" si="125"/>
        <v>3.0074681653601436</v>
      </c>
      <c r="Y566" s="10"/>
      <c r="Z566" s="10"/>
      <c r="AB566" s="10" t="str">
        <f t="shared" si="126"/>
        <v>Non-Distress</v>
      </c>
      <c r="AC566" s="10">
        <f t="shared" si="127"/>
        <v>0</v>
      </c>
      <c r="AE566" s="10">
        <f t="shared" si="128"/>
        <v>0</v>
      </c>
      <c r="AG566" s="13">
        <f t="shared" si="129"/>
        <v>0.5</v>
      </c>
      <c r="AH566" s="13">
        <f t="shared" si="130"/>
        <v>0.5</v>
      </c>
      <c r="AI566" s="10">
        <f t="shared" si="131"/>
        <v>0.25</v>
      </c>
    </row>
    <row r="567" spans="1:35" x14ac:dyDescent="0.3">
      <c r="A567" t="s">
        <v>156</v>
      </c>
      <c r="B567">
        <v>2023</v>
      </c>
      <c r="C567" s="3">
        <v>272479359629</v>
      </c>
      <c r="D567" s="3">
        <v>34630534642</v>
      </c>
      <c r="E567" s="3">
        <v>3303922519911</v>
      </c>
      <c r="F567" s="3">
        <v>1382776264404</v>
      </c>
      <c r="G567" s="3">
        <v>984503543994</v>
      </c>
      <c r="H567" s="3">
        <v>492360007391</v>
      </c>
      <c r="I567" s="3">
        <v>2319418975917</v>
      </c>
      <c r="J567" s="3">
        <v>983415899333</v>
      </c>
      <c r="K567" s="3">
        <v>890416257013</v>
      </c>
      <c r="M567" s="3">
        <v>2658520983180</v>
      </c>
      <c r="N567" s="3">
        <v>178658341906</v>
      </c>
      <c r="O567" s="3">
        <v>633373134282</v>
      </c>
      <c r="P567">
        <f t="shared" si="132"/>
        <v>5.766212642141503</v>
      </c>
      <c r="Q567">
        <f t="shared" si="133"/>
        <v>0</v>
      </c>
      <c r="R567" t="str">
        <f t="shared" si="124"/>
        <v>Safe</v>
      </c>
      <c r="S567">
        <f t="shared" si="134"/>
        <v>0.26950276577217852</v>
      </c>
      <c r="T567">
        <f t="shared" si="135"/>
        <v>0.29765101736087046</v>
      </c>
      <c r="U567">
        <f t="shared" si="136"/>
        <v>8.2471473827521832E-2</v>
      </c>
      <c r="V567">
        <f t="shared" si="137"/>
        <v>2.3559275028177407</v>
      </c>
      <c r="X567" s="13">
        <f t="shared" si="125"/>
        <v>3.1229233394746516</v>
      </c>
      <c r="Y567" s="10"/>
      <c r="Z567" s="10"/>
      <c r="AB567" s="10" t="str">
        <f t="shared" si="126"/>
        <v>Non-Distress</v>
      </c>
      <c r="AC567" s="10">
        <f t="shared" si="127"/>
        <v>0</v>
      </c>
      <c r="AE567" s="10">
        <f t="shared" si="128"/>
        <v>0</v>
      </c>
      <c r="AG567" s="13">
        <f t="shared" si="129"/>
        <v>0.5</v>
      </c>
      <c r="AH567" s="13">
        <f t="shared" si="130"/>
        <v>0.5</v>
      </c>
      <c r="AI567" s="10">
        <f t="shared" si="131"/>
        <v>0.25</v>
      </c>
    </row>
    <row r="568" spans="1:35" x14ac:dyDescent="0.3">
      <c r="A568" t="s">
        <v>156</v>
      </c>
      <c r="B568">
        <v>2022</v>
      </c>
      <c r="C568" s="3">
        <v>463862338735</v>
      </c>
      <c r="D568" s="3">
        <v>32416401579</v>
      </c>
      <c r="E568" s="3">
        <v>3239231499990</v>
      </c>
      <c r="F568" s="3">
        <v>1370508317595</v>
      </c>
      <c r="G568" s="3">
        <v>1092943225203</v>
      </c>
      <c r="H568" s="3">
        <v>374992624819</v>
      </c>
      <c r="I568" s="3">
        <v>2146288274787</v>
      </c>
      <c r="J568" s="3">
        <v>829406575979</v>
      </c>
      <c r="K568" s="3">
        <v>995515692776</v>
      </c>
      <c r="M568" s="3">
        <v>3138054094849</v>
      </c>
      <c r="N568" s="3">
        <v>336138349494</v>
      </c>
      <c r="O568" s="3">
        <v>730319405931</v>
      </c>
      <c r="P568">
        <f t="shared" si="132"/>
        <v>5.8750853717896714</v>
      </c>
      <c r="Q568">
        <f t="shared" si="133"/>
        <v>0</v>
      </c>
      <c r="R568" t="str">
        <f t="shared" si="124"/>
        <v>Safe</v>
      </c>
      <c r="S568">
        <f t="shared" si="134"/>
        <v>0.30733082608608658</v>
      </c>
      <c r="T568">
        <f t="shared" si="135"/>
        <v>0.25605041689103125</v>
      </c>
      <c r="U568">
        <f t="shared" si="136"/>
        <v>0.14320135462267269</v>
      </c>
      <c r="V568">
        <f t="shared" si="137"/>
        <v>1.9637692290817346</v>
      </c>
      <c r="X568" s="13">
        <f t="shared" si="125"/>
        <v>3.4947001683871592</v>
      </c>
      <c r="Y568" s="10"/>
      <c r="Z568" s="10"/>
      <c r="AB568" s="10" t="str">
        <f t="shared" si="126"/>
        <v>Non-Distress</v>
      </c>
      <c r="AC568" s="10">
        <f t="shared" si="127"/>
        <v>0</v>
      </c>
      <c r="AE568" s="10">
        <f t="shared" si="128"/>
        <v>0</v>
      </c>
      <c r="AG568" s="13">
        <f t="shared" si="129"/>
        <v>0.5</v>
      </c>
      <c r="AH568" s="13">
        <f t="shared" si="130"/>
        <v>0.5</v>
      </c>
      <c r="AI568" s="10">
        <f t="shared" si="131"/>
        <v>0.25</v>
      </c>
    </row>
    <row r="569" spans="1:35" x14ac:dyDescent="0.3">
      <c r="A569" t="s">
        <v>157</v>
      </c>
      <c r="B569">
        <v>2025</v>
      </c>
      <c r="C569" s="3">
        <v>384256804838</v>
      </c>
      <c r="D569" s="3">
        <v>18307513451</v>
      </c>
      <c r="E569" s="3">
        <v>3358817196796</v>
      </c>
      <c r="F569" s="3">
        <v>1359971769856</v>
      </c>
      <c r="G569" s="3">
        <v>905365280124</v>
      </c>
      <c r="H569" s="3">
        <v>687447096738</v>
      </c>
      <c r="I569" s="3">
        <v>1714755655686</v>
      </c>
      <c r="J569" s="3">
        <v>735270092517</v>
      </c>
      <c r="K569" s="3">
        <v>672524673118</v>
      </c>
      <c r="M569" s="3">
        <v>2779352783577</v>
      </c>
      <c r="N569" s="3">
        <v>270895558185</v>
      </c>
      <c r="O569" s="3">
        <v>263221930536</v>
      </c>
      <c r="P569">
        <f t="shared" ref="P569:P620" si="138">6.56*(F569-H569)/E569+3.26*J569/E569+6.72*C569/E569+1.05*I569/G569</f>
        <v>4.7846020819005766</v>
      </c>
      <c r="Q569">
        <f t="shared" ref="Q569:Q620" si="139">IF(VALUE(TRIM(P569))&lt;=1.1, 1, 0)</f>
        <v>0</v>
      </c>
      <c r="R569" t="str">
        <f t="shared" si="124"/>
        <v>Safe</v>
      </c>
      <c r="S569">
        <f t="shared" ref="S569:S620" si="140">MAX(-2,MIN(K569/E569,2))</f>
        <v>0.20022663744830357</v>
      </c>
      <c r="T569">
        <f t="shared" ref="T569:T620" si="141" xml:space="preserve"> J569/E569</f>
        <v>0.21890744551932731</v>
      </c>
      <c r="U569">
        <f t="shared" ref="U569:U620" si="142">C569/E569</f>
        <v>0.11440241678068855</v>
      </c>
      <c r="V569">
        <f t="shared" ref="V569:V620" si="143">I569/G569</f>
        <v>1.8939931686480675</v>
      </c>
      <c r="X569" s="13">
        <f t="shared" si="125"/>
        <v>2.5760365011714197</v>
      </c>
      <c r="Y569" s="10"/>
      <c r="Z569" s="10"/>
      <c r="AB569" s="10" t="str">
        <f t="shared" si="126"/>
        <v>Non-Distress</v>
      </c>
      <c r="AC569" s="10">
        <f t="shared" si="127"/>
        <v>0</v>
      </c>
      <c r="AE569" s="10">
        <f t="shared" si="128"/>
        <v>0</v>
      </c>
      <c r="AG569" s="13">
        <f t="shared" si="129"/>
        <v>0.5</v>
      </c>
      <c r="AH569" s="13">
        <f t="shared" si="130"/>
        <v>0.5</v>
      </c>
      <c r="AI569" s="10">
        <f t="shared" si="131"/>
        <v>0.25</v>
      </c>
    </row>
    <row r="570" spans="1:35" x14ac:dyDescent="0.3">
      <c r="A570" t="s">
        <v>157</v>
      </c>
      <c r="B570">
        <v>2024</v>
      </c>
      <c r="C570" s="3">
        <v>397029030111</v>
      </c>
      <c r="D570" s="3">
        <v>19064078791</v>
      </c>
      <c r="E570" s="3">
        <v>3415593681665</v>
      </c>
      <c r="F570" s="3">
        <v>1411495643021</v>
      </c>
      <c r="G570" s="3">
        <v>1051746901490</v>
      </c>
      <c r="H570" s="3">
        <v>825475645878</v>
      </c>
      <c r="I570" s="3">
        <v>1634015726856</v>
      </c>
      <c r="J570" s="3">
        <v>654530163687</v>
      </c>
      <c r="K570" s="3">
        <v>586019997143</v>
      </c>
      <c r="M570" s="3">
        <v>2915244767837</v>
      </c>
      <c r="N570" s="3">
        <v>287259059262</v>
      </c>
      <c r="O570" s="3">
        <v>274720620296</v>
      </c>
      <c r="P570">
        <f t="shared" si="138"/>
        <v>4.1626609361165876</v>
      </c>
      <c r="Q570">
        <f t="shared" si="139"/>
        <v>0</v>
      </c>
      <c r="R570" t="str">
        <f t="shared" si="124"/>
        <v>Safe</v>
      </c>
      <c r="S570">
        <f t="shared" si="140"/>
        <v>0.17157192914624808</v>
      </c>
      <c r="T570">
        <f t="shared" si="141"/>
        <v>0.19162998432762532</v>
      </c>
      <c r="U570">
        <f t="shared" si="142"/>
        <v>0.11624012312771939</v>
      </c>
      <c r="V570">
        <f t="shared" si="143"/>
        <v>1.5536206710389213</v>
      </c>
      <c r="X570" s="13">
        <f t="shared" si="125"/>
        <v>2.3057628162523303</v>
      </c>
      <c r="Y570" s="10"/>
      <c r="Z570" s="10"/>
      <c r="AB570" s="10" t="str">
        <f t="shared" si="126"/>
        <v>Non-Distress</v>
      </c>
      <c r="AC570" s="10">
        <f t="shared" si="127"/>
        <v>0</v>
      </c>
      <c r="AE570" s="10">
        <f t="shared" si="128"/>
        <v>0</v>
      </c>
      <c r="AG570" s="13">
        <f t="shared" si="129"/>
        <v>0.5</v>
      </c>
      <c r="AH570" s="13">
        <f t="shared" si="130"/>
        <v>0.5</v>
      </c>
      <c r="AI570" s="10">
        <f t="shared" si="131"/>
        <v>0.25</v>
      </c>
    </row>
    <row r="571" spans="1:35" x14ac:dyDescent="0.3">
      <c r="A571" t="s">
        <v>157</v>
      </c>
      <c r="B571">
        <v>2023</v>
      </c>
      <c r="C571" s="3">
        <v>350181129265</v>
      </c>
      <c r="D571" s="3">
        <v>24575585244</v>
      </c>
      <c r="E571" s="3">
        <v>3237655784669</v>
      </c>
      <c r="F571" s="3">
        <v>1268404496700</v>
      </c>
      <c r="G571" s="3">
        <v>1008062728819</v>
      </c>
      <c r="H571" s="3">
        <v>789166654793</v>
      </c>
      <c r="I571" s="3">
        <v>1507455555703</v>
      </c>
      <c r="J571" s="3">
        <v>527969992534</v>
      </c>
      <c r="K571" s="3">
        <v>479237841907</v>
      </c>
      <c r="M571" s="3">
        <v>2605488939158</v>
      </c>
      <c r="N571" s="3">
        <v>254701432907</v>
      </c>
      <c r="O571" s="3">
        <v>324511922347</v>
      </c>
      <c r="P571">
        <f t="shared" si="138"/>
        <v>3.7996209363749989</v>
      </c>
      <c r="Q571">
        <f t="shared" si="139"/>
        <v>0</v>
      </c>
      <c r="R571" t="str">
        <f t="shared" si="124"/>
        <v>Safe</v>
      </c>
      <c r="S571">
        <f t="shared" si="140"/>
        <v>0.14802001008763649</v>
      </c>
      <c r="T571">
        <f t="shared" si="141"/>
        <v>0.16307168755679713</v>
      </c>
      <c r="U571">
        <f t="shared" si="142"/>
        <v>0.10815885089551006</v>
      </c>
      <c r="V571">
        <f t="shared" si="143"/>
        <v>1.4953985626163024</v>
      </c>
      <c r="X571" s="13">
        <f t="shared" si="125"/>
        <v>2.0266186470967344</v>
      </c>
      <c r="Y571" s="10"/>
      <c r="Z571" s="10"/>
      <c r="AB571" s="10" t="str">
        <f t="shared" si="126"/>
        <v>Non-Distress</v>
      </c>
      <c r="AC571" s="10">
        <f t="shared" si="127"/>
        <v>0</v>
      </c>
      <c r="AE571" s="10">
        <f t="shared" si="128"/>
        <v>0</v>
      </c>
      <c r="AG571" s="13">
        <f t="shared" si="129"/>
        <v>0.5</v>
      </c>
      <c r="AH571" s="13">
        <f t="shared" si="130"/>
        <v>0.5</v>
      </c>
      <c r="AI571" s="10">
        <f t="shared" si="131"/>
        <v>0.25</v>
      </c>
    </row>
    <row r="572" spans="1:35" x14ac:dyDescent="0.3">
      <c r="A572" t="s">
        <v>157</v>
      </c>
      <c r="B572">
        <v>2022</v>
      </c>
      <c r="C572" s="3">
        <v>296420407436</v>
      </c>
      <c r="D572" s="3">
        <v>24283411753</v>
      </c>
      <c r="E572" s="3">
        <v>3116150805162</v>
      </c>
      <c r="F572" s="3">
        <v>1175602452283</v>
      </c>
      <c r="G572" s="3">
        <v>1008510478795</v>
      </c>
      <c r="H572" s="3">
        <v>791069117798</v>
      </c>
      <c r="I572" s="3">
        <v>1388234398642</v>
      </c>
      <c r="J572" s="3">
        <v>408748835473</v>
      </c>
      <c r="K572" s="3">
        <v>384533334485</v>
      </c>
      <c r="M572" s="3">
        <v>2505644878372</v>
      </c>
      <c r="N572" s="3">
        <v>206678784156</v>
      </c>
      <c r="O572" s="3">
        <v>344300345823</v>
      </c>
      <c r="P572">
        <f t="shared" si="138"/>
        <v>3.3217004949021138</v>
      </c>
      <c r="Q572">
        <f t="shared" si="139"/>
        <v>0</v>
      </c>
      <c r="R572" t="str">
        <f t="shared" si="124"/>
        <v>Safe</v>
      </c>
      <c r="S572">
        <f t="shared" si="140"/>
        <v>0.12340010433641679</v>
      </c>
      <c r="T572">
        <f t="shared" si="141"/>
        <v>0.13117107002520384</v>
      </c>
      <c r="U572">
        <f t="shared" si="142"/>
        <v>9.5123896746258374E-2</v>
      </c>
      <c r="V572">
        <f t="shared" si="143"/>
        <v>1.3765195581316181</v>
      </c>
      <c r="X572" s="13">
        <f t="shared" si="125"/>
        <v>1.7034237715900373</v>
      </c>
      <c r="Y572" s="10"/>
      <c r="Z572" s="10"/>
      <c r="AB572" s="10" t="str">
        <f t="shared" si="126"/>
        <v>Non-Distress</v>
      </c>
      <c r="AC572" s="10">
        <f t="shared" si="127"/>
        <v>0</v>
      </c>
      <c r="AE572" s="10">
        <f t="shared" si="128"/>
        <v>0</v>
      </c>
      <c r="AG572" s="13">
        <f t="shared" si="129"/>
        <v>0.5</v>
      </c>
      <c r="AH572" s="13">
        <f t="shared" si="130"/>
        <v>0.5</v>
      </c>
      <c r="AI572" s="10">
        <f t="shared" si="131"/>
        <v>0.25</v>
      </c>
    </row>
    <row r="573" spans="1:35" x14ac:dyDescent="0.3">
      <c r="A573" t="s">
        <v>158</v>
      </c>
      <c r="B573">
        <v>2025</v>
      </c>
      <c r="C573" s="3">
        <v>120980878000</v>
      </c>
      <c r="D573" s="3">
        <v>20336910000</v>
      </c>
      <c r="E573" s="3">
        <v>1052410486000</v>
      </c>
      <c r="F573" s="3">
        <v>638935783000</v>
      </c>
      <c r="G573" s="3">
        <v>242593848000</v>
      </c>
      <c r="H573" s="3">
        <v>217904456000</v>
      </c>
      <c r="I573" s="3">
        <v>809816638000</v>
      </c>
      <c r="J573" s="3">
        <v>342916975000</v>
      </c>
      <c r="K573" s="3">
        <v>421031327000</v>
      </c>
      <c r="M573" s="3">
        <v>1256364046000</v>
      </c>
      <c r="N573" s="3">
        <v>77352138000</v>
      </c>
      <c r="O573" s="3">
        <v>109932607000</v>
      </c>
      <c r="P573">
        <f t="shared" si="138"/>
        <v>7.9642257093826778</v>
      </c>
      <c r="Q573">
        <f t="shared" si="139"/>
        <v>0</v>
      </c>
      <c r="R573" t="str">
        <f t="shared" si="124"/>
        <v>Safe</v>
      </c>
      <c r="S573">
        <f t="shared" si="140"/>
        <v>0.40006378936821047</v>
      </c>
      <c r="T573">
        <f t="shared" si="141"/>
        <v>0.32583956503831341</v>
      </c>
      <c r="U573">
        <f t="shared" si="142"/>
        <v>0.11495597925845828</v>
      </c>
      <c r="V573">
        <f t="shared" si="143"/>
        <v>3.3381581795099766</v>
      </c>
      <c r="X573" s="13">
        <f t="shared" si="125"/>
        <v>4.2126318207463109</v>
      </c>
      <c r="Y573" s="10"/>
      <c r="Z573" s="10"/>
      <c r="AB573" s="10" t="str">
        <f t="shared" si="126"/>
        <v>Non-Distress</v>
      </c>
      <c r="AC573" s="10">
        <f t="shared" si="127"/>
        <v>0</v>
      </c>
      <c r="AE573" s="10">
        <f t="shared" si="128"/>
        <v>0</v>
      </c>
      <c r="AG573" s="13">
        <f t="shared" si="129"/>
        <v>0.5</v>
      </c>
      <c r="AH573" s="13">
        <f t="shared" si="130"/>
        <v>0.5</v>
      </c>
      <c r="AI573" s="10">
        <f t="shared" si="131"/>
        <v>0.25</v>
      </c>
    </row>
    <row r="574" spans="1:35" x14ac:dyDescent="0.3">
      <c r="A574" t="s">
        <v>158</v>
      </c>
      <c r="B574">
        <v>2024</v>
      </c>
      <c r="C574" s="3">
        <v>46022644000</v>
      </c>
      <c r="D574" s="3">
        <v>16464172000</v>
      </c>
      <c r="E574" s="3">
        <v>1135428989000</v>
      </c>
      <c r="F574" s="3">
        <v>737249459000</v>
      </c>
      <c r="G574" s="3">
        <v>396871660000</v>
      </c>
      <c r="H574" s="3">
        <v>377107726000</v>
      </c>
      <c r="I574" s="3">
        <v>738557329000</v>
      </c>
      <c r="J574" s="3">
        <v>271657666000</v>
      </c>
      <c r="K574" s="3">
        <v>360141733000</v>
      </c>
      <c r="M574" s="3">
        <v>1153788430000</v>
      </c>
      <c r="N574" s="3">
        <v>22501564000</v>
      </c>
      <c r="O574" s="3">
        <v>314778608000</v>
      </c>
      <c r="P574">
        <f t="shared" si="138"/>
        <v>5.0870890432064373</v>
      </c>
      <c r="Q574">
        <f t="shared" si="139"/>
        <v>0</v>
      </c>
      <c r="R574" t="str">
        <f t="shared" si="124"/>
        <v>Safe</v>
      </c>
      <c r="S574">
        <f t="shared" si="140"/>
        <v>0.31718560692834308</v>
      </c>
      <c r="T574">
        <f t="shared" si="141"/>
        <v>0.23925553128536514</v>
      </c>
      <c r="U574">
        <f t="shared" si="142"/>
        <v>4.0533264912086898E-2</v>
      </c>
      <c r="V574">
        <f t="shared" si="143"/>
        <v>1.8609475138638016</v>
      </c>
      <c r="X574" s="13">
        <f t="shared" si="125"/>
        <v>2.9988279529816158</v>
      </c>
      <c r="Y574" s="10"/>
      <c r="Z574" s="10"/>
      <c r="AB574" s="10" t="str">
        <f t="shared" si="126"/>
        <v>Non-Distress</v>
      </c>
      <c r="AC574" s="10">
        <f t="shared" si="127"/>
        <v>0</v>
      </c>
      <c r="AE574" s="10">
        <f t="shared" si="128"/>
        <v>0</v>
      </c>
      <c r="AG574" s="13">
        <f t="shared" si="129"/>
        <v>0.5</v>
      </c>
      <c r="AH574" s="13">
        <f t="shared" si="130"/>
        <v>0.5</v>
      </c>
      <c r="AI574" s="10">
        <f t="shared" si="131"/>
        <v>0.25</v>
      </c>
    </row>
    <row r="575" spans="1:35" x14ac:dyDescent="0.3">
      <c r="A575" t="s">
        <v>158</v>
      </c>
      <c r="B575">
        <v>2023</v>
      </c>
      <c r="C575" s="3">
        <v>88261688000</v>
      </c>
      <c r="D575" s="3">
        <v>13470009000</v>
      </c>
      <c r="E575" s="3">
        <v>936697851000</v>
      </c>
      <c r="F575" s="3">
        <v>592551321000</v>
      </c>
      <c r="G575" s="3">
        <v>226110331000</v>
      </c>
      <c r="H575" s="3">
        <v>205361384000</v>
      </c>
      <c r="I575" s="3">
        <v>710587520000</v>
      </c>
      <c r="J575" s="3">
        <v>254408387000</v>
      </c>
      <c r="K575" s="3">
        <v>387189937000</v>
      </c>
      <c r="M575" s="3">
        <v>1026705444000</v>
      </c>
      <c r="N575" s="3">
        <v>58018151000</v>
      </c>
      <c r="O575" s="3">
        <v>158271480000</v>
      </c>
      <c r="P575">
        <f t="shared" si="138"/>
        <v>7.5300303660605508</v>
      </c>
      <c r="Q575">
        <f t="shared" si="139"/>
        <v>0</v>
      </c>
      <c r="R575" t="str">
        <f t="shared" si="124"/>
        <v>Safe</v>
      </c>
      <c r="S575">
        <f t="shared" si="140"/>
        <v>0.41335627767977018</v>
      </c>
      <c r="T575">
        <f t="shared" si="141"/>
        <v>0.27160133518871499</v>
      </c>
      <c r="U575">
        <f t="shared" si="142"/>
        <v>9.4226423073111118E-2</v>
      </c>
      <c r="V575">
        <f t="shared" si="143"/>
        <v>3.142658351156896</v>
      </c>
      <c r="X575" s="13">
        <f t="shared" si="125"/>
        <v>4.0074288708755752</v>
      </c>
      <c r="Y575" s="10"/>
      <c r="Z575" s="10"/>
      <c r="AB575" s="10" t="str">
        <f t="shared" si="126"/>
        <v>Non-Distress</v>
      </c>
      <c r="AC575" s="10">
        <f t="shared" si="127"/>
        <v>0</v>
      </c>
      <c r="AE575" s="10">
        <f t="shared" si="128"/>
        <v>0</v>
      </c>
      <c r="AG575" s="13">
        <f t="shared" si="129"/>
        <v>0.5</v>
      </c>
      <c r="AH575" s="13">
        <f t="shared" si="130"/>
        <v>0.5</v>
      </c>
      <c r="AI575" s="10">
        <f t="shared" si="131"/>
        <v>0.25</v>
      </c>
    </row>
    <row r="576" spans="1:35" x14ac:dyDescent="0.3">
      <c r="A576" t="s">
        <v>158</v>
      </c>
      <c r="B576">
        <v>2022</v>
      </c>
      <c r="C576" s="3">
        <v>58127476000</v>
      </c>
      <c r="D576" s="3">
        <v>13704143000</v>
      </c>
      <c r="E576" s="3">
        <v>876602301000</v>
      </c>
      <c r="F576" s="3">
        <v>538289996000</v>
      </c>
      <c r="G576" s="3">
        <v>218259872000</v>
      </c>
      <c r="H576" s="3">
        <v>191188510000</v>
      </c>
      <c r="I576" s="3">
        <v>658342429000</v>
      </c>
      <c r="J576" s="3">
        <v>202163296000</v>
      </c>
      <c r="K576" s="3">
        <v>347101486000</v>
      </c>
      <c r="M576" s="3">
        <v>977707591000</v>
      </c>
      <c r="N576" s="3">
        <v>33640328000</v>
      </c>
      <c r="O576" s="3">
        <v>166748409000</v>
      </c>
      <c r="P576">
        <f t="shared" si="138"/>
        <v>6.9620817261227668</v>
      </c>
      <c r="Q576">
        <f t="shared" si="139"/>
        <v>0</v>
      </c>
      <c r="R576" t="str">
        <f t="shared" si="124"/>
        <v>Safe</v>
      </c>
      <c r="S576">
        <f t="shared" si="140"/>
        <v>0.39596232590769803</v>
      </c>
      <c r="T576">
        <f t="shared" si="141"/>
        <v>0.23062145258959341</v>
      </c>
      <c r="U576">
        <f t="shared" si="142"/>
        <v>6.6309974242241929E-2</v>
      </c>
      <c r="V576">
        <f t="shared" si="143"/>
        <v>3.0163237198269774</v>
      </c>
      <c r="X576" s="13">
        <f t="shared" si="125"/>
        <v>3.6263333535693372</v>
      </c>
      <c r="Y576" s="10"/>
      <c r="Z576" s="10"/>
      <c r="AB576" s="10" t="str">
        <f t="shared" si="126"/>
        <v>Non-Distress</v>
      </c>
      <c r="AC576" s="10">
        <f t="shared" si="127"/>
        <v>0</v>
      </c>
      <c r="AE576" s="10">
        <f t="shared" si="128"/>
        <v>0</v>
      </c>
      <c r="AG576" s="13">
        <f t="shared" si="129"/>
        <v>0.5</v>
      </c>
      <c r="AH576" s="13">
        <f t="shared" si="130"/>
        <v>0.5</v>
      </c>
      <c r="AI576" s="10">
        <f t="shared" si="131"/>
        <v>0.25</v>
      </c>
    </row>
    <row r="577" spans="1:35" x14ac:dyDescent="0.3">
      <c r="A577" t="s">
        <v>159</v>
      </c>
      <c r="B577">
        <v>2025</v>
      </c>
      <c r="C577" s="3">
        <v>2523339365000</v>
      </c>
      <c r="D577" s="3">
        <v>596178521000</v>
      </c>
      <c r="E577" s="3">
        <v>13583973802000</v>
      </c>
      <c r="F577" s="3">
        <v>5901249645000</v>
      </c>
      <c r="G577" s="3">
        <v>10642512002000</v>
      </c>
      <c r="H577" s="3">
        <v>4613340682000</v>
      </c>
      <c r="I577" s="3">
        <v>2277722695000</v>
      </c>
      <c r="J577" s="3">
        <v>2620224595000</v>
      </c>
      <c r="K577" s="3">
        <v>1287908963000</v>
      </c>
      <c r="M577" s="3">
        <v>14813170793000</v>
      </c>
      <c r="N577" s="3">
        <v>1160696736000</v>
      </c>
      <c r="O577" s="3">
        <v>8423145970000</v>
      </c>
      <c r="P577">
        <f t="shared" si="138"/>
        <v>2.7238035554751723</v>
      </c>
      <c r="Q577">
        <f t="shared" si="139"/>
        <v>0</v>
      </c>
      <c r="R577" t="str">
        <f t="shared" si="124"/>
        <v>Safe</v>
      </c>
      <c r="S577">
        <f t="shared" si="140"/>
        <v>9.4810913343367775E-2</v>
      </c>
      <c r="T577">
        <f t="shared" si="141"/>
        <v>0.19289087517337661</v>
      </c>
      <c r="U577">
        <f t="shared" si="142"/>
        <v>0.18575855650049053</v>
      </c>
      <c r="V577">
        <f t="shared" si="143"/>
        <v>0.21402115351826315</v>
      </c>
      <c r="X577" s="13">
        <f t="shared" si="125"/>
        <v>2.1194713200419533</v>
      </c>
      <c r="Y577" s="10"/>
      <c r="Z577" s="10"/>
      <c r="AB577" s="10" t="str">
        <f t="shared" si="126"/>
        <v>Non-Distress</v>
      </c>
      <c r="AC577" s="10">
        <f t="shared" si="127"/>
        <v>0</v>
      </c>
      <c r="AE577" s="10">
        <f t="shared" si="128"/>
        <v>0</v>
      </c>
      <c r="AG577" s="13">
        <f t="shared" si="129"/>
        <v>0.5</v>
      </c>
      <c r="AH577" s="13">
        <f t="shared" si="130"/>
        <v>0.5</v>
      </c>
      <c r="AI577" s="10">
        <f t="shared" si="131"/>
        <v>0.25</v>
      </c>
    </row>
    <row r="578" spans="1:35" x14ac:dyDescent="0.3">
      <c r="A578" t="s">
        <v>159</v>
      </c>
      <c r="B578">
        <v>2024</v>
      </c>
      <c r="C578" s="3">
        <v>1797095367000</v>
      </c>
      <c r="D578" s="3">
        <v>583913570000</v>
      </c>
      <c r="E578" s="3">
        <v>11871118225000</v>
      </c>
      <c r="F578" s="3">
        <v>5212497254000</v>
      </c>
      <c r="G578" s="3">
        <v>8986349964000</v>
      </c>
      <c r="H578" s="3">
        <v>4751235135000</v>
      </c>
      <c r="I578" s="3">
        <v>2621889491000</v>
      </c>
      <c r="J578" s="3">
        <v>2280648313000</v>
      </c>
      <c r="K578" s="3">
        <v>461262119000</v>
      </c>
      <c r="M578" s="3">
        <v>10366799435000</v>
      </c>
      <c r="N578" s="3">
        <v>819533676000</v>
      </c>
      <c r="O578" s="3">
        <v>7177792682000</v>
      </c>
      <c r="P578">
        <f t="shared" si="138"/>
        <v>2.2048480285257828</v>
      </c>
      <c r="Q578">
        <f t="shared" si="139"/>
        <v>0</v>
      </c>
      <c r="R578" t="str">
        <f t="shared" ref="R578:R641" si="144">IF(P578&lt;1.1, "Distress", IF(P578&lt;=2.6, "Grey Area", "Safe"))</f>
        <v>Grey Area</v>
      </c>
      <c r="S578">
        <f t="shared" si="140"/>
        <v>3.8855827248742612E-2</v>
      </c>
      <c r="T578">
        <f t="shared" si="141"/>
        <v>0.19211739532650471</v>
      </c>
      <c r="U578">
        <f t="shared" si="142"/>
        <v>0.15138383199784872</v>
      </c>
      <c r="V578">
        <f t="shared" si="143"/>
        <v>0.29176356379436458</v>
      </c>
      <c r="X578" s="13">
        <f t="shared" ref="X578:X641" si="145">(S578 * $T$729) + (T578 * $T$730) + (U578 * $T$731) + (V578 * $T$732)</f>
        <v>1.611998924594517</v>
      </c>
      <c r="Y578" s="10"/>
      <c r="Z578" s="10"/>
      <c r="AB578" s="10" t="str">
        <f t="shared" si="126"/>
        <v>Non-Distress</v>
      </c>
      <c r="AC578" s="10">
        <f t="shared" si="127"/>
        <v>0</v>
      </c>
      <c r="AE578" s="10">
        <f t="shared" si="128"/>
        <v>0</v>
      </c>
      <c r="AG578" s="13">
        <f t="shared" si="129"/>
        <v>0.5</v>
      </c>
      <c r="AH578" s="13">
        <f t="shared" si="130"/>
        <v>0.5</v>
      </c>
      <c r="AI578" s="10">
        <f t="shared" si="131"/>
        <v>0.25</v>
      </c>
    </row>
    <row r="579" spans="1:35" x14ac:dyDescent="0.3">
      <c r="A579" t="s">
        <v>159</v>
      </c>
      <c r="B579">
        <v>2023</v>
      </c>
      <c r="C579" s="3">
        <v>1194405271000</v>
      </c>
      <c r="D579" s="3">
        <v>642270124000</v>
      </c>
      <c r="E579" s="3">
        <v>11943995440000</v>
      </c>
      <c r="F579" s="3">
        <v>5017475614000</v>
      </c>
      <c r="G579" s="3">
        <v>9947700957000</v>
      </c>
      <c r="H579" s="3">
        <v>4785421159000</v>
      </c>
      <c r="I579" s="3">
        <v>1756939733000</v>
      </c>
      <c r="J579" s="3">
        <v>1979428701000</v>
      </c>
      <c r="K579" s="3">
        <v>232054455000</v>
      </c>
      <c r="M579" s="3">
        <v>10703411845000</v>
      </c>
      <c r="N579" s="3">
        <v>512255637000</v>
      </c>
      <c r="O579" s="3">
        <v>8290480362000</v>
      </c>
      <c r="P579">
        <f t="shared" si="138"/>
        <v>1.5251692735361935</v>
      </c>
      <c r="Q579">
        <f t="shared" si="139"/>
        <v>0</v>
      </c>
      <c r="R579" t="str">
        <f t="shared" si="144"/>
        <v>Grey Area</v>
      </c>
      <c r="S579">
        <f t="shared" si="140"/>
        <v>1.9428545177006529E-2</v>
      </c>
      <c r="T579">
        <f t="shared" si="141"/>
        <v>0.16572584198843265</v>
      </c>
      <c r="U579">
        <f t="shared" si="142"/>
        <v>0.10000047948779191</v>
      </c>
      <c r="V579">
        <f t="shared" si="143"/>
        <v>0.17661766679502727</v>
      </c>
      <c r="X579" s="13">
        <f t="shared" si="145"/>
        <v>1.1532539926201821</v>
      </c>
      <c r="Y579" s="10"/>
      <c r="Z579" s="10"/>
      <c r="AB579" s="10" t="str">
        <f t="shared" ref="AB579:AB642" si="146">IF(X579 &lt; AA579, "Distress", "Non-Distress")</f>
        <v>Non-Distress</v>
      </c>
      <c r="AC579" s="10">
        <f t="shared" ref="AC579:AC642" si="147">IF(X579 &lt; AA579, 1, 0)</f>
        <v>0</v>
      </c>
      <c r="AE579" s="10">
        <f t="shared" ref="AE579:AE642" si="148">IF(VALUE(TRIM(P579))&lt;=1.1, 1, 0)</f>
        <v>0</v>
      </c>
      <c r="AG579" s="13">
        <f t="shared" ref="AG579:AG642" si="149">1/(1+EXP(-Q579))</f>
        <v>0.5</v>
      </c>
      <c r="AH579" s="13">
        <f t="shared" ref="AH579:AH642" si="150">AG579-Q579</f>
        <v>0.5</v>
      </c>
      <c r="AI579" s="10">
        <f t="shared" ref="AI579:AI642" si="151">AG579*(1-AG579)</f>
        <v>0.25</v>
      </c>
    </row>
    <row r="580" spans="1:35" x14ac:dyDescent="0.3">
      <c r="A580" t="s">
        <v>159</v>
      </c>
      <c r="B580">
        <v>2022</v>
      </c>
      <c r="C580" s="3">
        <v>2556053492000</v>
      </c>
      <c r="D580" s="3">
        <v>591367325000</v>
      </c>
      <c r="E580" s="3">
        <v>11136909800000</v>
      </c>
      <c r="F580" s="3">
        <v>4638955633000</v>
      </c>
      <c r="G580" s="3">
        <v>9092405909000</v>
      </c>
      <c r="H580" s="3">
        <v>4172292592000</v>
      </c>
      <c r="I580" s="3">
        <v>2006272163000</v>
      </c>
      <c r="J580" s="3">
        <v>3616933978000</v>
      </c>
      <c r="K580" s="3">
        <v>466663041000</v>
      </c>
      <c r="M580" s="3">
        <v>11240219016000</v>
      </c>
      <c r="N580" s="3">
        <v>1837375968000</v>
      </c>
      <c r="O580" s="3">
        <v>7162331870000</v>
      </c>
      <c r="P580">
        <f t="shared" si="138"/>
        <v>3.1076361120646117</v>
      </c>
      <c r="Q580">
        <f t="shared" si="139"/>
        <v>0</v>
      </c>
      <c r="R580" t="str">
        <f t="shared" si="144"/>
        <v>Safe</v>
      </c>
      <c r="S580">
        <f t="shared" si="140"/>
        <v>4.1902381305090573E-2</v>
      </c>
      <c r="T580">
        <f t="shared" si="141"/>
        <v>0.32476998044825683</v>
      </c>
      <c r="U580">
        <f t="shared" si="142"/>
        <v>0.22951191469648072</v>
      </c>
      <c r="V580">
        <f t="shared" si="143"/>
        <v>0.220653607315762</v>
      </c>
      <c r="X580" s="13">
        <f t="shared" si="145"/>
        <v>2.4402794180912486</v>
      </c>
      <c r="Y580" s="10"/>
      <c r="Z580" s="10"/>
      <c r="AB580" s="10" t="str">
        <f t="shared" si="146"/>
        <v>Non-Distress</v>
      </c>
      <c r="AC580" s="10">
        <f t="shared" si="147"/>
        <v>0</v>
      </c>
      <c r="AE580" s="10">
        <f t="shared" si="148"/>
        <v>0</v>
      </c>
      <c r="AG580" s="13">
        <f t="shared" si="149"/>
        <v>0.5</v>
      </c>
      <c r="AH580" s="13">
        <f t="shared" si="150"/>
        <v>0.5</v>
      </c>
      <c r="AI580" s="10">
        <f t="shared" si="151"/>
        <v>0.25</v>
      </c>
    </row>
    <row r="581" spans="1:35" x14ac:dyDescent="0.3">
      <c r="A581" t="s">
        <v>160</v>
      </c>
      <c r="B581">
        <v>2025</v>
      </c>
      <c r="C581" s="3">
        <v>717642169</v>
      </c>
      <c r="E581" s="3">
        <v>367028982980</v>
      </c>
      <c r="F581" s="3">
        <v>181354615581</v>
      </c>
      <c r="G581" s="3">
        <v>165777240938</v>
      </c>
      <c r="H581" s="3">
        <v>130169906988</v>
      </c>
      <c r="I581" s="3">
        <v>201251742042</v>
      </c>
      <c r="J581" s="3">
        <v>-170211281609</v>
      </c>
      <c r="K581" s="3">
        <v>51184708593</v>
      </c>
      <c r="M581" s="3">
        <v>274483465010</v>
      </c>
      <c r="N581" s="3">
        <v>-19074957275</v>
      </c>
      <c r="P581">
        <f t="shared" si="138"/>
        <v>0.69082571532682813</v>
      </c>
      <c r="Q581">
        <f t="shared" si="139"/>
        <v>1</v>
      </c>
      <c r="R581" t="str">
        <f t="shared" si="144"/>
        <v>Distress</v>
      </c>
      <c r="S581">
        <f t="shared" si="140"/>
        <v>0.13945685754138151</v>
      </c>
      <c r="T581">
        <f t="shared" si="141"/>
        <v>-0.46375433413190448</v>
      </c>
      <c r="U581">
        <f t="shared" si="142"/>
        <v>1.9552738401563928E-3</v>
      </c>
      <c r="V581">
        <f t="shared" si="143"/>
        <v>1.2139889703995455</v>
      </c>
      <c r="X581" s="13">
        <f t="shared" si="145"/>
        <v>-0.60604055241128063</v>
      </c>
      <c r="Y581" s="10"/>
      <c r="Z581" s="10"/>
      <c r="AB581" s="10" t="str">
        <f t="shared" si="146"/>
        <v>Distress</v>
      </c>
      <c r="AC581" s="10">
        <f t="shared" si="147"/>
        <v>1</v>
      </c>
      <c r="AE581" s="10">
        <f t="shared" si="148"/>
        <v>1</v>
      </c>
      <c r="AG581" s="13">
        <f t="shared" si="149"/>
        <v>0.7310585786300049</v>
      </c>
      <c r="AH581" s="13">
        <f t="shared" si="150"/>
        <v>-0.2689414213699951</v>
      </c>
      <c r="AI581" s="10">
        <f t="shared" si="151"/>
        <v>0.19661193324148185</v>
      </c>
    </row>
    <row r="582" spans="1:35" x14ac:dyDescent="0.3">
      <c r="A582" t="s">
        <v>160</v>
      </c>
      <c r="B582">
        <v>2024</v>
      </c>
      <c r="C582" s="3">
        <v>-9785100207</v>
      </c>
      <c r="E582" s="3">
        <v>397551814020</v>
      </c>
      <c r="F582" s="3">
        <v>207379449454</v>
      </c>
      <c r="G582" s="3">
        <v>177741744350</v>
      </c>
      <c r="H582" s="3">
        <v>144555383478</v>
      </c>
      <c r="I582" s="3">
        <v>219810069670</v>
      </c>
      <c r="J582" s="3">
        <v>-151136324334</v>
      </c>
      <c r="K582" s="3">
        <v>62824065976</v>
      </c>
      <c r="M582" s="3">
        <v>235863387767</v>
      </c>
      <c r="N582" s="3">
        <v>-17985743148</v>
      </c>
      <c r="P582">
        <f t="shared" si="138"/>
        <v>0.93042749759726873</v>
      </c>
      <c r="Q582">
        <f t="shared" si="139"/>
        <v>1</v>
      </c>
      <c r="R582" t="str">
        <f t="shared" si="144"/>
        <v>Distress</v>
      </c>
      <c r="S582">
        <f t="shared" si="140"/>
        <v>0.15802736589409563</v>
      </c>
      <c r="T582">
        <f t="shared" si="141"/>
        <v>-0.38016761338786559</v>
      </c>
      <c r="U582">
        <f t="shared" si="142"/>
        <v>-2.4613395944679886E-2</v>
      </c>
      <c r="V582">
        <f t="shared" si="143"/>
        <v>1.2366823025949447</v>
      </c>
      <c r="X582" s="13">
        <f t="shared" si="145"/>
        <v>-0.34612060541454998</v>
      </c>
      <c r="Y582" s="10"/>
      <c r="Z582" s="10"/>
      <c r="AB582" s="10" t="str">
        <f t="shared" si="146"/>
        <v>Distress</v>
      </c>
      <c r="AC582" s="10">
        <f t="shared" si="147"/>
        <v>1</v>
      </c>
      <c r="AE582" s="10">
        <f t="shared" si="148"/>
        <v>1</v>
      </c>
      <c r="AG582" s="13">
        <f t="shared" si="149"/>
        <v>0.7310585786300049</v>
      </c>
      <c r="AH582" s="13">
        <f t="shared" si="150"/>
        <v>-0.2689414213699951</v>
      </c>
      <c r="AI582" s="10">
        <f t="shared" si="151"/>
        <v>0.19661193324148185</v>
      </c>
    </row>
    <row r="583" spans="1:35" x14ac:dyDescent="0.3">
      <c r="A583" t="s">
        <v>160</v>
      </c>
      <c r="B583">
        <v>2023</v>
      </c>
      <c r="C583" s="3">
        <v>-11542706927</v>
      </c>
      <c r="D583" s="3">
        <v>0</v>
      </c>
      <c r="E583" s="3">
        <v>423860995132</v>
      </c>
      <c r="F583" s="3">
        <v>225961727243</v>
      </c>
      <c r="G583" s="3">
        <v>187999112808</v>
      </c>
      <c r="H583" s="3">
        <v>152875738521</v>
      </c>
      <c r="I583" s="3">
        <v>235861882324</v>
      </c>
      <c r="J583" s="3">
        <v>-133150581186</v>
      </c>
      <c r="K583" s="3">
        <v>73085988722</v>
      </c>
      <c r="M583" s="3">
        <v>224458888000</v>
      </c>
      <c r="N583" s="3">
        <v>-6234987100</v>
      </c>
      <c r="P583">
        <f t="shared" si="138"/>
        <v>1.2413662485662971</v>
      </c>
      <c r="Q583">
        <f t="shared" si="139"/>
        <v>0</v>
      </c>
      <c r="R583" t="str">
        <f t="shared" si="144"/>
        <v>Grey Area</v>
      </c>
      <c r="S583">
        <f t="shared" si="140"/>
        <v>0.17242914436899143</v>
      </c>
      <c r="T583">
        <f t="shared" si="141"/>
        <v>-0.31413737691181959</v>
      </c>
      <c r="U583">
        <f t="shared" si="142"/>
        <v>-2.7232293274367783E-2</v>
      </c>
      <c r="V583">
        <f t="shared" si="143"/>
        <v>1.2545904009923778</v>
      </c>
      <c r="X583" s="13">
        <f t="shared" si="145"/>
        <v>-5.3575512724290029E-2</v>
      </c>
      <c r="Y583" s="10"/>
      <c r="Z583" s="10"/>
      <c r="AB583" s="10" t="str">
        <f t="shared" si="146"/>
        <v>Distress</v>
      </c>
      <c r="AC583" s="10">
        <f t="shared" si="147"/>
        <v>1</v>
      </c>
      <c r="AE583" s="10">
        <f t="shared" si="148"/>
        <v>0</v>
      </c>
      <c r="AG583" s="13">
        <f t="shared" si="149"/>
        <v>0.5</v>
      </c>
      <c r="AH583" s="13">
        <f t="shared" si="150"/>
        <v>0.5</v>
      </c>
      <c r="AI583" s="10">
        <f t="shared" si="151"/>
        <v>0.25</v>
      </c>
    </row>
    <row r="584" spans="1:35" x14ac:dyDescent="0.3">
      <c r="A584" t="s">
        <v>160</v>
      </c>
      <c r="B584">
        <v>2022</v>
      </c>
      <c r="C584" s="3">
        <v>-6300170811</v>
      </c>
      <c r="D584" s="3">
        <v>785092097</v>
      </c>
      <c r="E584" s="3">
        <v>442106656917</v>
      </c>
      <c r="F584" s="3">
        <v>234003843351</v>
      </c>
      <c r="G584" s="3">
        <v>203459115043</v>
      </c>
      <c r="H584" s="3">
        <v>164175570860</v>
      </c>
      <c r="I584" s="3">
        <v>238647541874</v>
      </c>
      <c r="J584" s="3">
        <v>-126915594086</v>
      </c>
      <c r="K584" s="3">
        <v>69828272491</v>
      </c>
      <c r="M584" s="3">
        <v>260232693262</v>
      </c>
      <c r="N584" s="3">
        <v>-6044861775</v>
      </c>
      <c r="O584" s="3">
        <v>0</v>
      </c>
      <c r="P584">
        <f t="shared" si="138"/>
        <v>1.2361029228252096</v>
      </c>
      <c r="Q584">
        <f t="shared" si="139"/>
        <v>0</v>
      </c>
      <c r="R584" t="str">
        <f t="shared" si="144"/>
        <v>Grey Area</v>
      </c>
      <c r="S584">
        <f t="shared" si="140"/>
        <v>0.15794440413528851</v>
      </c>
      <c r="T584">
        <f t="shared" si="141"/>
        <v>-0.28707008162020692</v>
      </c>
      <c r="U584">
        <f t="shared" si="142"/>
        <v>-1.4250341433295311E-2</v>
      </c>
      <c r="V584">
        <f t="shared" si="143"/>
        <v>1.1729508497250818</v>
      </c>
      <c r="X584" s="13">
        <f t="shared" si="145"/>
        <v>5.9012761828885069E-3</v>
      </c>
      <c r="Y584" s="10"/>
      <c r="Z584" s="10"/>
      <c r="AB584" s="10" t="str">
        <f t="shared" si="146"/>
        <v>Non-Distress</v>
      </c>
      <c r="AC584" s="10">
        <f t="shared" si="147"/>
        <v>0</v>
      </c>
      <c r="AE584" s="10">
        <f t="shared" si="148"/>
        <v>0</v>
      </c>
      <c r="AG584" s="13">
        <f t="shared" si="149"/>
        <v>0.5</v>
      </c>
      <c r="AH584" s="13">
        <f t="shared" si="150"/>
        <v>0.5</v>
      </c>
      <c r="AI584" s="10">
        <f t="shared" si="151"/>
        <v>0.25</v>
      </c>
    </row>
    <row r="585" spans="1:35" x14ac:dyDescent="0.3">
      <c r="A585" t="s">
        <v>161</v>
      </c>
      <c r="B585">
        <v>2025</v>
      </c>
      <c r="C585" s="3">
        <v>2429809000000</v>
      </c>
      <c r="D585" s="3">
        <v>96750000000</v>
      </c>
      <c r="E585" s="3">
        <v>9562814000000</v>
      </c>
      <c r="F585" s="3">
        <v>3938699000000</v>
      </c>
      <c r="G585" s="3">
        <v>2560432000000</v>
      </c>
      <c r="H585" s="3">
        <v>1240038000000</v>
      </c>
      <c r="I585" s="3">
        <v>6466627000000</v>
      </c>
      <c r="J585" s="3">
        <v>3927103000000</v>
      </c>
      <c r="K585" s="3">
        <v>2698661000000</v>
      </c>
      <c r="M585" s="3">
        <v>9669155000000</v>
      </c>
      <c r="N585" s="3">
        <v>1606280000000</v>
      </c>
      <c r="O585" s="3">
        <v>1790260000000</v>
      </c>
      <c r="P585">
        <f t="shared" si="138"/>
        <v>7.5493806925620532</v>
      </c>
      <c r="Q585">
        <f t="shared" si="139"/>
        <v>0</v>
      </c>
      <c r="R585" t="str">
        <f t="shared" si="144"/>
        <v>Safe</v>
      </c>
      <c r="S585">
        <f t="shared" si="140"/>
        <v>0.28220364842398898</v>
      </c>
      <c r="T585">
        <f t="shared" si="141"/>
        <v>0.41066395309999754</v>
      </c>
      <c r="U585">
        <f t="shared" si="142"/>
        <v>0.25408932977259624</v>
      </c>
      <c r="V585">
        <f t="shared" si="143"/>
        <v>2.5255999768789015</v>
      </c>
      <c r="X585" s="13">
        <f t="shared" si="145"/>
        <v>4.4084248142130988</v>
      </c>
      <c r="Y585" s="10"/>
      <c r="Z585" s="10"/>
      <c r="AB585" s="10" t="str">
        <f t="shared" si="146"/>
        <v>Non-Distress</v>
      </c>
      <c r="AC585" s="10">
        <f t="shared" si="147"/>
        <v>0</v>
      </c>
      <c r="AE585" s="10">
        <f t="shared" si="148"/>
        <v>0</v>
      </c>
      <c r="AG585" s="13">
        <f t="shared" si="149"/>
        <v>0.5</v>
      </c>
      <c r="AH585" s="13">
        <f t="shared" si="150"/>
        <v>0.5</v>
      </c>
      <c r="AI585" s="10">
        <f t="shared" si="151"/>
        <v>0.25</v>
      </c>
    </row>
    <row r="586" spans="1:35" x14ac:dyDescent="0.3">
      <c r="A586" t="s">
        <v>161</v>
      </c>
      <c r="B586">
        <v>2024</v>
      </c>
      <c r="C586" s="3">
        <v>1919417000000</v>
      </c>
      <c r="D586" s="3">
        <v>88281000000</v>
      </c>
      <c r="E586" s="3">
        <v>8083501000000</v>
      </c>
      <c r="F586" s="3">
        <v>2371864000000</v>
      </c>
      <c r="G586" s="3">
        <v>2183533000000</v>
      </c>
      <c r="H586" s="3">
        <v>1174077000000</v>
      </c>
      <c r="I586" s="3">
        <v>5468706000000</v>
      </c>
      <c r="J586" s="3">
        <v>2920508000000</v>
      </c>
      <c r="K586" s="3">
        <v>1197787000000</v>
      </c>
      <c r="M586" s="3">
        <v>6439474000000</v>
      </c>
      <c r="N586" s="3">
        <v>1282223000000</v>
      </c>
      <c r="O586" s="3">
        <v>1513290000000</v>
      </c>
      <c r="P586">
        <f t="shared" si="138"/>
        <v>6.3752563079327933</v>
      </c>
      <c r="Q586">
        <f t="shared" si="139"/>
        <v>0</v>
      </c>
      <c r="R586" t="str">
        <f t="shared" si="144"/>
        <v>Safe</v>
      </c>
      <c r="S586">
        <f t="shared" si="140"/>
        <v>0.14817676152944126</v>
      </c>
      <c r="T586">
        <f t="shared" si="141"/>
        <v>0.36129246473774174</v>
      </c>
      <c r="U586">
        <f t="shared" si="142"/>
        <v>0.23744872425945143</v>
      </c>
      <c r="V586">
        <f t="shared" si="143"/>
        <v>2.5045218002201022</v>
      </c>
      <c r="X586" s="13">
        <f t="shared" si="145"/>
        <v>3.3460365189172023</v>
      </c>
      <c r="Y586" s="10"/>
      <c r="Z586" s="10"/>
      <c r="AB586" s="10" t="str">
        <f t="shared" si="146"/>
        <v>Non-Distress</v>
      </c>
      <c r="AC586" s="10">
        <f t="shared" si="147"/>
        <v>0</v>
      </c>
      <c r="AE586" s="10">
        <f t="shared" si="148"/>
        <v>0</v>
      </c>
      <c r="AG586" s="13">
        <f t="shared" si="149"/>
        <v>0.5</v>
      </c>
      <c r="AH586" s="13">
        <f t="shared" si="150"/>
        <v>0.5</v>
      </c>
      <c r="AI586" s="10">
        <f t="shared" si="151"/>
        <v>0.25</v>
      </c>
    </row>
    <row r="587" spans="1:35" x14ac:dyDescent="0.3">
      <c r="A587" t="s">
        <v>161</v>
      </c>
      <c r="B587">
        <v>2023</v>
      </c>
      <c r="C587" s="3">
        <v>1116419000000</v>
      </c>
      <c r="D587" s="3">
        <v>109159000000</v>
      </c>
      <c r="E587" s="3">
        <v>6681163000000</v>
      </c>
      <c r="F587" s="3">
        <v>1559204000000</v>
      </c>
      <c r="G587" s="3">
        <v>1877485000000</v>
      </c>
      <c r="H587" s="3">
        <v>747248000000</v>
      </c>
      <c r="I587" s="3">
        <v>4470153000000</v>
      </c>
      <c r="J587" s="3">
        <v>1932662000000</v>
      </c>
      <c r="K587" s="3">
        <v>811956000000</v>
      </c>
      <c r="M587" s="3">
        <v>5285201000000</v>
      </c>
      <c r="N587" s="3">
        <v>681880000000</v>
      </c>
      <c r="O587" s="3">
        <v>1437777000000</v>
      </c>
      <c r="P587">
        <f t="shared" si="138"/>
        <v>5.3631333568889517</v>
      </c>
      <c r="Q587">
        <f t="shared" si="139"/>
        <v>0</v>
      </c>
      <c r="R587" t="str">
        <f t="shared" si="144"/>
        <v>Safe</v>
      </c>
      <c r="S587">
        <f t="shared" si="140"/>
        <v>0.12152914095944074</v>
      </c>
      <c r="T587">
        <f t="shared" si="141"/>
        <v>0.2892702962044183</v>
      </c>
      <c r="U587">
        <f t="shared" si="142"/>
        <v>0.16709950049115702</v>
      </c>
      <c r="V587">
        <f t="shared" si="143"/>
        <v>2.3809260793028972</v>
      </c>
      <c r="X587" s="13">
        <f t="shared" si="145"/>
        <v>2.6014946517496158</v>
      </c>
      <c r="Y587" s="10"/>
      <c r="Z587" s="10"/>
      <c r="AB587" s="10" t="str">
        <f t="shared" si="146"/>
        <v>Non-Distress</v>
      </c>
      <c r="AC587" s="10">
        <f t="shared" si="147"/>
        <v>0</v>
      </c>
      <c r="AE587" s="10">
        <f t="shared" si="148"/>
        <v>0</v>
      </c>
      <c r="AG587" s="13">
        <f t="shared" si="149"/>
        <v>0.5</v>
      </c>
      <c r="AH587" s="13">
        <f t="shared" si="150"/>
        <v>0.5</v>
      </c>
      <c r="AI587" s="10">
        <f t="shared" si="151"/>
        <v>0.25</v>
      </c>
    </row>
    <row r="588" spans="1:35" x14ac:dyDescent="0.3">
      <c r="A588" t="s">
        <v>161</v>
      </c>
      <c r="B588">
        <v>2022</v>
      </c>
      <c r="C588" s="3">
        <v>1781047000000</v>
      </c>
      <c r="D588" s="3">
        <v>143370000000</v>
      </c>
      <c r="E588" s="3">
        <v>7012183000000</v>
      </c>
      <c r="F588" s="3">
        <v>2300058000000</v>
      </c>
      <c r="G588" s="3">
        <v>2368873000000</v>
      </c>
      <c r="H588" s="3">
        <v>890815000000</v>
      </c>
      <c r="I588" s="3">
        <v>4283368000000</v>
      </c>
      <c r="J588" s="3">
        <v>1752337000000</v>
      </c>
      <c r="K588" s="3">
        <v>1409243000000</v>
      </c>
      <c r="M588" s="3">
        <v>6045448000000</v>
      </c>
      <c r="N588" s="3">
        <v>1112582000000</v>
      </c>
      <c r="O588" s="3">
        <v>1750185000000</v>
      </c>
      <c r="P588">
        <f t="shared" si="138"/>
        <v>5.7384700006717839</v>
      </c>
      <c r="Q588">
        <f t="shared" si="139"/>
        <v>0</v>
      </c>
      <c r="R588" t="str">
        <f t="shared" si="144"/>
        <v>Safe</v>
      </c>
      <c r="S588">
        <f t="shared" si="140"/>
        <v>0.20097065350405144</v>
      </c>
      <c r="T588">
        <f t="shared" si="141"/>
        <v>0.24989892591223017</v>
      </c>
      <c r="U588">
        <f t="shared" si="142"/>
        <v>0.25399322864220741</v>
      </c>
      <c r="V588">
        <f t="shared" si="143"/>
        <v>1.8081881130816215</v>
      </c>
      <c r="X588" s="13">
        <f t="shared" si="145"/>
        <v>3.3537232537990271</v>
      </c>
      <c r="Y588" s="10"/>
      <c r="Z588" s="10"/>
      <c r="AB588" s="10" t="str">
        <f t="shared" si="146"/>
        <v>Non-Distress</v>
      </c>
      <c r="AC588" s="10">
        <f t="shared" si="147"/>
        <v>0</v>
      </c>
      <c r="AE588" s="10">
        <f t="shared" si="148"/>
        <v>0</v>
      </c>
      <c r="AG588" s="13">
        <f t="shared" si="149"/>
        <v>0.5</v>
      </c>
      <c r="AH588" s="13">
        <f t="shared" si="150"/>
        <v>0.5</v>
      </c>
      <c r="AI588" s="10">
        <f t="shared" si="151"/>
        <v>0.25</v>
      </c>
    </row>
    <row r="589" spans="1:35" x14ac:dyDescent="0.3">
      <c r="A589" t="s">
        <v>162</v>
      </c>
      <c r="B589">
        <v>2025</v>
      </c>
      <c r="C589" s="3">
        <v>-26191381500</v>
      </c>
      <c r="D589" s="3">
        <v>567525357</v>
      </c>
      <c r="E589" s="3">
        <v>133065431069</v>
      </c>
      <c r="F589" s="3">
        <v>57761414525</v>
      </c>
      <c r="G589" s="3">
        <v>16575939432</v>
      </c>
      <c r="H589" s="3">
        <v>8714466858</v>
      </c>
      <c r="I589" s="3">
        <v>116427654743</v>
      </c>
      <c r="J589" s="3">
        <v>-112962292688</v>
      </c>
      <c r="K589" s="3">
        <v>49046947667</v>
      </c>
      <c r="M589" s="3">
        <v>12907670071</v>
      </c>
      <c r="N589" s="3">
        <v>-21325918602</v>
      </c>
      <c r="O589" s="3">
        <v>3753851163</v>
      </c>
      <c r="P589">
        <f t="shared" si="138"/>
        <v>5.7028657348794329</v>
      </c>
      <c r="Q589">
        <f t="shared" si="139"/>
        <v>0</v>
      </c>
      <c r="R589" t="str">
        <f t="shared" si="144"/>
        <v>Safe</v>
      </c>
      <c r="S589">
        <f t="shared" si="140"/>
        <v>0.36859270866200483</v>
      </c>
      <c r="T589">
        <f t="shared" si="141"/>
        <v>-0.8489229079295908</v>
      </c>
      <c r="U589">
        <f t="shared" si="142"/>
        <v>-0.19683084697195827</v>
      </c>
      <c r="V589">
        <f t="shared" si="143"/>
        <v>7.0238947976749584</v>
      </c>
      <c r="X589" s="13">
        <f t="shared" si="145"/>
        <v>-1.1800095941687307</v>
      </c>
      <c r="Y589" s="10"/>
      <c r="Z589" s="10"/>
      <c r="AB589" s="10" t="str">
        <f t="shared" si="146"/>
        <v>Distress</v>
      </c>
      <c r="AC589" s="10">
        <f t="shared" si="147"/>
        <v>1</v>
      </c>
      <c r="AE589" s="10">
        <f t="shared" si="148"/>
        <v>0</v>
      </c>
      <c r="AG589" s="13">
        <f t="shared" si="149"/>
        <v>0.5</v>
      </c>
      <c r="AH589" s="13">
        <f t="shared" si="150"/>
        <v>0.5</v>
      </c>
      <c r="AI589" s="10">
        <f t="shared" si="151"/>
        <v>0.25</v>
      </c>
    </row>
    <row r="590" spans="1:35" x14ac:dyDescent="0.3">
      <c r="A590" t="s">
        <v>162</v>
      </c>
      <c r="B590">
        <v>2024</v>
      </c>
      <c r="C590" s="3">
        <v>-17817220337</v>
      </c>
      <c r="D590" s="3">
        <v>626065901</v>
      </c>
      <c r="E590" s="3">
        <v>152392522418</v>
      </c>
      <c r="F590" s="3">
        <v>75360868666</v>
      </c>
      <c r="G590" s="3">
        <v>14681946777</v>
      </c>
      <c r="H590" s="3">
        <v>7169834999</v>
      </c>
      <c r="I590" s="3">
        <v>137709717476</v>
      </c>
      <c r="J590" s="3">
        <v>-91636374086</v>
      </c>
      <c r="K590" s="3">
        <v>68191033667</v>
      </c>
      <c r="M590" s="3">
        <v>18901871943</v>
      </c>
      <c r="N590" s="3">
        <v>-16184418195</v>
      </c>
      <c r="O590" s="3">
        <v>4002268556</v>
      </c>
      <c r="P590">
        <f t="shared" si="138"/>
        <v>10.037927962428713</v>
      </c>
      <c r="Q590">
        <f t="shared" si="139"/>
        <v>0</v>
      </c>
      <c r="R590" t="str">
        <f t="shared" si="144"/>
        <v>Safe</v>
      </c>
      <c r="S590">
        <f t="shared" si="140"/>
        <v>0.44746968279688731</v>
      </c>
      <c r="T590">
        <f t="shared" si="141"/>
        <v>-0.60131804784127829</v>
      </c>
      <c r="U590">
        <f t="shared" si="142"/>
        <v>-0.1169166311725509</v>
      </c>
      <c r="V590">
        <f t="shared" si="143"/>
        <v>9.3795270864030869</v>
      </c>
      <c r="X590" s="13">
        <f t="shared" si="145"/>
        <v>0.60140292791665007</v>
      </c>
      <c r="Y590" s="10"/>
      <c r="Z590" s="10"/>
      <c r="AB590" s="10" t="str">
        <f t="shared" si="146"/>
        <v>Non-Distress</v>
      </c>
      <c r="AC590" s="10">
        <f t="shared" si="147"/>
        <v>0</v>
      </c>
      <c r="AE590" s="10">
        <f t="shared" si="148"/>
        <v>0</v>
      </c>
      <c r="AG590" s="13">
        <f t="shared" si="149"/>
        <v>0.5</v>
      </c>
      <c r="AH590" s="13">
        <f t="shared" si="150"/>
        <v>0.5</v>
      </c>
      <c r="AI590" s="10">
        <f t="shared" si="151"/>
        <v>0.25</v>
      </c>
    </row>
    <row r="591" spans="1:35" x14ac:dyDescent="0.3">
      <c r="A591" t="s">
        <v>162</v>
      </c>
      <c r="B591">
        <v>2023</v>
      </c>
      <c r="C591" s="3">
        <v>12509211808</v>
      </c>
      <c r="D591" s="3">
        <v>658965755</v>
      </c>
      <c r="E591" s="3">
        <v>166130004642</v>
      </c>
      <c r="F591" s="3">
        <v>89066018857</v>
      </c>
      <c r="G591" s="3">
        <v>12320565640</v>
      </c>
      <c r="H591" s="3">
        <v>5209524329</v>
      </c>
      <c r="I591" s="3">
        <v>153808495685</v>
      </c>
      <c r="J591" s="3">
        <v>-75451955891</v>
      </c>
      <c r="K591" s="3">
        <v>83856494528</v>
      </c>
      <c r="M591" s="3">
        <v>39284095739</v>
      </c>
      <c r="N591" s="3">
        <v>10978952399</v>
      </c>
      <c r="O591" s="3">
        <v>4851241055</v>
      </c>
      <c r="P591">
        <f t="shared" si="138"/>
        <v>15.44472351193596</v>
      </c>
      <c r="Q591">
        <f t="shared" si="139"/>
        <v>0</v>
      </c>
      <c r="R591" t="str">
        <f t="shared" si="144"/>
        <v>Safe</v>
      </c>
      <c r="S591">
        <f t="shared" si="140"/>
        <v>0.50476429413642421</v>
      </c>
      <c r="T591">
        <f t="shared" si="141"/>
        <v>-0.45417416350282031</v>
      </c>
      <c r="U591">
        <f t="shared" si="142"/>
        <v>7.529772743314242E-2</v>
      </c>
      <c r="V591">
        <f t="shared" si="143"/>
        <v>12.483882654351898</v>
      </c>
      <c r="X591" s="13">
        <f t="shared" si="145"/>
        <v>2.4970314434778205</v>
      </c>
      <c r="Y591" s="10"/>
      <c r="Z591" s="10"/>
      <c r="AB591" s="10" t="str">
        <f t="shared" si="146"/>
        <v>Non-Distress</v>
      </c>
      <c r="AC591" s="10">
        <f t="shared" si="147"/>
        <v>0</v>
      </c>
      <c r="AE591" s="10">
        <f t="shared" si="148"/>
        <v>0</v>
      </c>
      <c r="AG591" s="13">
        <f t="shared" si="149"/>
        <v>0.5</v>
      </c>
      <c r="AH591" s="13">
        <f t="shared" si="150"/>
        <v>0.5</v>
      </c>
      <c r="AI591" s="10">
        <f t="shared" si="151"/>
        <v>0.25</v>
      </c>
    </row>
    <row r="592" spans="1:35" x14ac:dyDescent="0.3">
      <c r="A592" t="s">
        <v>162</v>
      </c>
      <c r="B592">
        <v>2022</v>
      </c>
      <c r="C592" s="3">
        <v>13597064553</v>
      </c>
      <c r="D592" s="3">
        <v>4337424986</v>
      </c>
      <c r="E592" s="3">
        <v>39243837039</v>
      </c>
      <c r="F592" s="3">
        <v>29377361239</v>
      </c>
      <c r="G592" s="3">
        <v>67334507045</v>
      </c>
      <c r="H592" s="3">
        <v>31603965509</v>
      </c>
      <c r="I592" s="3">
        <v>-32158228277</v>
      </c>
      <c r="J592" s="3">
        <v>-87352720521</v>
      </c>
      <c r="K592" s="3">
        <v>-2226604270</v>
      </c>
      <c r="M592" s="3">
        <v>30937826688</v>
      </c>
      <c r="N592" s="3">
        <v>4556617094</v>
      </c>
      <c r="O592" s="3">
        <v>53368664636</v>
      </c>
      <c r="P592">
        <f t="shared" si="138"/>
        <v>-5.8017688269047092</v>
      </c>
      <c r="Q592">
        <f t="shared" si="139"/>
        <v>1</v>
      </c>
      <c r="R592" t="str">
        <f t="shared" si="144"/>
        <v>Distress</v>
      </c>
      <c r="S592">
        <f t="shared" si="140"/>
        <v>-5.6737680053742717E-2</v>
      </c>
      <c r="T592">
        <f t="shared" si="141"/>
        <v>-2.2258965257191856</v>
      </c>
      <c r="U592">
        <f t="shared" si="142"/>
        <v>0.34647642990381955</v>
      </c>
      <c r="V592">
        <f t="shared" si="143"/>
        <v>-0.47758912462979031</v>
      </c>
      <c r="X592" s="13">
        <f t="shared" si="145"/>
        <v>-5.9868890857833197</v>
      </c>
      <c r="Y592" s="10"/>
      <c r="Z592" s="10"/>
      <c r="AB592" s="10" t="str">
        <f t="shared" si="146"/>
        <v>Distress</v>
      </c>
      <c r="AC592" s="10">
        <f t="shared" si="147"/>
        <v>1</v>
      </c>
      <c r="AE592" s="10">
        <f t="shared" si="148"/>
        <v>1</v>
      </c>
      <c r="AG592" s="13">
        <f t="shared" si="149"/>
        <v>0.7310585786300049</v>
      </c>
      <c r="AH592" s="13">
        <f t="shared" si="150"/>
        <v>-0.2689414213699951</v>
      </c>
      <c r="AI592" s="10">
        <f t="shared" si="151"/>
        <v>0.19661193324148185</v>
      </c>
    </row>
    <row r="593" spans="1:35" x14ac:dyDescent="0.3">
      <c r="A593" t="s">
        <v>163</v>
      </c>
      <c r="B593">
        <v>2025</v>
      </c>
      <c r="C593" s="3">
        <v>1421319759735</v>
      </c>
      <c r="D593" s="3">
        <v>0</v>
      </c>
      <c r="E593" s="3">
        <v>8007696948525</v>
      </c>
      <c r="F593" s="3">
        <v>6053192074702</v>
      </c>
      <c r="G593" s="3">
        <v>687902274467</v>
      </c>
      <c r="H593" s="3">
        <v>556276877849</v>
      </c>
      <c r="I593" s="3">
        <v>7291197149821</v>
      </c>
      <c r="J593" s="3">
        <v>7013969436726</v>
      </c>
      <c r="K593" s="3">
        <v>5496915196853</v>
      </c>
      <c r="M593" s="3">
        <v>5235956036238</v>
      </c>
      <c r="N593" s="3">
        <v>1180240828444</v>
      </c>
      <c r="P593">
        <f t="shared" si="138"/>
        <v>19.680478802588112</v>
      </c>
      <c r="Q593">
        <f t="shared" si="139"/>
        <v>0</v>
      </c>
      <c r="R593" t="str">
        <f t="shared" si="144"/>
        <v>Safe</v>
      </c>
      <c r="S593">
        <f t="shared" si="140"/>
        <v>0.68645394951734773</v>
      </c>
      <c r="T593">
        <f t="shared" si="141"/>
        <v>0.87590345661344704</v>
      </c>
      <c r="U593">
        <f t="shared" si="142"/>
        <v>0.17749419950224316</v>
      </c>
      <c r="V593">
        <f t="shared" si="143"/>
        <v>10.599175813847047</v>
      </c>
      <c r="X593" s="13">
        <f t="shared" si="145"/>
        <v>8.3803764109911949</v>
      </c>
      <c r="Y593" s="10"/>
      <c r="Z593" s="10"/>
      <c r="AB593" s="10" t="str">
        <f t="shared" si="146"/>
        <v>Non-Distress</v>
      </c>
      <c r="AC593" s="10">
        <f t="shared" si="147"/>
        <v>0</v>
      </c>
      <c r="AE593" s="10">
        <f t="shared" si="148"/>
        <v>0</v>
      </c>
      <c r="AG593" s="13">
        <f t="shared" si="149"/>
        <v>0.5</v>
      </c>
      <c r="AH593" s="13">
        <f t="shared" si="150"/>
        <v>0.5</v>
      </c>
      <c r="AI593" s="10">
        <f t="shared" si="151"/>
        <v>0.25</v>
      </c>
    </row>
    <row r="594" spans="1:35" x14ac:dyDescent="0.3">
      <c r="A594" t="s">
        <v>163</v>
      </c>
      <c r="B594">
        <v>2024</v>
      </c>
      <c r="C594" s="3">
        <v>1509020956462</v>
      </c>
      <c r="D594" s="3">
        <v>300093</v>
      </c>
      <c r="E594" s="3">
        <v>6762107188564</v>
      </c>
      <c r="F594" s="3">
        <v>4753072419163</v>
      </c>
      <c r="G594" s="3">
        <v>616035183328</v>
      </c>
      <c r="H594" s="3">
        <v>501673607162</v>
      </c>
      <c r="I594" s="3">
        <v>6117609560514</v>
      </c>
      <c r="J594" s="3">
        <v>5833728608282</v>
      </c>
      <c r="K594" s="3">
        <v>4251398812001</v>
      </c>
      <c r="M594" s="3">
        <v>4959939533239</v>
      </c>
      <c r="N594" s="3">
        <v>1314328079733</v>
      </c>
      <c r="P594">
        <f t="shared" si="138"/>
        <v>18.863534883945338</v>
      </c>
      <c r="Q594">
        <f t="shared" si="139"/>
        <v>0</v>
      </c>
      <c r="R594" t="str">
        <f t="shared" si="144"/>
        <v>Safe</v>
      </c>
      <c r="S594">
        <f t="shared" si="140"/>
        <v>0.62870917207448562</v>
      </c>
      <c r="T594">
        <f t="shared" si="141"/>
        <v>0.86270868615450769</v>
      </c>
      <c r="U594">
        <f t="shared" si="142"/>
        <v>0.22315839048130431</v>
      </c>
      <c r="V594">
        <f t="shared" si="143"/>
        <v>9.9306171564177657</v>
      </c>
      <c r="X594" s="13">
        <f t="shared" si="145"/>
        <v>8.1763678255896188</v>
      </c>
      <c r="Y594" s="10"/>
      <c r="Z594" s="10"/>
      <c r="AB594" s="10" t="str">
        <f t="shared" si="146"/>
        <v>Non-Distress</v>
      </c>
      <c r="AC594" s="10">
        <f t="shared" si="147"/>
        <v>0</v>
      </c>
      <c r="AE594" s="10">
        <f t="shared" si="148"/>
        <v>0</v>
      </c>
      <c r="AG594" s="13">
        <f t="shared" si="149"/>
        <v>0.5</v>
      </c>
      <c r="AH594" s="13">
        <f t="shared" si="150"/>
        <v>0.5</v>
      </c>
      <c r="AI594" s="10">
        <f t="shared" si="151"/>
        <v>0.25</v>
      </c>
    </row>
    <row r="595" spans="1:35" x14ac:dyDescent="0.3">
      <c r="A595" t="s">
        <v>163</v>
      </c>
      <c r="B595">
        <v>2023</v>
      </c>
      <c r="C595" s="3">
        <v>1102648640241</v>
      </c>
      <c r="D595" s="3">
        <v>8293573</v>
      </c>
      <c r="E595" s="3">
        <v>5482234635262</v>
      </c>
      <c r="F595" s="3">
        <v>3495987886882</v>
      </c>
      <c r="G595" s="3">
        <v>634723259687</v>
      </c>
      <c r="H595" s="3">
        <v>502706566446</v>
      </c>
      <c r="I595" s="3">
        <v>4816022198656</v>
      </c>
      <c r="J595" s="3">
        <v>4523729195906</v>
      </c>
      <c r="K595" s="3">
        <v>2993281320436</v>
      </c>
      <c r="M595" s="3">
        <v>4767207433046</v>
      </c>
      <c r="N595" s="3">
        <v>917689903741</v>
      </c>
      <c r="P595">
        <f t="shared" si="138"/>
        <v>15.590339441549876</v>
      </c>
      <c r="Q595">
        <f t="shared" si="139"/>
        <v>0</v>
      </c>
      <c r="R595" t="str">
        <f t="shared" si="144"/>
        <v>Safe</v>
      </c>
      <c r="S595">
        <f t="shared" si="140"/>
        <v>0.54599657248944966</v>
      </c>
      <c r="T595">
        <f t="shared" si="141"/>
        <v>0.82516154394581243</v>
      </c>
      <c r="U595">
        <f t="shared" si="142"/>
        <v>0.20113123819048354</v>
      </c>
      <c r="V595">
        <f t="shared" si="143"/>
        <v>7.5875936877292265</v>
      </c>
      <c r="X595" s="13">
        <f t="shared" si="145"/>
        <v>7.3405598380871346</v>
      </c>
      <c r="Y595" s="10"/>
      <c r="Z595" s="10"/>
      <c r="AB595" s="10" t="str">
        <f t="shared" si="146"/>
        <v>Non-Distress</v>
      </c>
      <c r="AC595" s="10">
        <f t="shared" si="147"/>
        <v>0</v>
      </c>
      <c r="AE595" s="10">
        <f t="shared" si="148"/>
        <v>0</v>
      </c>
      <c r="AG595" s="13">
        <f t="shared" si="149"/>
        <v>0.5</v>
      </c>
      <c r="AH595" s="13">
        <f t="shared" si="150"/>
        <v>0.5</v>
      </c>
      <c r="AI595" s="10">
        <f t="shared" si="151"/>
        <v>0.25</v>
      </c>
    </row>
    <row r="596" spans="1:35" x14ac:dyDescent="0.3">
      <c r="A596" t="s">
        <v>163</v>
      </c>
      <c r="B596">
        <v>2022</v>
      </c>
      <c r="C596" s="3">
        <v>756754646979</v>
      </c>
      <c r="D596" s="3">
        <v>31126374</v>
      </c>
      <c r="E596" s="3">
        <v>4590737849889</v>
      </c>
      <c r="F596" s="3">
        <v>2575390271556</v>
      </c>
      <c r="G596" s="3">
        <v>662339075974</v>
      </c>
      <c r="H596" s="3">
        <v>530693880588</v>
      </c>
      <c r="I596" s="3">
        <v>3897071614026</v>
      </c>
      <c r="J596" s="3">
        <v>3606039292165</v>
      </c>
      <c r="K596" s="3">
        <v>2044696390968</v>
      </c>
      <c r="M596" s="3">
        <v>4931553771470</v>
      </c>
      <c r="N596" s="3">
        <v>624477421592</v>
      </c>
      <c r="O596" s="3">
        <v>0</v>
      </c>
      <c r="P596">
        <f t="shared" si="138"/>
        <v>12.76828019126572</v>
      </c>
      <c r="Q596">
        <f t="shared" si="139"/>
        <v>0</v>
      </c>
      <c r="R596" t="str">
        <f t="shared" si="144"/>
        <v>Safe</v>
      </c>
      <c r="S596">
        <f t="shared" si="140"/>
        <v>0.44539602517652777</v>
      </c>
      <c r="T596">
        <f t="shared" si="141"/>
        <v>0.78550320451257982</v>
      </c>
      <c r="U596">
        <f t="shared" si="142"/>
        <v>0.16484379455413636</v>
      </c>
      <c r="V596">
        <f t="shared" si="143"/>
        <v>5.883801447612278</v>
      </c>
      <c r="X596" s="13">
        <f t="shared" si="145"/>
        <v>6.3469810159061248</v>
      </c>
      <c r="Y596" s="10"/>
      <c r="Z596" s="10"/>
      <c r="AB596" s="10" t="str">
        <f t="shared" si="146"/>
        <v>Non-Distress</v>
      </c>
      <c r="AC596" s="10">
        <f t="shared" si="147"/>
        <v>0</v>
      </c>
      <c r="AE596" s="10">
        <f t="shared" si="148"/>
        <v>0</v>
      </c>
      <c r="AG596" s="13">
        <f t="shared" si="149"/>
        <v>0.5</v>
      </c>
      <c r="AH596" s="13">
        <f t="shared" si="150"/>
        <v>0.5</v>
      </c>
      <c r="AI596" s="10">
        <f t="shared" si="151"/>
        <v>0.25</v>
      </c>
    </row>
    <row r="597" spans="1:35" x14ac:dyDescent="0.3">
      <c r="A597" t="s">
        <v>164</v>
      </c>
      <c r="B597">
        <v>2025</v>
      </c>
      <c r="C597" s="3">
        <v>-3477515</v>
      </c>
      <c r="D597" s="3">
        <v>516701</v>
      </c>
      <c r="E597" s="3">
        <v>45899051</v>
      </c>
      <c r="F597" s="3">
        <v>10508752</v>
      </c>
      <c r="G597" s="3">
        <v>32486160</v>
      </c>
      <c r="H597" s="3">
        <v>26011904</v>
      </c>
      <c r="I597" s="3">
        <v>13415223</v>
      </c>
      <c r="J597" s="3">
        <v>-249671398</v>
      </c>
      <c r="K597" s="3">
        <v>-15503152</v>
      </c>
      <c r="M597" s="3">
        <v>16443817</v>
      </c>
      <c r="N597" s="3">
        <v>-3625604</v>
      </c>
      <c r="O597" s="3">
        <v>7481613</v>
      </c>
      <c r="P597">
        <f t="shared" si="138"/>
        <v>-20.024303505398425</v>
      </c>
      <c r="Q597">
        <f t="shared" si="139"/>
        <v>1</v>
      </c>
      <c r="R597" t="str">
        <f t="shared" si="144"/>
        <v>Distress</v>
      </c>
      <c r="S597">
        <f t="shared" si="140"/>
        <v>-0.3377662862789908</v>
      </c>
      <c r="T597">
        <f t="shared" si="141"/>
        <v>-5.4395764740321102</v>
      </c>
      <c r="U597">
        <f t="shared" si="142"/>
        <v>-7.5764420488780918E-2</v>
      </c>
      <c r="V597">
        <f t="shared" si="143"/>
        <v>0.41295194630574988</v>
      </c>
      <c r="X597" s="13">
        <f t="shared" si="145"/>
        <v>-20.241970329316384</v>
      </c>
      <c r="Y597" s="10"/>
      <c r="Z597" s="10"/>
      <c r="AB597" s="10" t="str">
        <f t="shared" si="146"/>
        <v>Distress</v>
      </c>
      <c r="AC597" s="10">
        <f t="shared" si="147"/>
        <v>1</v>
      </c>
      <c r="AE597" s="10">
        <f t="shared" si="148"/>
        <v>1</v>
      </c>
      <c r="AG597" s="13">
        <f t="shared" si="149"/>
        <v>0.7310585786300049</v>
      </c>
      <c r="AH597" s="13">
        <f t="shared" si="150"/>
        <v>-0.2689414213699951</v>
      </c>
      <c r="AI597" s="10">
        <f t="shared" si="151"/>
        <v>0.19661193324148185</v>
      </c>
    </row>
    <row r="598" spans="1:35" x14ac:dyDescent="0.3">
      <c r="A598" t="s">
        <v>164</v>
      </c>
      <c r="B598">
        <v>2024</v>
      </c>
      <c r="C598" s="3">
        <v>-6654450</v>
      </c>
      <c r="D598" s="3">
        <v>149843</v>
      </c>
      <c r="E598" s="3">
        <v>45868347</v>
      </c>
      <c r="F598" s="3">
        <v>9487695</v>
      </c>
      <c r="G598" s="3">
        <v>29359762</v>
      </c>
      <c r="H598" s="3">
        <v>22646857</v>
      </c>
      <c r="I598" s="3">
        <v>16511013</v>
      </c>
      <c r="J598" s="3">
        <v>-246045794</v>
      </c>
      <c r="K598" s="3">
        <v>-13159162</v>
      </c>
      <c r="M598" s="3">
        <v>1293162</v>
      </c>
      <c r="N598" s="3">
        <v>-11469965</v>
      </c>
      <c r="O598" s="3">
        <v>6956547</v>
      </c>
      <c r="P598">
        <f t="shared" si="138"/>
        <v>-19.753635843488926</v>
      </c>
      <c r="Q598">
        <f t="shared" si="139"/>
        <v>1</v>
      </c>
      <c r="R598" t="str">
        <f t="shared" si="144"/>
        <v>Distress</v>
      </c>
      <c r="S598">
        <f t="shared" si="140"/>
        <v>-0.28688982404358282</v>
      </c>
      <c r="T598">
        <f t="shared" si="141"/>
        <v>-5.3641739912711479</v>
      </c>
      <c r="U598">
        <f t="shared" si="142"/>
        <v>-0.14507717053766947</v>
      </c>
      <c r="V598">
        <f t="shared" si="143"/>
        <v>0.56236876170862693</v>
      </c>
      <c r="X598" s="13">
        <f t="shared" si="145"/>
        <v>-20.012746081400554</v>
      </c>
      <c r="Y598" s="10"/>
      <c r="Z598" s="10"/>
      <c r="AB598" s="10" t="str">
        <f t="shared" si="146"/>
        <v>Distress</v>
      </c>
      <c r="AC598" s="10">
        <f t="shared" si="147"/>
        <v>1</v>
      </c>
      <c r="AE598" s="10">
        <f t="shared" si="148"/>
        <v>1</v>
      </c>
      <c r="AG598" s="13">
        <f t="shared" si="149"/>
        <v>0.7310585786300049</v>
      </c>
      <c r="AH598" s="13">
        <f t="shared" si="150"/>
        <v>-0.2689414213699951</v>
      </c>
      <c r="AI598" s="10">
        <f t="shared" si="151"/>
        <v>0.19661193324148185</v>
      </c>
    </row>
    <row r="599" spans="1:35" x14ac:dyDescent="0.3">
      <c r="A599" t="s">
        <v>164</v>
      </c>
      <c r="B599">
        <v>2023</v>
      </c>
      <c r="C599" s="3">
        <v>-15102685</v>
      </c>
      <c r="D599" s="3">
        <v>1476488</v>
      </c>
      <c r="E599" s="3">
        <v>53030906</v>
      </c>
      <c r="F599" s="3">
        <v>10985382</v>
      </c>
      <c r="G599" s="3">
        <v>44067401</v>
      </c>
      <c r="H599" s="3">
        <v>42594070</v>
      </c>
      <c r="I599" s="3">
        <v>8966055</v>
      </c>
      <c r="J599" s="3">
        <v>-234575829</v>
      </c>
      <c r="K599" s="3">
        <v>-31608688</v>
      </c>
      <c r="M599" s="3">
        <v>15510443</v>
      </c>
      <c r="N599" s="3">
        <v>-14128330</v>
      </c>
      <c r="O599" s="3">
        <v>9764618</v>
      </c>
      <c r="P599">
        <f t="shared" si="138"/>
        <v>-20.030413191672466</v>
      </c>
      <c r="Q599">
        <f t="shared" si="139"/>
        <v>1</v>
      </c>
      <c r="R599" t="str">
        <f t="shared" si="144"/>
        <v>Distress</v>
      </c>
      <c r="S599">
        <f t="shared" si="140"/>
        <v>-0.59604276796628741</v>
      </c>
      <c r="T599">
        <f t="shared" si="141"/>
        <v>-4.4233796231955758</v>
      </c>
      <c r="U599">
        <f t="shared" si="142"/>
        <v>-0.28479025042491257</v>
      </c>
      <c r="V599">
        <f t="shared" si="143"/>
        <v>0.20346230538987312</v>
      </c>
      <c r="X599" s="13">
        <f t="shared" si="145"/>
        <v>-19.509976813067752</v>
      </c>
      <c r="Y599" s="10"/>
      <c r="Z599" s="10"/>
      <c r="AB599" s="10" t="str">
        <f t="shared" si="146"/>
        <v>Distress</v>
      </c>
      <c r="AC599" s="10">
        <f t="shared" si="147"/>
        <v>1</v>
      </c>
      <c r="AE599" s="10">
        <f t="shared" si="148"/>
        <v>1</v>
      </c>
      <c r="AG599" s="13">
        <f t="shared" si="149"/>
        <v>0.7310585786300049</v>
      </c>
      <c r="AH599" s="13">
        <f t="shared" si="150"/>
        <v>-0.2689414213699951</v>
      </c>
      <c r="AI599" s="10">
        <f t="shared" si="151"/>
        <v>0.19661193324148185</v>
      </c>
    </row>
    <row r="600" spans="1:35" x14ac:dyDescent="0.3">
      <c r="A600" t="s">
        <v>164</v>
      </c>
      <c r="B600">
        <v>2022</v>
      </c>
      <c r="C600" s="3">
        <v>40387352</v>
      </c>
      <c r="D600" s="3">
        <v>2499927</v>
      </c>
      <c r="E600" s="3">
        <v>61550680</v>
      </c>
      <c r="F600" s="3">
        <v>20560030</v>
      </c>
      <c r="G600" s="3">
        <v>39255820</v>
      </c>
      <c r="H600" s="3">
        <v>37245050</v>
      </c>
      <c r="I600" s="3">
        <v>22297114</v>
      </c>
      <c r="J600" s="3">
        <v>-220447499</v>
      </c>
      <c r="K600" s="3">
        <v>-16685020</v>
      </c>
      <c r="M600" s="3">
        <v>58874463</v>
      </c>
      <c r="N600" s="3">
        <v>15141316</v>
      </c>
      <c r="O600" s="3">
        <v>9445138</v>
      </c>
      <c r="P600">
        <f t="shared" si="138"/>
        <v>-8.4483398501709388</v>
      </c>
      <c r="Q600">
        <f t="shared" si="139"/>
        <v>1</v>
      </c>
      <c r="R600" t="str">
        <f t="shared" si="144"/>
        <v>Distress</v>
      </c>
      <c r="S600">
        <f t="shared" si="140"/>
        <v>-0.2710777525122387</v>
      </c>
      <c r="T600">
        <f t="shared" si="141"/>
        <v>-3.5815607398650999</v>
      </c>
      <c r="U600">
        <f t="shared" si="142"/>
        <v>0.65616418860035342</v>
      </c>
      <c r="V600">
        <f t="shared" si="143"/>
        <v>0.56799511511923584</v>
      </c>
      <c r="X600" s="13">
        <f t="shared" si="145"/>
        <v>-10.197280792604186</v>
      </c>
      <c r="Y600" s="10"/>
      <c r="Z600" s="10"/>
      <c r="AB600" s="10" t="str">
        <f t="shared" si="146"/>
        <v>Distress</v>
      </c>
      <c r="AC600" s="10">
        <f t="shared" si="147"/>
        <v>1</v>
      </c>
      <c r="AE600" s="10">
        <f t="shared" si="148"/>
        <v>1</v>
      </c>
      <c r="AG600" s="13">
        <f t="shared" si="149"/>
        <v>0.7310585786300049</v>
      </c>
      <c r="AH600" s="13">
        <f t="shared" si="150"/>
        <v>-0.2689414213699951</v>
      </c>
      <c r="AI600" s="10">
        <f t="shared" si="151"/>
        <v>0.19661193324148185</v>
      </c>
    </row>
    <row r="601" spans="1:35" x14ac:dyDescent="0.3">
      <c r="A601" t="s">
        <v>165</v>
      </c>
      <c r="B601">
        <v>2025</v>
      </c>
      <c r="C601" s="3">
        <v>-4178086635</v>
      </c>
      <c r="D601" s="3">
        <v>65769690</v>
      </c>
      <c r="E601" s="3">
        <v>386500195535</v>
      </c>
      <c r="F601" s="3">
        <v>198368263349</v>
      </c>
      <c r="G601" s="3">
        <v>46043020695</v>
      </c>
      <c r="H601" s="3">
        <v>41043973504</v>
      </c>
      <c r="I601" s="3">
        <v>340457174840</v>
      </c>
      <c r="J601" s="3">
        <v>4079416268</v>
      </c>
      <c r="K601" s="3">
        <v>157324289845</v>
      </c>
      <c r="M601" s="3">
        <v>150238100225</v>
      </c>
      <c r="N601" s="3">
        <v>-3379066778</v>
      </c>
      <c r="O601" s="3">
        <v>1584984013</v>
      </c>
      <c r="P601">
        <f t="shared" si="138"/>
        <v>10.396046431357028</v>
      </c>
      <c r="Q601">
        <f t="shared" si="139"/>
        <v>0</v>
      </c>
      <c r="R601" t="str">
        <f t="shared" si="144"/>
        <v>Safe</v>
      </c>
      <c r="S601">
        <f t="shared" si="140"/>
        <v>0.40704840945094245</v>
      </c>
      <c r="T601">
        <f t="shared" si="141"/>
        <v>1.0554758613648834E-2</v>
      </c>
      <c r="U601">
        <f t="shared" si="142"/>
        <v>-1.0810050507779492E-2</v>
      </c>
      <c r="V601">
        <f t="shared" si="143"/>
        <v>7.3943275158958377</v>
      </c>
      <c r="X601" s="13">
        <f t="shared" si="145"/>
        <v>2.7878194640530194</v>
      </c>
      <c r="Y601" s="10"/>
      <c r="Z601" s="10"/>
      <c r="AB601" s="10" t="str">
        <f t="shared" si="146"/>
        <v>Non-Distress</v>
      </c>
      <c r="AC601" s="10">
        <f t="shared" si="147"/>
        <v>0</v>
      </c>
      <c r="AE601" s="10">
        <f t="shared" si="148"/>
        <v>0</v>
      </c>
      <c r="AG601" s="13">
        <f t="shared" si="149"/>
        <v>0.5</v>
      </c>
      <c r="AH601" s="13">
        <f t="shared" si="150"/>
        <v>0.5</v>
      </c>
      <c r="AI601" s="10">
        <f t="shared" si="151"/>
        <v>0.25</v>
      </c>
    </row>
    <row r="602" spans="1:35" x14ac:dyDescent="0.3">
      <c r="A602" t="s">
        <v>165</v>
      </c>
      <c r="B602">
        <v>2024</v>
      </c>
      <c r="C602" s="3">
        <v>-3958031451</v>
      </c>
      <c r="D602" s="3">
        <v>15899136</v>
      </c>
      <c r="E602" s="3">
        <v>398615366473</v>
      </c>
      <c r="F602" s="3">
        <v>210300903901</v>
      </c>
      <c r="G602" s="3">
        <v>55446687723</v>
      </c>
      <c r="H602" s="3">
        <v>50490996182</v>
      </c>
      <c r="I602" s="3">
        <v>343168678750</v>
      </c>
      <c r="J602" s="3">
        <v>7458483046</v>
      </c>
      <c r="K602" s="3">
        <v>159809907719</v>
      </c>
      <c r="M602" s="3">
        <v>116670413489</v>
      </c>
      <c r="N602" s="3">
        <v>-3873514639</v>
      </c>
      <c r="O602" s="3">
        <v>1134230310</v>
      </c>
      <c r="P602">
        <f t="shared" si="138"/>
        <v>9.1228811511757328</v>
      </c>
      <c r="Q602">
        <f t="shared" si="139"/>
        <v>0</v>
      </c>
      <c r="R602" t="str">
        <f t="shared" si="144"/>
        <v>Safe</v>
      </c>
      <c r="S602">
        <f t="shared" si="140"/>
        <v>0.40091256173342893</v>
      </c>
      <c r="T602">
        <f t="shared" si="141"/>
        <v>1.8710977230992413E-2</v>
      </c>
      <c r="U602">
        <f t="shared" si="142"/>
        <v>-9.9294502518083305E-3</v>
      </c>
      <c r="V602">
        <f t="shared" si="143"/>
        <v>6.1891646344033857</v>
      </c>
      <c r="X602" s="13">
        <f t="shared" si="145"/>
        <v>2.7295370503736653</v>
      </c>
      <c r="Y602" s="10"/>
      <c r="Z602" s="10"/>
      <c r="AB602" s="10" t="str">
        <f t="shared" si="146"/>
        <v>Non-Distress</v>
      </c>
      <c r="AC602" s="10">
        <f t="shared" si="147"/>
        <v>0</v>
      </c>
      <c r="AE602" s="10">
        <f t="shared" si="148"/>
        <v>0</v>
      </c>
      <c r="AG602" s="13">
        <f t="shared" si="149"/>
        <v>0.5</v>
      </c>
      <c r="AH602" s="13">
        <f t="shared" si="150"/>
        <v>0.5</v>
      </c>
      <c r="AI602" s="10">
        <f t="shared" si="151"/>
        <v>0.25</v>
      </c>
    </row>
    <row r="603" spans="1:35" x14ac:dyDescent="0.3">
      <c r="A603" t="s">
        <v>165</v>
      </c>
      <c r="B603">
        <v>2023</v>
      </c>
      <c r="C603" s="3">
        <v>7386004219</v>
      </c>
      <c r="D603" s="3">
        <v>0</v>
      </c>
      <c r="E603" s="3">
        <v>407959723999</v>
      </c>
      <c r="F603" s="3">
        <v>292292287158</v>
      </c>
      <c r="G603" s="3">
        <v>61386923500</v>
      </c>
      <c r="H603" s="3">
        <v>56513639722</v>
      </c>
      <c r="I603" s="3">
        <v>346572800499</v>
      </c>
      <c r="J603" s="3">
        <v>12331997685</v>
      </c>
      <c r="K603" s="3">
        <v>235778647436</v>
      </c>
      <c r="M603" s="3">
        <v>81718159248</v>
      </c>
      <c r="N603" s="3">
        <v>5468363215</v>
      </c>
      <c r="O603" s="3">
        <v>0</v>
      </c>
      <c r="P603">
        <f t="shared" si="138"/>
        <v>9.9395297750152469</v>
      </c>
      <c r="Q603">
        <f t="shared" si="139"/>
        <v>0</v>
      </c>
      <c r="R603" t="str">
        <f t="shared" si="144"/>
        <v>Safe</v>
      </c>
      <c r="S603">
        <f t="shared" si="140"/>
        <v>0.57794589408188235</v>
      </c>
      <c r="T603">
        <f t="shared" si="141"/>
        <v>3.0228468546150473E-2</v>
      </c>
      <c r="U603">
        <f t="shared" si="142"/>
        <v>1.8104738738910671E-2</v>
      </c>
      <c r="V603">
        <f t="shared" si="143"/>
        <v>5.6457105314782554</v>
      </c>
      <c r="X603" s="13">
        <f t="shared" si="145"/>
        <v>3.9615708344523157</v>
      </c>
      <c r="Y603" s="10"/>
      <c r="Z603" s="10"/>
      <c r="AB603" s="10" t="str">
        <f t="shared" si="146"/>
        <v>Non-Distress</v>
      </c>
      <c r="AC603" s="10">
        <f t="shared" si="147"/>
        <v>0</v>
      </c>
      <c r="AE603" s="10">
        <f t="shared" si="148"/>
        <v>0</v>
      </c>
      <c r="AG603" s="13">
        <f t="shared" si="149"/>
        <v>0.5</v>
      </c>
      <c r="AH603" s="13">
        <f t="shared" si="150"/>
        <v>0.5</v>
      </c>
      <c r="AI603" s="10">
        <f t="shared" si="151"/>
        <v>0.25</v>
      </c>
    </row>
    <row r="604" spans="1:35" x14ac:dyDescent="0.3">
      <c r="A604" t="s">
        <v>165</v>
      </c>
      <c r="B604">
        <v>2022</v>
      </c>
      <c r="C604" s="3">
        <v>-5157354872</v>
      </c>
      <c r="E604" s="3">
        <v>187796261619</v>
      </c>
      <c r="F604" s="3">
        <v>119461251659</v>
      </c>
      <c r="G604" s="3">
        <v>84353287762</v>
      </c>
      <c r="H604" s="3">
        <v>78793664015</v>
      </c>
      <c r="I604" s="3">
        <v>103442973857</v>
      </c>
      <c r="J604" s="3">
        <v>69133634470</v>
      </c>
      <c r="K604" s="3">
        <v>40667587644</v>
      </c>
      <c r="M604" s="3">
        <v>93326935271</v>
      </c>
      <c r="N604" s="3">
        <v>10226219024</v>
      </c>
      <c r="O604" s="3">
        <v>0</v>
      </c>
      <c r="P604">
        <f t="shared" si="138"/>
        <v>3.7237596288109507</v>
      </c>
      <c r="Q604">
        <f t="shared" si="139"/>
        <v>0</v>
      </c>
      <c r="R604" t="str">
        <f t="shared" si="144"/>
        <v>Safe</v>
      </c>
      <c r="S604">
        <f t="shared" si="140"/>
        <v>0.21655163576422076</v>
      </c>
      <c r="T604">
        <f t="shared" si="141"/>
        <v>0.36813104730624474</v>
      </c>
      <c r="U604">
        <f t="shared" si="142"/>
        <v>-2.7462500198556734E-2</v>
      </c>
      <c r="V604">
        <f t="shared" si="143"/>
        <v>1.2263063669653389</v>
      </c>
      <c r="X604" s="13">
        <f t="shared" si="145"/>
        <v>2.4499790699815867</v>
      </c>
      <c r="Y604" s="10"/>
      <c r="Z604" s="10"/>
      <c r="AB604" s="10" t="str">
        <f t="shared" si="146"/>
        <v>Non-Distress</v>
      </c>
      <c r="AC604" s="10">
        <f t="shared" si="147"/>
        <v>0</v>
      </c>
      <c r="AE604" s="10">
        <f t="shared" si="148"/>
        <v>0</v>
      </c>
      <c r="AG604" s="13">
        <f t="shared" si="149"/>
        <v>0.5</v>
      </c>
      <c r="AH604" s="13">
        <f t="shared" si="150"/>
        <v>0.5</v>
      </c>
      <c r="AI604" s="10">
        <f t="shared" si="151"/>
        <v>0.25</v>
      </c>
    </row>
    <row r="605" spans="1:35" x14ac:dyDescent="0.3">
      <c r="A605" t="s">
        <v>166</v>
      </c>
      <c r="B605">
        <v>2025</v>
      </c>
      <c r="C605" s="3">
        <v>4718181000000</v>
      </c>
      <c r="D605" s="3">
        <v>56860000000</v>
      </c>
      <c r="E605" s="3">
        <v>14696563000000</v>
      </c>
      <c r="F605" s="3">
        <v>3981264000000</v>
      </c>
      <c r="G605" s="3">
        <v>3009078000000</v>
      </c>
      <c r="H605" s="3">
        <v>1869806000000</v>
      </c>
      <c r="I605" s="3">
        <v>11209079000000</v>
      </c>
      <c r="J605" s="3">
        <v>5983473000000</v>
      </c>
      <c r="K605" s="3">
        <v>2111458000000</v>
      </c>
      <c r="M605" s="3">
        <v>11402198000000</v>
      </c>
      <c r="N605" s="3">
        <v>3702266000000</v>
      </c>
      <c r="O605" s="3">
        <v>1099410000000</v>
      </c>
      <c r="P605">
        <f t="shared" si="138"/>
        <v>8.3384629357775992</v>
      </c>
      <c r="Q605">
        <f t="shared" si="139"/>
        <v>0</v>
      </c>
      <c r="R605" t="str">
        <f t="shared" si="144"/>
        <v>Safe</v>
      </c>
      <c r="S605">
        <f t="shared" si="140"/>
        <v>0.14367019009818827</v>
      </c>
      <c r="T605">
        <f t="shared" si="141"/>
        <v>0.40713417143858738</v>
      </c>
      <c r="U605">
        <f t="shared" si="142"/>
        <v>0.32103975603003232</v>
      </c>
      <c r="V605">
        <f t="shared" si="143"/>
        <v>3.7250875517351161</v>
      </c>
      <c r="X605" s="13">
        <f t="shared" si="145"/>
        <v>3.9255363011089868</v>
      </c>
      <c r="Y605" s="10"/>
      <c r="Z605" s="10"/>
      <c r="AB605" s="10" t="str">
        <f t="shared" si="146"/>
        <v>Non-Distress</v>
      </c>
      <c r="AC605" s="10">
        <f t="shared" si="147"/>
        <v>0</v>
      </c>
      <c r="AE605" s="10">
        <f t="shared" si="148"/>
        <v>0</v>
      </c>
      <c r="AG605" s="13">
        <f t="shared" si="149"/>
        <v>0.5</v>
      </c>
      <c r="AH605" s="13">
        <f t="shared" si="150"/>
        <v>0.5</v>
      </c>
      <c r="AI605" s="10">
        <f t="shared" si="151"/>
        <v>0.25</v>
      </c>
    </row>
    <row r="606" spans="1:35" x14ac:dyDescent="0.3">
      <c r="A606" t="s">
        <v>166</v>
      </c>
      <c r="B606">
        <v>2024</v>
      </c>
      <c r="C606" s="3">
        <v>4002347000000</v>
      </c>
      <c r="D606" s="3">
        <v>75443000000</v>
      </c>
      <c r="E606" s="3">
        <v>14307265000000</v>
      </c>
      <c r="F606" s="3">
        <v>3246648000000</v>
      </c>
      <c r="G606" s="3">
        <v>3030836000000</v>
      </c>
      <c r="H606" s="3">
        <v>2362276000000</v>
      </c>
      <c r="I606" s="3">
        <v>10807905000000</v>
      </c>
      <c r="J606" s="3">
        <v>5556876000000</v>
      </c>
      <c r="K606" s="3">
        <v>884372000000</v>
      </c>
      <c r="M606" s="3">
        <v>9671463000000</v>
      </c>
      <c r="N606" s="3">
        <v>3120276000000</v>
      </c>
      <c r="O606" s="3">
        <v>1099999000000</v>
      </c>
      <c r="P606">
        <f t="shared" si="138"/>
        <v>7.2958096336223601</v>
      </c>
      <c r="Q606">
        <f t="shared" si="139"/>
        <v>0</v>
      </c>
      <c r="R606" t="str">
        <f t="shared" si="144"/>
        <v>Safe</v>
      </c>
      <c r="S606">
        <f t="shared" si="140"/>
        <v>6.1812792312157493E-2</v>
      </c>
      <c r="T606">
        <f t="shared" si="141"/>
        <v>0.38839540611011258</v>
      </c>
      <c r="U606">
        <f t="shared" si="142"/>
        <v>0.2797422847763007</v>
      </c>
      <c r="V606">
        <f t="shared" si="143"/>
        <v>3.5659814651799042</v>
      </c>
      <c r="X606" s="13">
        <f t="shared" si="145"/>
        <v>3.1572044835956001</v>
      </c>
      <c r="Y606" s="10"/>
      <c r="Z606" s="10"/>
      <c r="AB606" s="10" t="str">
        <f t="shared" si="146"/>
        <v>Non-Distress</v>
      </c>
      <c r="AC606" s="10">
        <f t="shared" si="147"/>
        <v>0</v>
      </c>
      <c r="AE606" s="10">
        <f t="shared" si="148"/>
        <v>0</v>
      </c>
      <c r="AG606" s="13">
        <f t="shared" si="149"/>
        <v>0.5</v>
      </c>
      <c r="AH606" s="13">
        <f t="shared" si="150"/>
        <v>0.5</v>
      </c>
      <c r="AI606" s="10">
        <f t="shared" si="151"/>
        <v>0.25</v>
      </c>
    </row>
    <row r="607" spans="1:35" x14ac:dyDescent="0.3">
      <c r="A607" t="s">
        <v>166</v>
      </c>
      <c r="B607">
        <v>2023</v>
      </c>
      <c r="C607" s="3">
        <v>2059009000000</v>
      </c>
      <c r="D607" s="3">
        <v>117911000000</v>
      </c>
      <c r="E607" s="3">
        <v>13867387000000</v>
      </c>
      <c r="F607" s="3">
        <v>2445565000000</v>
      </c>
      <c r="G607" s="3">
        <v>2527847000000</v>
      </c>
      <c r="H607" s="3">
        <v>1958582000000</v>
      </c>
      <c r="I607" s="3">
        <v>10893957000000</v>
      </c>
      <c r="J607" s="3">
        <v>5751974000000</v>
      </c>
      <c r="K607" s="3">
        <v>486983000000</v>
      </c>
      <c r="M607" s="3">
        <v>8325887000000</v>
      </c>
      <c r="N607" s="3">
        <v>1608217000000</v>
      </c>
      <c r="O607" s="3">
        <v>1121100000000</v>
      </c>
      <c r="P607">
        <f t="shared" si="138"/>
        <v>7.1053990023376601</v>
      </c>
      <c r="Q607">
        <f t="shared" si="139"/>
        <v>0</v>
      </c>
      <c r="R607" t="str">
        <f t="shared" si="144"/>
        <v>Safe</v>
      </c>
      <c r="S607">
        <f t="shared" si="140"/>
        <v>3.5117142111920581E-2</v>
      </c>
      <c r="T607">
        <f t="shared" si="141"/>
        <v>0.41478427046133493</v>
      </c>
      <c r="U607">
        <f t="shared" si="142"/>
        <v>0.1484785129310951</v>
      </c>
      <c r="V607">
        <f t="shared" si="143"/>
        <v>4.3095792585548098</v>
      </c>
      <c r="X607" s="13">
        <f t="shared" si="145"/>
        <v>2.4775118655820307</v>
      </c>
      <c r="Y607" s="10"/>
      <c r="Z607" s="10"/>
      <c r="AB607" s="10" t="str">
        <f t="shared" si="146"/>
        <v>Non-Distress</v>
      </c>
      <c r="AC607" s="10">
        <f t="shared" si="147"/>
        <v>0</v>
      </c>
      <c r="AE607" s="10">
        <f t="shared" si="148"/>
        <v>0</v>
      </c>
      <c r="AG607" s="13">
        <f t="shared" si="149"/>
        <v>0.5</v>
      </c>
      <c r="AH607" s="13">
        <f t="shared" si="150"/>
        <v>0.5</v>
      </c>
      <c r="AI607" s="10">
        <f t="shared" si="151"/>
        <v>0.25</v>
      </c>
    </row>
    <row r="608" spans="1:35" x14ac:dyDescent="0.3">
      <c r="A608" t="s">
        <v>166</v>
      </c>
      <c r="B608">
        <v>2022</v>
      </c>
      <c r="C608" s="3">
        <v>3800614000000</v>
      </c>
      <c r="D608" s="3">
        <v>111333000000</v>
      </c>
      <c r="E608" s="3">
        <v>14526124000000</v>
      </c>
      <c r="F608" s="3">
        <v>3679197000000</v>
      </c>
      <c r="G608" s="3">
        <v>4113380000000</v>
      </c>
      <c r="H608" s="3">
        <v>2093814000000</v>
      </c>
      <c r="I608" s="3">
        <v>10021277000000</v>
      </c>
      <c r="J608" s="3">
        <v>4898154000000</v>
      </c>
      <c r="K608" s="3">
        <v>1585383000000</v>
      </c>
      <c r="M608" s="3">
        <v>9345641000000</v>
      </c>
      <c r="N608" s="3">
        <v>2981120000000</v>
      </c>
      <c r="O608" s="3">
        <v>2336134000000</v>
      </c>
      <c r="P608">
        <f t="shared" si="138"/>
        <v>6.1315157107483973</v>
      </c>
      <c r="Q608">
        <f t="shared" si="139"/>
        <v>0</v>
      </c>
      <c r="R608" t="str">
        <f t="shared" si="144"/>
        <v>Safe</v>
      </c>
      <c r="S608">
        <f t="shared" si="140"/>
        <v>0.10914012574861677</v>
      </c>
      <c r="T608">
        <f t="shared" si="141"/>
        <v>0.337196212836955</v>
      </c>
      <c r="U608">
        <f t="shared" si="142"/>
        <v>0.2616399254198849</v>
      </c>
      <c r="V608">
        <f t="shared" si="143"/>
        <v>2.4362633649213055</v>
      </c>
      <c r="X608" s="13">
        <f t="shared" si="145"/>
        <v>3.1425569242121272</v>
      </c>
      <c r="Y608" s="10"/>
      <c r="Z608" s="10"/>
      <c r="AB608" s="10" t="str">
        <f t="shared" si="146"/>
        <v>Non-Distress</v>
      </c>
      <c r="AC608" s="10">
        <f t="shared" si="147"/>
        <v>0</v>
      </c>
      <c r="AE608" s="10">
        <f t="shared" si="148"/>
        <v>0</v>
      </c>
      <c r="AG608" s="13">
        <f t="shared" si="149"/>
        <v>0.5</v>
      </c>
      <c r="AH608" s="13">
        <f t="shared" si="150"/>
        <v>0.5</v>
      </c>
      <c r="AI608" s="10">
        <f t="shared" si="151"/>
        <v>0.25</v>
      </c>
    </row>
    <row r="609" spans="1:35" x14ac:dyDescent="0.3">
      <c r="A609" t="s">
        <v>167</v>
      </c>
      <c r="B609">
        <v>2025</v>
      </c>
      <c r="C609" s="3">
        <v>2522045000000</v>
      </c>
      <c r="D609" s="3">
        <v>1379594000000</v>
      </c>
      <c r="E609" s="3">
        <v>30523947000000</v>
      </c>
      <c r="F609" s="3">
        <v>15095320000000</v>
      </c>
      <c r="G609" s="3">
        <v>21271132000000</v>
      </c>
      <c r="H609" s="3">
        <v>12661994000000</v>
      </c>
      <c r="I609" s="3">
        <v>9238945000000</v>
      </c>
      <c r="J609" s="3">
        <v>6940859000000</v>
      </c>
      <c r="K609" s="3">
        <v>2433326000000</v>
      </c>
      <c r="M609" s="3">
        <v>22878488000000</v>
      </c>
      <c r="N609" s="3">
        <v>900022000000</v>
      </c>
      <c r="O609" s="3">
        <v>17904231000000</v>
      </c>
      <c r="P609">
        <f t="shared" si="138"/>
        <v>2.275547247140282</v>
      </c>
      <c r="Q609">
        <f t="shared" si="139"/>
        <v>0</v>
      </c>
      <c r="R609" t="str">
        <f t="shared" si="144"/>
        <v>Grey Area</v>
      </c>
      <c r="S609">
        <f t="shared" si="140"/>
        <v>7.9718589473373153E-2</v>
      </c>
      <c r="T609">
        <f t="shared" si="141"/>
        <v>0.22739061236084573</v>
      </c>
      <c r="U609">
        <f t="shared" si="142"/>
        <v>8.2625127084646033E-2</v>
      </c>
      <c r="V609">
        <f t="shared" si="143"/>
        <v>0.43434195227597666</v>
      </c>
      <c r="X609" s="13">
        <f t="shared" si="145"/>
        <v>1.6508782127679735</v>
      </c>
      <c r="Y609" s="10"/>
      <c r="Z609" s="10"/>
      <c r="AB609" s="10" t="str">
        <f t="shared" si="146"/>
        <v>Non-Distress</v>
      </c>
      <c r="AC609" s="10">
        <f t="shared" si="147"/>
        <v>0</v>
      </c>
      <c r="AE609" s="10">
        <f t="shared" si="148"/>
        <v>0</v>
      </c>
      <c r="AG609" s="13">
        <f t="shared" si="149"/>
        <v>0.5</v>
      </c>
      <c r="AH609" s="13">
        <f t="shared" si="150"/>
        <v>0.5</v>
      </c>
      <c r="AI609" s="10">
        <f t="shared" si="151"/>
        <v>0.25</v>
      </c>
    </row>
    <row r="610" spans="1:35" x14ac:dyDescent="0.3">
      <c r="A610" t="s">
        <v>167</v>
      </c>
      <c r="B610">
        <v>2024</v>
      </c>
      <c r="C610" s="3">
        <v>2102478000000</v>
      </c>
      <c r="D610" s="3">
        <v>1198518000000</v>
      </c>
      <c r="E610" s="3">
        <v>27763549000000</v>
      </c>
      <c r="F610" s="3">
        <v>13466360000000</v>
      </c>
      <c r="G610" s="3">
        <v>19315115000000</v>
      </c>
      <c r="H610" s="3">
        <v>10336487000000</v>
      </c>
      <c r="I610" s="3">
        <v>8435143000000</v>
      </c>
      <c r="J610" s="3">
        <v>6122678000000</v>
      </c>
      <c r="K610" s="3">
        <v>3129873000000</v>
      </c>
      <c r="M610" s="3">
        <v>17410560000000</v>
      </c>
      <c r="N610" s="3">
        <v>700019000000</v>
      </c>
      <c r="O610" s="3">
        <v>14804092000000</v>
      </c>
      <c r="P610">
        <f t="shared" si="138"/>
        <v>2.4258951488237344</v>
      </c>
      <c r="Q610">
        <f t="shared" si="139"/>
        <v>0</v>
      </c>
      <c r="R610" t="str">
        <f t="shared" si="144"/>
        <v>Grey Area</v>
      </c>
      <c r="S610">
        <f t="shared" si="140"/>
        <v>0.112733173990112</v>
      </c>
      <c r="T610">
        <f t="shared" si="141"/>
        <v>0.22052937108292603</v>
      </c>
      <c r="U610">
        <f t="shared" si="142"/>
        <v>7.5727998607094504E-2</v>
      </c>
      <c r="V610">
        <f t="shared" si="143"/>
        <v>0.43671202578912938</v>
      </c>
      <c r="X610" s="13">
        <f t="shared" si="145"/>
        <v>1.796911477372181</v>
      </c>
      <c r="Y610" s="10"/>
      <c r="Z610" s="10"/>
      <c r="AB610" s="10" t="str">
        <f t="shared" si="146"/>
        <v>Non-Distress</v>
      </c>
      <c r="AC610" s="10">
        <f t="shared" si="147"/>
        <v>0</v>
      </c>
      <c r="AE610" s="10">
        <f t="shared" si="148"/>
        <v>0</v>
      </c>
      <c r="AG610" s="13">
        <f t="shared" si="149"/>
        <v>0.5</v>
      </c>
      <c r="AH610" s="13">
        <f t="shared" si="150"/>
        <v>0.5</v>
      </c>
      <c r="AI610" s="10">
        <f t="shared" si="151"/>
        <v>0.25</v>
      </c>
    </row>
    <row r="611" spans="1:35" x14ac:dyDescent="0.3">
      <c r="A611" t="s">
        <v>167</v>
      </c>
      <c r="B611">
        <v>2023</v>
      </c>
      <c r="C611" s="3">
        <v>1976562000000</v>
      </c>
      <c r="D611" s="3">
        <v>1190689000000</v>
      </c>
      <c r="E611" s="3">
        <v>25883325000000</v>
      </c>
      <c r="F611" s="3">
        <v>12184767000000</v>
      </c>
      <c r="G611" s="3">
        <v>17680467000000</v>
      </c>
      <c r="H611" s="3">
        <v>8840697000000</v>
      </c>
      <c r="I611" s="3">
        <v>8190569000000</v>
      </c>
      <c r="J611" s="3">
        <v>5878604000000</v>
      </c>
      <c r="K611" s="3">
        <v>3344070000000</v>
      </c>
      <c r="M611" s="3">
        <v>15317617000000</v>
      </c>
      <c r="N611" s="3">
        <v>611289000000</v>
      </c>
      <c r="O611" s="3">
        <v>13083720000000</v>
      </c>
      <c r="P611">
        <f t="shared" si="138"/>
        <v>2.5875330985156579</v>
      </c>
      <c r="Q611">
        <f t="shared" si="139"/>
        <v>0</v>
      </c>
      <c r="R611" t="str">
        <f t="shared" si="144"/>
        <v>Grey Area</v>
      </c>
      <c r="S611">
        <f t="shared" si="140"/>
        <v>0.12919785228520678</v>
      </c>
      <c r="T611">
        <f t="shared" si="141"/>
        <v>0.2271193519379755</v>
      </c>
      <c r="U611">
        <f t="shared" si="142"/>
        <v>7.636430018168068E-2</v>
      </c>
      <c r="V611">
        <f t="shared" si="143"/>
        <v>0.4632552409390544</v>
      </c>
      <c r="X611" s="13">
        <f t="shared" si="145"/>
        <v>1.9233604977501189</v>
      </c>
      <c r="Y611" s="10"/>
      <c r="Z611" s="10"/>
      <c r="AB611" s="10" t="str">
        <f t="shared" si="146"/>
        <v>Non-Distress</v>
      </c>
      <c r="AC611" s="10">
        <f t="shared" si="147"/>
        <v>0</v>
      </c>
      <c r="AE611" s="10">
        <f t="shared" si="148"/>
        <v>0</v>
      </c>
      <c r="AG611" s="13">
        <f t="shared" si="149"/>
        <v>0.5</v>
      </c>
      <c r="AH611" s="13">
        <f t="shared" si="150"/>
        <v>0.5</v>
      </c>
      <c r="AI611" s="10">
        <f t="shared" si="151"/>
        <v>0.25</v>
      </c>
    </row>
    <row r="612" spans="1:35" x14ac:dyDescent="0.3">
      <c r="A612" t="s">
        <v>167</v>
      </c>
      <c r="B612">
        <v>2022</v>
      </c>
      <c r="C612" s="3">
        <v>2167548000000</v>
      </c>
      <c r="D612" s="3">
        <v>1147230000000</v>
      </c>
      <c r="E612" s="3">
        <v>23673644000000</v>
      </c>
      <c r="F612" s="3">
        <v>11374948000000</v>
      </c>
      <c r="G612" s="3">
        <v>16841410000000</v>
      </c>
      <c r="H612" s="3">
        <v>9485740000000</v>
      </c>
      <c r="I612" s="3">
        <v>6820199000000</v>
      </c>
      <c r="J612" s="3">
        <v>5369202000000</v>
      </c>
      <c r="K612" s="3">
        <v>1889208000000</v>
      </c>
      <c r="M612" s="3">
        <v>16579960000000</v>
      </c>
      <c r="N612" s="3">
        <v>800689000000</v>
      </c>
      <c r="O612" s="3">
        <v>10685655000000</v>
      </c>
      <c r="P612">
        <f t="shared" si="138"/>
        <v>2.3033673373397408</v>
      </c>
      <c r="Q612">
        <f t="shared" si="139"/>
        <v>0</v>
      </c>
      <c r="R612" t="str">
        <f t="shared" si="144"/>
        <v>Grey Area</v>
      </c>
      <c r="S612">
        <f t="shared" si="140"/>
        <v>7.9802163114389993E-2</v>
      </c>
      <c r="T612">
        <f t="shared" si="141"/>
        <v>0.22680082542425661</v>
      </c>
      <c r="U612">
        <f t="shared" si="142"/>
        <v>9.1559541910827075E-2</v>
      </c>
      <c r="V612">
        <f t="shared" si="143"/>
        <v>0.4049660331290551</v>
      </c>
      <c r="X612" s="13">
        <f t="shared" si="145"/>
        <v>1.6914127096997305</v>
      </c>
      <c r="Y612" s="10"/>
      <c r="Z612" s="10"/>
      <c r="AB612" s="10" t="str">
        <f t="shared" si="146"/>
        <v>Non-Distress</v>
      </c>
      <c r="AC612" s="10">
        <f t="shared" si="147"/>
        <v>0</v>
      </c>
      <c r="AE612" s="10">
        <f t="shared" si="148"/>
        <v>0</v>
      </c>
      <c r="AG612" s="13">
        <f t="shared" si="149"/>
        <v>0.5</v>
      </c>
      <c r="AH612" s="13">
        <f t="shared" si="150"/>
        <v>0.5</v>
      </c>
      <c r="AI612" s="10">
        <f t="shared" si="151"/>
        <v>0.25</v>
      </c>
    </row>
    <row r="613" spans="1:35" x14ac:dyDescent="0.3">
      <c r="A613" t="s">
        <v>168</v>
      </c>
      <c r="B613">
        <v>2025</v>
      </c>
      <c r="C613" s="3">
        <v>24037037284</v>
      </c>
      <c r="D613" s="3">
        <v>905896684</v>
      </c>
      <c r="E613" s="3">
        <v>2320789605256</v>
      </c>
      <c r="F613" s="3">
        <v>1620976448020</v>
      </c>
      <c r="G613" s="3">
        <v>530703622328</v>
      </c>
      <c r="H613" s="3">
        <v>305278794656</v>
      </c>
      <c r="I613" s="3">
        <v>1790088020040</v>
      </c>
      <c r="J613" s="3">
        <v>1481101504054</v>
      </c>
      <c r="K613" s="3">
        <v>1315697653364</v>
      </c>
      <c r="M613" s="3">
        <v>2146553443744</v>
      </c>
      <c r="N613" s="3">
        <v>15299884349</v>
      </c>
      <c r="O613" s="3">
        <v>8084343111</v>
      </c>
      <c r="P613">
        <f t="shared" si="138"/>
        <v>9.4107773834982904</v>
      </c>
      <c r="Q613">
        <f t="shared" si="139"/>
        <v>0</v>
      </c>
      <c r="R613" t="str">
        <f t="shared" si="144"/>
        <v>Safe</v>
      </c>
      <c r="S613">
        <f t="shared" si="140"/>
        <v>0.56691810855420866</v>
      </c>
      <c r="T613">
        <f t="shared" si="141"/>
        <v>0.63818861507293922</v>
      </c>
      <c r="U613">
        <f t="shared" si="142"/>
        <v>1.0357266867087911E-2</v>
      </c>
      <c r="V613">
        <f t="shared" si="143"/>
        <v>3.3730465456172083</v>
      </c>
      <c r="X613" s="13">
        <f t="shared" si="145"/>
        <v>5.7517153404010717</v>
      </c>
      <c r="Y613" s="10"/>
      <c r="Z613" s="10"/>
      <c r="AB613" s="10" t="str">
        <f t="shared" si="146"/>
        <v>Non-Distress</v>
      </c>
      <c r="AC613" s="10">
        <f t="shared" si="147"/>
        <v>0</v>
      </c>
      <c r="AE613" s="10">
        <f t="shared" si="148"/>
        <v>0</v>
      </c>
      <c r="AG613" s="13">
        <f t="shared" si="149"/>
        <v>0.5</v>
      </c>
      <c r="AH613" s="13">
        <f t="shared" si="150"/>
        <v>0.5</v>
      </c>
      <c r="AI613" s="10">
        <f t="shared" si="151"/>
        <v>0.25</v>
      </c>
    </row>
    <row r="614" spans="1:35" x14ac:dyDescent="0.3">
      <c r="A614" t="s">
        <v>168</v>
      </c>
      <c r="B614">
        <v>2024</v>
      </c>
      <c r="C614" s="3">
        <v>-159463526986</v>
      </c>
      <c r="D614" s="3">
        <v>1491571691</v>
      </c>
      <c r="E614" s="3">
        <v>2337888865653</v>
      </c>
      <c r="F614" s="3">
        <v>1594068604564</v>
      </c>
      <c r="G614" s="3">
        <v>553955057903</v>
      </c>
      <c r="H614" s="3">
        <v>358755200137</v>
      </c>
      <c r="I614" s="3">
        <v>1783935027914</v>
      </c>
      <c r="J614" s="3">
        <v>1474928935928</v>
      </c>
      <c r="K614" s="3">
        <v>1235313404427</v>
      </c>
      <c r="M614" s="3">
        <v>1859368093471</v>
      </c>
      <c r="N614" s="3">
        <v>-124746678571</v>
      </c>
      <c r="O614" s="3">
        <v>13245996894</v>
      </c>
      <c r="P614">
        <f t="shared" si="138"/>
        <v>8.4459176128015052</v>
      </c>
      <c r="Q614">
        <f t="shared" si="139"/>
        <v>0</v>
      </c>
      <c r="R614" t="str">
        <f t="shared" si="144"/>
        <v>Safe</v>
      </c>
      <c r="S614">
        <f t="shared" si="140"/>
        <v>0.52838842024339017</v>
      </c>
      <c r="T614">
        <f t="shared" si="141"/>
        <v>0.63088068795606966</v>
      </c>
      <c r="U614">
        <f t="shared" si="142"/>
        <v>-6.8208343573876409E-2</v>
      </c>
      <c r="V614">
        <f t="shared" si="143"/>
        <v>3.2203605734138363</v>
      </c>
      <c r="X614" s="13">
        <f t="shared" si="145"/>
        <v>5.1056636307143144</v>
      </c>
      <c r="Y614" s="10"/>
      <c r="Z614" s="10"/>
      <c r="AB614" s="10" t="str">
        <f t="shared" si="146"/>
        <v>Non-Distress</v>
      </c>
      <c r="AC614" s="10">
        <f t="shared" si="147"/>
        <v>0</v>
      </c>
      <c r="AE614" s="10">
        <f t="shared" si="148"/>
        <v>0</v>
      </c>
      <c r="AG614" s="13">
        <f t="shared" si="149"/>
        <v>0.5</v>
      </c>
      <c r="AH614" s="13">
        <f t="shared" si="150"/>
        <v>0.5</v>
      </c>
      <c r="AI614" s="10">
        <f t="shared" si="151"/>
        <v>0.25</v>
      </c>
    </row>
    <row r="615" spans="1:35" x14ac:dyDescent="0.3">
      <c r="A615" t="s">
        <v>168</v>
      </c>
      <c r="B615">
        <v>2023</v>
      </c>
      <c r="C615" s="3">
        <v>44679576185</v>
      </c>
      <c r="D615" s="3">
        <v>606941110</v>
      </c>
      <c r="E615" s="3">
        <v>2391566509438</v>
      </c>
      <c r="F615" s="3">
        <v>1639341193231</v>
      </c>
      <c r="G615" s="3">
        <v>505779174136</v>
      </c>
      <c r="H615" s="3">
        <v>195898370114</v>
      </c>
      <c r="I615" s="3">
        <v>1885787956852</v>
      </c>
      <c r="J615" s="3">
        <v>1576733760866</v>
      </c>
      <c r="K615" s="3">
        <v>1443442823117</v>
      </c>
      <c r="M615" s="3">
        <v>2050460062443</v>
      </c>
      <c r="N615" s="3">
        <v>38116433207</v>
      </c>
      <c r="O615" s="3">
        <v>16458852946</v>
      </c>
      <c r="P615">
        <f t="shared" si="138"/>
        <v>10.1490546149814</v>
      </c>
      <c r="Q615">
        <f t="shared" si="139"/>
        <v>0</v>
      </c>
      <c r="R615" t="str">
        <f t="shared" si="144"/>
        <v>Safe</v>
      </c>
      <c r="S615">
        <f t="shared" si="140"/>
        <v>0.6035553757006733</v>
      </c>
      <c r="T615">
        <f t="shared" si="141"/>
        <v>0.6592891122382043</v>
      </c>
      <c r="U615">
        <f t="shared" si="142"/>
        <v>1.8682138259035648E-2</v>
      </c>
      <c r="V615">
        <f t="shared" si="143"/>
        <v>3.7284808337025885</v>
      </c>
      <c r="X615" s="13">
        <f t="shared" si="145"/>
        <v>6.1003392331977437</v>
      </c>
      <c r="Y615" s="10"/>
      <c r="Z615" s="10"/>
      <c r="AB615" s="10" t="str">
        <f t="shared" si="146"/>
        <v>Non-Distress</v>
      </c>
      <c r="AC615" s="10">
        <f t="shared" si="147"/>
        <v>0</v>
      </c>
      <c r="AE615" s="10">
        <f t="shared" si="148"/>
        <v>0</v>
      </c>
      <c r="AG615" s="13">
        <f t="shared" si="149"/>
        <v>0.5</v>
      </c>
      <c r="AH615" s="13">
        <f t="shared" si="150"/>
        <v>0.5</v>
      </c>
      <c r="AI615" s="10">
        <f t="shared" si="151"/>
        <v>0.25</v>
      </c>
    </row>
    <row r="616" spans="1:35" x14ac:dyDescent="0.3">
      <c r="A616" t="s">
        <v>168</v>
      </c>
      <c r="B616">
        <v>2022</v>
      </c>
      <c r="C616" s="3">
        <v>28208348917</v>
      </c>
      <c r="D616" s="3">
        <v>405651238</v>
      </c>
      <c r="E616" s="3">
        <v>2380657918106</v>
      </c>
      <c r="F616" s="3">
        <v>1594565567872</v>
      </c>
      <c r="G616" s="3">
        <v>525870003344</v>
      </c>
      <c r="H616" s="3">
        <v>221011501094</v>
      </c>
      <c r="I616" s="3">
        <v>1854788106097</v>
      </c>
      <c r="J616" s="3">
        <v>1545671693111</v>
      </c>
      <c r="K616" s="3">
        <v>1373554066778</v>
      </c>
      <c r="M616" s="3">
        <v>2044821803111</v>
      </c>
      <c r="N616" s="3">
        <v>18467723999</v>
      </c>
      <c r="O616" s="3">
        <v>3506760979</v>
      </c>
      <c r="P616">
        <f t="shared" si="138"/>
        <v>9.6845438615161985</v>
      </c>
      <c r="Q616">
        <f t="shared" si="139"/>
        <v>0</v>
      </c>
      <c r="R616" t="str">
        <f t="shared" si="144"/>
        <v>Safe</v>
      </c>
      <c r="S616">
        <f t="shared" si="140"/>
        <v>0.57696406372855535</v>
      </c>
      <c r="T616">
        <f t="shared" si="141"/>
        <v>0.64926240824246728</v>
      </c>
      <c r="U616">
        <f t="shared" si="142"/>
        <v>1.184897195958416E-2</v>
      </c>
      <c r="V616">
        <f t="shared" si="143"/>
        <v>3.5270848200171683</v>
      </c>
      <c r="X616" s="13">
        <f t="shared" si="145"/>
        <v>5.8632445798121502</v>
      </c>
      <c r="Y616" s="10"/>
      <c r="Z616" s="10"/>
      <c r="AB616" s="10" t="str">
        <f t="shared" si="146"/>
        <v>Non-Distress</v>
      </c>
      <c r="AC616" s="10">
        <f t="shared" si="147"/>
        <v>0</v>
      </c>
      <c r="AE616" s="10">
        <f t="shared" si="148"/>
        <v>0</v>
      </c>
      <c r="AG616" s="13">
        <f t="shared" si="149"/>
        <v>0.5</v>
      </c>
      <c r="AH616" s="13">
        <f t="shared" si="150"/>
        <v>0.5</v>
      </c>
      <c r="AI616" s="10">
        <f t="shared" si="151"/>
        <v>0.25</v>
      </c>
    </row>
    <row r="617" spans="1:35" x14ac:dyDescent="0.3">
      <c r="A617" t="s">
        <v>169</v>
      </c>
      <c r="B617">
        <v>2025</v>
      </c>
      <c r="C617" s="3">
        <v>1668518</v>
      </c>
      <c r="D617" s="3">
        <v>64036</v>
      </c>
      <c r="E617" s="3">
        <v>341244924</v>
      </c>
      <c r="F617" s="3">
        <v>131360951</v>
      </c>
      <c r="G617" s="3">
        <v>29264211</v>
      </c>
      <c r="H617" s="3">
        <v>21551949</v>
      </c>
      <c r="I617" s="3">
        <v>311980713</v>
      </c>
      <c r="J617" s="3">
        <v>21254226</v>
      </c>
      <c r="K617" s="3">
        <v>109809002</v>
      </c>
      <c r="M617" s="3">
        <v>188525304</v>
      </c>
      <c r="N617" s="3">
        <v>-1444716</v>
      </c>
      <c r="O617" s="3">
        <v>1295716</v>
      </c>
      <c r="P617">
        <f t="shared" si="138"/>
        <v>13.540712176204657</v>
      </c>
      <c r="Q617">
        <f t="shared" si="139"/>
        <v>0</v>
      </c>
      <c r="R617" t="str">
        <f t="shared" si="144"/>
        <v>Safe</v>
      </c>
      <c r="S617">
        <f t="shared" si="140"/>
        <v>0.32178940777445819</v>
      </c>
      <c r="T617">
        <f t="shared" si="141"/>
        <v>6.2284372616777738E-2</v>
      </c>
      <c r="U617">
        <f t="shared" si="142"/>
        <v>4.8895027666404208E-3</v>
      </c>
      <c r="V617">
        <f t="shared" si="143"/>
        <v>10.660827759887324</v>
      </c>
      <c r="X617" s="13">
        <f t="shared" si="145"/>
        <v>2.6525405528558794</v>
      </c>
      <c r="Y617" s="10"/>
      <c r="Z617" s="10"/>
      <c r="AB617" s="10" t="str">
        <f t="shared" si="146"/>
        <v>Non-Distress</v>
      </c>
      <c r="AC617" s="10">
        <f t="shared" si="147"/>
        <v>0</v>
      </c>
      <c r="AE617" s="10">
        <f t="shared" si="148"/>
        <v>0</v>
      </c>
      <c r="AG617" s="13">
        <f t="shared" si="149"/>
        <v>0.5</v>
      </c>
      <c r="AH617" s="13">
        <f t="shared" si="150"/>
        <v>0.5</v>
      </c>
      <c r="AI617" s="10">
        <f t="shared" si="151"/>
        <v>0.25</v>
      </c>
    </row>
    <row r="618" spans="1:35" x14ac:dyDescent="0.3">
      <c r="A618" t="s">
        <v>169</v>
      </c>
      <c r="B618">
        <v>2024</v>
      </c>
      <c r="C618" s="3">
        <v>2950075</v>
      </c>
      <c r="D618" s="3">
        <v>44235</v>
      </c>
      <c r="E618" s="3">
        <v>337130272</v>
      </c>
      <c r="F618" s="3">
        <v>116826752</v>
      </c>
      <c r="G618" s="3">
        <v>23516394</v>
      </c>
      <c r="H618" s="3">
        <v>17947987</v>
      </c>
      <c r="I618" s="3">
        <v>313613878</v>
      </c>
      <c r="J618" s="3">
        <v>22957607</v>
      </c>
      <c r="K618" s="3">
        <v>98878765</v>
      </c>
      <c r="M618" s="3">
        <v>187579309</v>
      </c>
      <c r="N618" s="3">
        <v>2941385</v>
      </c>
      <c r="O618" s="3">
        <v>2144547</v>
      </c>
      <c r="P618">
        <f t="shared" si="138"/>
        <v>16.207584730098045</v>
      </c>
      <c r="Q618">
        <f t="shared" si="139"/>
        <v>0</v>
      </c>
      <c r="R618" t="str">
        <f t="shared" si="144"/>
        <v>Safe</v>
      </c>
      <c r="S618">
        <f t="shared" si="140"/>
        <v>0.29329542082770899</v>
      </c>
      <c r="T618">
        <f t="shared" si="141"/>
        <v>6.8097139019304684E-2</v>
      </c>
      <c r="U618">
        <f t="shared" si="142"/>
        <v>8.7505491052432098E-3</v>
      </c>
      <c r="V618">
        <f t="shared" si="143"/>
        <v>13.335968005979147</v>
      </c>
      <c r="X618" s="13">
        <f t="shared" si="145"/>
        <v>2.6310380989057975</v>
      </c>
      <c r="Y618" s="10"/>
      <c r="Z618" s="10"/>
      <c r="AB618" s="10" t="str">
        <f t="shared" si="146"/>
        <v>Non-Distress</v>
      </c>
      <c r="AC618" s="10">
        <f t="shared" si="147"/>
        <v>0</v>
      </c>
      <c r="AE618" s="10">
        <f t="shared" si="148"/>
        <v>0</v>
      </c>
      <c r="AG618" s="13">
        <f t="shared" si="149"/>
        <v>0.5</v>
      </c>
      <c r="AH618" s="13">
        <f t="shared" si="150"/>
        <v>0.5</v>
      </c>
      <c r="AI618" s="10">
        <f t="shared" si="151"/>
        <v>0.25</v>
      </c>
    </row>
    <row r="619" spans="1:35" x14ac:dyDescent="0.3">
      <c r="A619" t="s">
        <v>169</v>
      </c>
      <c r="B619">
        <v>2023</v>
      </c>
      <c r="C619" s="3">
        <v>3295078</v>
      </c>
      <c r="D619" s="3">
        <v>47758</v>
      </c>
      <c r="E619" s="3">
        <v>335379399</v>
      </c>
      <c r="F619" s="3">
        <v>112595361</v>
      </c>
      <c r="G619" s="3">
        <v>25009599</v>
      </c>
      <c r="H619" s="3">
        <v>19216813</v>
      </c>
      <c r="I619" s="3">
        <v>310369800</v>
      </c>
      <c r="J619" s="3">
        <v>19704000</v>
      </c>
      <c r="K619" s="3">
        <v>93378548</v>
      </c>
      <c r="M619" s="3">
        <v>196072753</v>
      </c>
      <c r="N619" s="3">
        <v>3297472</v>
      </c>
      <c r="O619" s="3">
        <v>1673882</v>
      </c>
      <c r="P619">
        <f t="shared" si="138"/>
        <v>15.114559919405526</v>
      </c>
      <c r="Q619">
        <f t="shared" si="139"/>
        <v>0</v>
      </c>
      <c r="R619" t="str">
        <f t="shared" si="144"/>
        <v>Safe</v>
      </c>
      <c r="S619">
        <f t="shared" si="140"/>
        <v>0.2784266066384119</v>
      </c>
      <c r="T619">
        <f t="shared" si="141"/>
        <v>5.8751372501565008E-2</v>
      </c>
      <c r="U619">
        <f t="shared" si="142"/>
        <v>9.8249266646219975E-3</v>
      </c>
      <c r="V619">
        <f t="shared" si="143"/>
        <v>12.410027046015411</v>
      </c>
      <c r="X619" s="13">
        <f t="shared" si="145"/>
        <v>2.4749481074808939</v>
      </c>
      <c r="Y619" s="10"/>
      <c r="Z619" s="10"/>
      <c r="AB619" s="10" t="str">
        <f t="shared" si="146"/>
        <v>Non-Distress</v>
      </c>
      <c r="AC619" s="10">
        <f t="shared" si="147"/>
        <v>0</v>
      </c>
      <c r="AE619" s="10">
        <f t="shared" si="148"/>
        <v>0</v>
      </c>
      <c r="AG619" s="13">
        <f t="shared" si="149"/>
        <v>0.5</v>
      </c>
      <c r="AH619" s="13">
        <f t="shared" si="150"/>
        <v>0.5</v>
      </c>
      <c r="AI619" s="10">
        <f t="shared" si="151"/>
        <v>0.25</v>
      </c>
    </row>
    <row r="620" spans="1:35" x14ac:dyDescent="0.3">
      <c r="A620" t="s">
        <v>169</v>
      </c>
      <c r="B620">
        <v>2022</v>
      </c>
      <c r="C620" s="3">
        <v>3322680</v>
      </c>
      <c r="D620" s="3">
        <v>52489</v>
      </c>
      <c r="E620" s="3">
        <v>334102307</v>
      </c>
      <c r="F620" s="3">
        <v>107764608</v>
      </c>
      <c r="G620" s="3">
        <v>27063161</v>
      </c>
      <c r="H620" s="3">
        <v>22611383</v>
      </c>
      <c r="I620" s="3">
        <v>307039146</v>
      </c>
      <c r="J620" s="3">
        <v>16404332</v>
      </c>
      <c r="K620" s="3">
        <v>85153225</v>
      </c>
      <c r="M620" s="3">
        <v>225468149</v>
      </c>
      <c r="N620" s="3">
        <v>3415772</v>
      </c>
      <c r="O620" s="3">
        <v>2149536</v>
      </c>
      <c r="P620">
        <f t="shared" si="138"/>
        <v>13.811398818968334</v>
      </c>
      <c r="Q620">
        <f t="shared" si="139"/>
        <v>0</v>
      </c>
      <c r="R620" t="str">
        <f t="shared" si="144"/>
        <v>Safe</v>
      </c>
      <c r="S620">
        <f t="shared" si="140"/>
        <v>0.25487170610887161</v>
      </c>
      <c r="T620">
        <f t="shared" si="141"/>
        <v>4.9099726809129753E-2</v>
      </c>
      <c r="U620">
        <f t="shared" si="142"/>
        <v>9.9450974458551097E-3</v>
      </c>
      <c r="V620">
        <f t="shared" si="143"/>
        <v>11.345280250152596</v>
      </c>
      <c r="X620" s="13">
        <f t="shared" si="145"/>
        <v>2.2541877716107548</v>
      </c>
      <c r="Y620" s="10"/>
      <c r="Z620" s="10"/>
      <c r="AB620" s="10" t="str">
        <f t="shared" si="146"/>
        <v>Non-Distress</v>
      </c>
      <c r="AC620" s="10">
        <f t="shared" si="147"/>
        <v>0</v>
      </c>
      <c r="AE620" s="10">
        <f t="shared" si="148"/>
        <v>0</v>
      </c>
      <c r="AG620" s="13">
        <f t="shared" si="149"/>
        <v>0.5</v>
      </c>
      <c r="AH620" s="13">
        <f t="shared" si="150"/>
        <v>0.5</v>
      </c>
      <c r="AI620" s="10">
        <f t="shared" si="151"/>
        <v>0.25</v>
      </c>
    </row>
    <row r="621" spans="1:35" x14ac:dyDescent="0.3">
      <c r="A621" t="s">
        <v>170</v>
      </c>
      <c r="B621">
        <v>2025</v>
      </c>
      <c r="C621" s="3">
        <v>323398000</v>
      </c>
      <c r="D621" s="3">
        <v>40126000</v>
      </c>
      <c r="E621" s="3">
        <v>3921983000</v>
      </c>
      <c r="F621" s="3">
        <v>630141000</v>
      </c>
      <c r="G621" s="3">
        <v>971996000</v>
      </c>
      <c r="H621" s="3">
        <v>494490000</v>
      </c>
      <c r="I621" s="3">
        <v>2949987000</v>
      </c>
      <c r="J621" s="3">
        <v>2179945000</v>
      </c>
      <c r="K621" s="3">
        <v>135651000</v>
      </c>
      <c r="M621" s="3">
        <v>984727000</v>
      </c>
      <c r="N621" s="3">
        <v>275803000</v>
      </c>
      <c r="O621" s="3">
        <v>715835000</v>
      </c>
      <c r="P621">
        <f t="shared" ref="P621:P671" si="152">6.56*(F621-H621)/E621+3.26*J621/E621+6.72*C621/E621+1.05*I621/G621</f>
        <v>5.779733560067716</v>
      </c>
      <c r="Q621">
        <f t="shared" ref="Q621:Q671" si="153">IF(VALUE(TRIM(P621))&lt;=1.1, 1, 0)</f>
        <v>0</v>
      </c>
      <c r="R621" t="str">
        <f t="shared" si="144"/>
        <v>Safe</v>
      </c>
      <c r="S621">
        <f t="shared" ref="S621:S671" si="154">MAX(-2,MIN(K621/E621,2))</f>
        <v>3.4587350327627629E-2</v>
      </c>
      <c r="T621">
        <f t="shared" ref="T621:T671" si="155" xml:space="preserve"> J621/E621</f>
        <v>0.55582724351431401</v>
      </c>
      <c r="U621">
        <f t="shared" ref="U621:U671" si="156">C621/E621</f>
        <v>8.2457777098982832E-2</v>
      </c>
      <c r="V621">
        <f t="shared" ref="V621:V671" si="157">I621/G621</f>
        <v>3.0349785390063335</v>
      </c>
      <c r="X621" s="13">
        <f t="shared" si="145"/>
        <v>2.5624369256268826</v>
      </c>
      <c r="Y621" s="10"/>
      <c r="Z621" s="10"/>
      <c r="AB621" s="10" t="str">
        <f t="shared" si="146"/>
        <v>Non-Distress</v>
      </c>
      <c r="AC621" s="10">
        <f t="shared" si="147"/>
        <v>0</v>
      </c>
      <c r="AE621" s="10">
        <f t="shared" si="148"/>
        <v>0</v>
      </c>
      <c r="AG621" s="13">
        <f t="shared" si="149"/>
        <v>0.5</v>
      </c>
      <c r="AH621" s="13">
        <f t="shared" si="150"/>
        <v>0.5</v>
      </c>
      <c r="AI621" s="10">
        <f t="shared" si="151"/>
        <v>0.25</v>
      </c>
    </row>
    <row r="622" spans="1:35" x14ac:dyDescent="0.3">
      <c r="A622" t="s">
        <v>170</v>
      </c>
      <c r="B622">
        <v>2024</v>
      </c>
      <c r="C622" s="3">
        <v>349957000</v>
      </c>
      <c r="D622" s="3">
        <v>44931000</v>
      </c>
      <c r="E622" s="3">
        <v>3856131000</v>
      </c>
      <c r="F622" s="3">
        <v>791565000</v>
      </c>
      <c r="G622" s="3">
        <v>1177341000</v>
      </c>
      <c r="H622" s="3">
        <v>604030000</v>
      </c>
      <c r="I622" s="3">
        <v>2678790000</v>
      </c>
      <c r="J622" s="3">
        <v>1918930000</v>
      </c>
      <c r="K622" s="3">
        <v>187535000</v>
      </c>
      <c r="M622" s="3">
        <v>985145000</v>
      </c>
      <c r="N622" s="3">
        <v>297136000</v>
      </c>
      <c r="O622" s="3">
        <v>876910000</v>
      </c>
      <c r="P622">
        <f t="shared" si="152"/>
        <v>4.9402242763137476</v>
      </c>
      <c r="Q622">
        <f t="shared" si="153"/>
        <v>0</v>
      </c>
      <c r="R622" t="str">
        <f t="shared" si="144"/>
        <v>Safe</v>
      </c>
      <c r="S622">
        <f t="shared" si="154"/>
        <v>4.8632943227291808E-2</v>
      </c>
      <c r="T622">
        <f t="shared" si="155"/>
        <v>0.49763091554721561</v>
      </c>
      <c r="U622">
        <f t="shared" si="156"/>
        <v>9.0753400234587472E-2</v>
      </c>
      <c r="V622">
        <f t="shared" si="157"/>
        <v>2.2752881280784414</v>
      </c>
      <c r="X622" s="13">
        <f t="shared" si="145"/>
        <v>2.4650310729911862</v>
      </c>
      <c r="Y622" s="10"/>
      <c r="Z622" s="10"/>
      <c r="AB622" s="10" t="str">
        <f t="shared" si="146"/>
        <v>Non-Distress</v>
      </c>
      <c r="AC622" s="10">
        <f t="shared" si="147"/>
        <v>0</v>
      </c>
      <c r="AE622" s="10">
        <f t="shared" si="148"/>
        <v>0</v>
      </c>
      <c r="AG622" s="13">
        <f t="shared" si="149"/>
        <v>0.5</v>
      </c>
      <c r="AH622" s="13">
        <f t="shared" si="150"/>
        <v>0.5</v>
      </c>
      <c r="AI622" s="10">
        <f t="shared" si="151"/>
        <v>0.25</v>
      </c>
    </row>
    <row r="623" spans="1:35" x14ac:dyDescent="0.3">
      <c r="A623" t="s">
        <v>170</v>
      </c>
      <c r="B623">
        <v>2023</v>
      </c>
      <c r="C623" s="3">
        <v>231899000</v>
      </c>
      <c r="D623" s="3">
        <v>47238000</v>
      </c>
      <c r="E623" s="3">
        <v>3609918000</v>
      </c>
      <c r="F623" s="3">
        <v>749494000</v>
      </c>
      <c r="G623" s="3">
        <v>1224350000</v>
      </c>
      <c r="H623" s="3">
        <v>606690000</v>
      </c>
      <c r="I623" s="3">
        <v>2385568000</v>
      </c>
      <c r="J623" s="3">
        <v>1636583000</v>
      </c>
      <c r="K623" s="3">
        <v>142804000</v>
      </c>
      <c r="M623" s="3">
        <v>1073834000</v>
      </c>
      <c r="N623" s="3">
        <v>172014000</v>
      </c>
      <c r="O623" s="3">
        <v>984525000</v>
      </c>
      <c r="P623">
        <f t="shared" si="152"/>
        <v>4.2149977325281096</v>
      </c>
      <c r="Q623">
        <f t="shared" si="153"/>
        <v>0</v>
      </c>
      <c r="R623" t="str">
        <f t="shared" si="144"/>
        <v>Safe</v>
      </c>
      <c r="S623">
        <f t="shared" si="154"/>
        <v>3.9558793302230132E-2</v>
      </c>
      <c r="T623">
        <f t="shared" si="155"/>
        <v>0.45335738928141855</v>
      </c>
      <c r="U623">
        <f t="shared" si="156"/>
        <v>6.4239409316222698E-2</v>
      </c>
      <c r="V623">
        <f t="shared" si="157"/>
        <v>1.9484363131457507</v>
      </c>
      <c r="X623" s="13">
        <f t="shared" si="145"/>
        <v>2.1221605976361309</v>
      </c>
      <c r="Y623" s="10"/>
      <c r="Z623" s="10"/>
      <c r="AB623" s="10" t="str">
        <f t="shared" si="146"/>
        <v>Non-Distress</v>
      </c>
      <c r="AC623" s="10">
        <f t="shared" si="147"/>
        <v>0</v>
      </c>
      <c r="AE623" s="10">
        <f t="shared" si="148"/>
        <v>0</v>
      </c>
      <c r="AG623" s="13">
        <f t="shared" si="149"/>
        <v>0.5</v>
      </c>
      <c r="AH623" s="13">
        <f t="shared" si="150"/>
        <v>0.5</v>
      </c>
      <c r="AI623" s="10">
        <f t="shared" si="151"/>
        <v>0.25</v>
      </c>
    </row>
    <row r="624" spans="1:35" x14ac:dyDescent="0.3">
      <c r="A624" t="s">
        <v>170</v>
      </c>
      <c r="B624">
        <v>2022</v>
      </c>
      <c r="C624" s="3">
        <v>512762000</v>
      </c>
      <c r="D624" s="3">
        <v>42513000</v>
      </c>
      <c r="E624" s="3">
        <v>3545180000</v>
      </c>
      <c r="F624" s="3">
        <v>850762000</v>
      </c>
      <c r="G624" s="3">
        <v>1326532000</v>
      </c>
      <c r="H624" s="3">
        <v>694306000</v>
      </c>
      <c r="I624" s="3">
        <v>2218648000</v>
      </c>
      <c r="J624" s="3">
        <v>1479845000</v>
      </c>
      <c r="K624" s="3">
        <v>156456000</v>
      </c>
      <c r="M624" s="3">
        <v>1143593000</v>
      </c>
      <c r="N624" s="3">
        <v>463345000</v>
      </c>
      <c r="O624" s="3">
        <v>1030957000</v>
      </c>
      <c r="P624">
        <f t="shared" si="152"/>
        <v>4.3784098731829948</v>
      </c>
      <c r="Q624">
        <f t="shared" si="153"/>
        <v>0</v>
      </c>
      <c r="R624" t="str">
        <f t="shared" si="144"/>
        <v>Safe</v>
      </c>
      <c r="S624">
        <f t="shared" si="154"/>
        <v>4.4132032788180009E-2</v>
      </c>
      <c r="T624">
        <f t="shared" si="155"/>
        <v>0.41742450312819096</v>
      </c>
      <c r="U624">
        <f t="shared" si="156"/>
        <v>0.14463637953503067</v>
      </c>
      <c r="V624">
        <f t="shared" si="157"/>
        <v>1.6725175118278337</v>
      </c>
      <c r="X624" s="13">
        <f t="shared" si="145"/>
        <v>2.4093919092804796</v>
      </c>
      <c r="Y624" s="10"/>
      <c r="Z624" s="10"/>
      <c r="AB624" s="10" t="str">
        <f t="shared" si="146"/>
        <v>Non-Distress</v>
      </c>
      <c r="AC624" s="10">
        <f t="shared" si="147"/>
        <v>0</v>
      </c>
      <c r="AE624" s="10">
        <f t="shared" si="148"/>
        <v>0</v>
      </c>
      <c r="AG624" s="13">
        <f t="shared" si="149"/>
        <v>0.5</v>
      </c>
      <c r="AH624" s="13">
        <f t="shared" si="150"/>
        <v>0.5</v>
      </c>
      <c r="AI624" s="10">
        <f t="shared" si="151"/>
        <v>0.25</v>
      </c>
    </row>
    <row r="625" spans="1:35" x14ac:dyDescent="0.3">
      <c r="A625" t="s">
        <v>171</v>
      </c>
      <c r="B625">
        <v>2025</v>
      </c>
      <c r="C625" s="3">
        <v>1436568076000</v>
      </c>
      <c r="D625" s="3">
        <v>44831659000</v>
      </c>
      <c r="E625" s="3">
        <v>6018032137000</v>
      </c>
      <c r="F625" s="3">
        <v>1588829853000</v>
      </c>
      <c r="G625" s="3">
        <v>2373123326000</v>
      </c>
      <c r="H625" s="3">
        <v>1425414334000</v>
      </c>
      <c r="I625" s="3">
        <v>3644864762000</v>
      </c>
      <c r="J625" s="3">
        <v>2196342314000</v>
      </c>
      <c r="K625" s="3">
        <v>163415519000</v>
      </c>
      <c r="M625" s="3">
        <v>5421391584000</v>
      </c>
      <c r="N625" s="3">
        <v>1106606494000</v>
      </c>
      <c r="O625" s="3">
        <v>841596962000</v>
      </c>
      <c r="P625">
        <f t="shared" si="152"/>
        <v>4.5847260439598276</v>
      </c>
      <c r="Q625">
        <f t="shared" si="153"/>
        <v>0</v>
      </c>
      <c r="R625" t="str">
        <f t="shared" si="144"/>
        <v>Safe</v>
      </c>
      <c r="S625">
        <f t="shared" si="154"/>
        <v>2.7154311455947613E-2</v>
      </c>
      <c r="T625">
        <f t="shared" si="155"/>
        <v>0.36496021689490021</v>
      </c>
      <c r="U625">
        <f t="shared" si="156"/>
        <v>0.2387106022860376</v>
      </c>
      <c r="V625">
        <f t="shared" si="157"/>
        <v>1.5358935298754886</v>
      </c>
      <c r="X625" s="13">
        <f t="shared" si="145"/>
        <v>2.5828667553924674</v>
      </c>
      <c r="Y625" s="10"/>
      <c r="Z625" s="10"/>
      <c r="AB625" s="10" t="str">
        <f t="shared" si="146"/>
        <v>Non-Distress</v>
      </c>
      <c r="AC625" s="10">
        <f t="shared" si="147"/>
        <v>0</v>
      </c>
      <c r="AE625" s="10">
        <f t="shared" si="148"/>
        <v>0</v>
      </c>
      <c r="AG625" s="13">
        <f t="shared" si="149"/>
        <v>0.5</v>
      </c>
      <c r="AH625" s="13">
        <f t="shared" si="150"/>
        <v>0.5</v>
      </c>
      <c r="AI625" s="10">
        <f t="shared" si="151"/>
        <v>0.25</v>
      </c>
    </row>
    <row r="626" spans="1:35" x14ac:dyDescent="0.3">
      <c r="A626" t="s">
        <v>171</v>
      </c>
      <c r="B626">
        <v>2024</v>
      </c>
      <c r="C626" s="3">
        <v>1124710232000</v>
      </c>
      <c r="D626" s="3">
        <v>66334481000</v>
      </c>
      <c r="E626" s="3">
        <v>5664445219000</v>
      </c>
      <c r="F626" s="3">
        <v>1766579819000</v>
      </c>
      <c r="G626" s="3">
        <v>2519627219000</v>
      </c>
      <c r="H626" s="3">
        <v>1572691567000</v>
      </c>
      <c r="I626" s="3">
        <v>3144775624000</v>
      </c>
      <c r="J626" s="3">
        <v>1697253176000</v>
      </c>
      <c r="K626" s="3">
        <v>193888252000</v>
      </c>
      <c r="M626" s="3">
        <v>4211481582000</v>
      </c>
      <c r="N626" s="3">
        <v>825587405000</v>
      </c>
      <c r="O626" s="3">
        <v>1040814202000</v>
      </c>
      <c r="P626">
        <f t="shared" si="152"/>
        <v>3.8461590121936542</v>
      </c>
      <c r="Q626">
        <f t="shared" si="153"/>
        <v>0</v>
      </c>
      <c r="R626" t="str">
        <f t="shared" si="144"/>
        <v>Safe</v>
      </c>
      <c r="S626">
        <f t="shared" si="154"/>
        <v>3.422899233796968E-2</v>
      </c>
      <c r="T626">
        <f t="shared" si="155"/>
        <v>0.29963272842801592</v>
      </c>
      <c r="U626">
        <f t="shared" si="156"/>
        <v>0.1985561142382371</v>
      </c>
      <c r="V626">
        <f t="shared" si="157"/>
        <v>1.2481114667621791</v>
      </c>
      <c r="X626" s="13">
        <f t="shared" si="145"/>
        <v>2.2053853102976158</v>
      </c>
      <c r="Y626" s="10"/>
      <c r="Z626" s="10"/>
      <c r="AB626" s="10" t="str">
        <f t="shared" si="146"/>
        <v>Non-Distress</v>
      </c>
      <c r="AC626" s="10">
        <f t="shared" si="147"/>
        <v>0</v>
      </c>
      <c r="AE626" s="10">
        <f t="shared" si="148"/>
        <v>0</v>
      </c>
      <c r="AG626" s="13">
        <f t="shared" si="149"/>
        <v>0.5</v>
      </c>
      <c r="AH626" s="13">
        <f t="shared" si="150"/>
        <v>0.5</v>
      </c>
      <c r="AI626" s="10">
        <f t="shared" si="151"/>
        <v>0.25</v>
      </c>
    </row>
    <row r="627" spans="1:35" x14ac:dyDescent="0.3">
      <c r="A627" t="s">
        <v>171</v>
      </c>
      <c r="B627">
        <v>2023</v>
      </c>
      <c r="C627" s="3">
        <v>726696147000</v>
      </c>
      <c r="D627" s="3">
        <v>105547134000</v>
      </c>
      <c r="E627" s="3">
        <v>5423799394000</v>
      </c>
      <c r="F627" s="3">
        <v>1613998990000</v>
      </c>
      <c r="G627" s="3">
        <v>2965522409000</v>
      </c>
      <c r="H627" s="3">
        <v>1689684412000</v>
      </c>
      <c r="I627" s="3">
        <v>2458241414000</v>
      </c>
      <c r="J627" s="3">
        <v>1011718966000</v>
      </c>
      <c r="K627" s="3">
        <v>-75685422000</v>
      </c>
      <c r="M627" s="3">
        <v>4007082262000</v>
      </c>
      <c r="N627" s="3">
        <v>451789538000</v>
      </c>
      <c r="O627" s="3">
        <v>1492708103000</v>
      </c>
      <c r="P627">
        <f t="shared" si="152"/>
        <v>2.2873103494869493</v>
      </c>
      <c r="Q627">
        <f t="shared" si="153"/>
        <v>0</v>
      </c>
      <c r="R627" t="str">
        <f t="shared" si="144"/>
        <v>Grey Area</v>
      </c>
      <c r="S627">
        <f t="shared" si="154"/>
        <v>-1.3954318089958473E-2</v>
      </c>
      <c r="T627">
        <f t="shared" si="155"/>
        <v>0.18653325694884651</v>
      </c>
      <c r="U627">
        <f t="shared" si="156"/>
        <v>0.13398285854817882</v>
      </c>
      <c r="V627">
        <f t="shared" si="157"/>
        <v>0.82894042767626241</v>
      </c>
      <c r="X627" s="13">
        <f t="shared" si="145"/>
        <v>1.209825550167456</v>
      </c>
      <c r="Y627" s="10"/>
      <c r="Z627" s="10"/>
      <c r="AB627" s="10" t="str">
        <f t="shared" si="146"/>
        <v>Non-Distress</v>
      </c>
      <c r="AC627" s="10">
        <f t="shared" si="147"/>
        <v>0</v>
      </c>
      <c r="AE627" s="10">
        <f t="shared" si="148"/>
        <v>0</v>
      </c>
      <c r="AG627" s="13">
        <f t="shared" si="149"/>
        <v>0.5</v>
      </c>
      <c r="AH627" s="13">
        <f t="shared" si="150"/>
        <v>0.5</v>
      </c>
      <c r="AI627" s="10">
        <f t="shared" si="151"/>
        <v>0.25</v>
      </c>
    </row>
    <row r="628" spans="1:35" x14ac:dyDescent="0.3">
      <c r="A628" t="s">
        <v>171</v>
      </c>
      <c r="B628">
        <v>2022</v>
      </c>
      <c r="C628" s="3">
        <v>846445938000</v>
      </c>
      <c r="D628" s="3">
        <v>140604938000</v>
      </c>
      <c r="E628" s="3">
        <v>5224551902000</v>
      </c>
      <c r="F628" s="3">
        <v>1756866967000</v>
      </c>
      <c r="G628" s="3">
        <v>3044544460000</v>
      </c>
      <c r="H628" s="3">
        <v>1521098794000</v>
      </c>
      <c r="I628" s="3">
        <v>2179976035000</v>
      </c>
      <c r="J628" s="3">
        <v>734453587000</v>
      </c>
      <c r="K628" s="3">
        <v>235768173000</v>
      </c>
      <c r="M628" s="3">
        <v>3613176678000</v>
      </c>
      <c r="N628" s="3">
        <v>573973852000</v>
      </c>
      <c r="O628" s="3">
        <v>1829773417000</v>
      </c>
      <c r="P628">
        <f t="shared" si="152"/>
        <v>2.594871502899526</v>
      </c>
      <c r="Q628">
        <f t="shared" si="153"/>
        <v>0</v>
      </c>
      <c r="R628" t="str">
        <f t="shared" si="144"/>
        <v>Grey Area</v>
      </c>
      <c r="S628">
        <f t="shared" si="154"/>
        <v>4.5126965416832414E-2</v>
      </c>
      <c r="T628">
        <f t="shared" si="155"/>
        <v>0.14057733577473799</v>
      </c>
      <c r="U628">
        <f t="shared" si="156"/>
        <v>0.16201311689065118</v>
      </c>
      <c r="V628">
        <f t="shared" si="157"/>
        <v>0.71602699965169825</v>
      </c>
      <c r="X628" s="13">
        <f t="shared" si="145"/>
        <v>1.551043218206335</v>
      </c>
      <c r="Y628" s="10"/>
      <c r="Z628" s="10"/>
      <c r="AB628" s="10" t="str">
        <f t="shared" si="146"/>
        <v>Non-Distress</v>
      </c>
      <c r="AC628" s="10">
        <f t="shared" si="147"/>
        <v>0</v>
      </c>
      <c r="AE628" s="10">
        <f t="shared" si="148"/>
        <v>0</v>
      </c>
      <c r="AG628" s="13">
        <f t="shared" si="149"/>
        <v>0.5</v>
      </c>
      <c r="AH628" s="13">
        <f t="shared" si="150"/>
        <v>0.5</v>
      </c>
      <c r="AI628" s="10">
        <f t="shared" si="151"/>
        <v>0.25</v>
      </c>
    </row>
    <row r="629" spans="1:35" x14ac:dyDescent="0.3">
      <c r="A629" t="s">
        <v>172</v>
      </c>
      <c r="B629">
        <v>2025</v>
      </c>
      <c r="C629" s="3">
        <v>455386361687</v>
      </c>
      <c r="D629" s="3">
        <v>16614138658</v>
      </c>
      <c r="E629" s="3">
        <v>3519196159093</v>
      </c>
      <c r="F629" s="3">
        <v>1706914245281</v>
      </c>
      <c r="G629" s="3">
        <v>950709256988</v>
      </c>
      <c r="H629" s="3">
        <v>402048718063</v>
      </c>
      <c r="I629" s="3">
        <v>2568486902105</v>
      </c>
      <c r="J629" s="3">
        <v>2300401947566</v>
      </c>
      <c r="K629" s="3">
        <v>1304865527218</v>
      </c>
      <c r="M629" s="3">
        <v>2354358428860</v>
      </c>
      <c r="N629" s="3">
        <v>351151543489</v>
      </c>
      <c r="O629" s="3">
        <v>204627038750</v>
      </c>
      <c r="P629">
        <f t="shared" si="152"/>
        <v>8.2696314572972707</v>
      </c>
      <c r="Q629">
        <f t="shared" si="153"/>
        <v>0</v>
      </c>
      <c r="R629" t="str">
        <f t="shared" si="144"/>
        <v>Safe</v>
      </c>
      <c r="S629">
        <f t="shared" si="154"/>
        <v>0.37078510779981699</v>
      </c>
      <c r="T629">
        <f t="shared" si="155"/>
        <v>0.65367255576878125</v>
      </c>
      <c r="U629">
        <f t="shared" si="156"/>
        <v>0.12940067592150545</v>
      </c>
      <c r="V629">
        <f t="shared" si="157"/>
        <v>2.7016534058397412</v>
      </c>
      <c r="X629" s="13">
        <f t="shared" si="145"/>
        <v>5.1507199529116807</v>
      </c>
      <c r="Y629" s="10"/>
      <c r="Z629" s="10"/>
      <c r="AB629" s="10" t="str">
        <f t="shared" si="146"/>
        <v>Non-Distress</v>
      </c>
      <c r="AC629" s="10">
        <f t="shared" si="147"/>
        <v>0</v>
      </c>
      <c r="AE629" s="10">
        <f t="shared" si="148"/>
        <v>0</v>
      </c>
      <c r="AG629" s="13">
        <f t="shared" si="149"/>
        <v>0.5</v>
      </c>
      <c r="AH629" s="13">
        <f t="shared" si="150"/>
        <v>0.5</v>
      </c>
      <c r="AI629" s="10">
        <f t="shared" si="151"/>
        <v>0.25</v>
      </c>
    </row>
    <row r="630" spans="1:35" x14ac:dyDescent="0.3">
      <c r="A630" t="s">
        <v>172</v>
      </c>
      <c r="B630">
        <v>2024</v>
      </c>
      <c r="C630" s="3">
        <v>410858136703</v>
      </c>
      <c r="D630" s="3">
        <v>18848214718</v>
      </c>
      <c r="E630" s="3">
        <v>3451053901000</v>
      </c>
      <c r="F630" s="3">
        <v>1629576276567</v>
      </c>
      <c r="G630" s="3">
        <v>989206172452</v>
      </c>
      <c r="H630" s="3">
        <v>448729781768</v>
      </c>
      <c r="I630" s="3">
        <v>2461847728548</v>
      </c>
      <c r="J630" s="3">
        <v>2176290404077</v>
      </c>
      <c r="K630" s="3">
        <v>1180846494799</v>
      </c>
      <c r="M630" s="3">
        <v>2311035384234</v>
      </c>
      <c r="N630" s="3">
        <v>314633432509</v>
      </c>
      <c r="O630" s="3">
        <v>214348797577</v>
      </c>
      <c r="P630">
        <f t="shared" si="152"/>
        <v>7.7136245132571393</v>
      </c>
      <c r="Q630">
        <f t="shared" si="153"/>
        <v>0</v>
      </c>
      <c r="R630" t="str">
        <f t="shared" si="144"/>
        <v>Safe</v>
      </c>
      <c r="S630">
        <f t="shared" si="154"/>
        <v>0.34216982077759789</v>
      </c>
      <c r="T630">
        <f t="shared" si="155"/>
        <v>0.63061617306133178</v>
      </c>
      <c r="U630">
        <f t="shared" si="156"/>
        <v>0.11905294686470909</v>
      </c>
      <c r="V630">
        <f t="shared" si="157"/>
        <v>2.4887104398526771</v>
      </c>
      <c r="X630" s="13">
        <f t="shared" si="145"/>
        <v>4.841051506392688</v>
      </c>
      <c r="Y630" s="10"/>
      <c r="Z630" s="10"/>
      <c r="AB630" s="10" t="str">
        <f t="shared" si="146"/>
        <v>Non-Distress</v>
      </c>
      <c r="AC630" s="10">
        <f t="shared" si="147"/>
        <v>0</v>
      </c>
      <c r="AE630" s="10">
        <f t="shared" si="148"/>
        <v>0</v>
      </c>
      <c r="AG630" s="13">
        <f t="shared" si="149"/>
        <v>0.5</v>
      </c>
      <c r="AH630" s="13">
        <f t="shared" si="150"/>
        <v>0.5</v>
      </c>
      <c r="AI630" s="10">
        <f t="shared" si="151"/>
        <v>0.25</v>
      </c>
    </row>
    <row r="631" spans="1:35" x14ac:dyDescent="0.3">
      <c r="A631" t="s">
        <v>172</v>
      </c>
      <c r="B631">
        <v>2023</v>
      </c>
      <c r="C631" s="3">
        <v>325971475629</v>
      </c>
      <c r="D631" s="3">
        <v>20623878627</v>
      </c>
      <c r="E631" s="3">
        <v>3333890799976</v>
      </c>
      <c r="F631" s="3">
        <v>1460881909344</v>
      </c>
      <c r="G631" s="3">
        <v>982493481408</v>
      </c>
      <c r="H631" s="3">
        <v>400851025764</v>
      </c>
      <c r="I631" s="3">
        <v>2351397318568</v>
      </c>
      <c r="J631" s="3">
        <v>2078376971568</v>
      </c>
      <c r="K631" s="3">
        <v>1060030883580</v>
      </c>
      <c r="M631" s="3">
        <v>2125542963624</v>
      </c>
      <c r="N631" s="3">
        <v>242417754641</v>
      </c>
      <c r="O631" s="3">
        <v>245037441321</v>
      </c>
      <c r="P631">
        <f t="shared" si="152"/>
        <v>7.2881137273034824</v>
      </c>
      <c r="Q631">
        <f t="shared" si="153"/>
        <v>0</v>
      </c>
      <c r="R631" t="str">
        <f t="shared" si="144"/>
        <v>Safe</v>
      </c>
      <c r="S631">
        <f t="shared" si="154"/>
        <v>0.31795609009978099</v>
      </c>
      <c r="T631">
        <f t="shared" si="155"/>
        <v>0.62340883258172752</v>
      </c>
      <c r="U631">
        <f t="shared" si="156"/>
        <v>9.7775090783221399E-2</v>
      </c>
      <c r="V631">
        <f t="shared" si="157"/>
        <v>2.3932955923516559</v>
      </c>
      <c r="X631" s="13">
        <f t="shared" si="145"/>
        <v>4.5624083667980369</v>
      </c>
      <c r="Y631" s="10"/>
      <c r="Z631" s="10"/>
      <c r="AB631" s="10" t="str">
        <f t="shared" si="146"/>
        <v>Non-Distress</v>
      </c>
      <c r="AC631" s="10">
        <f t="shared" si="147"/>
        <v>0</v>
      </c>
      <c r="AE631" s="10">
        <f t="shared" si="148"/>
        <v>0</v>
      </c>
      <c r="AG631" s="13">
        <f t="shared" si="149"/>
        <v>0.5</v>
      </c>
      <c r="AH631" s="13">
        <f t="shared" si="150"/>
        <v>0.5</v>
      </c>
      <c r="AI631" s="10">
        <f t="shared" si="151"/>
        <v>0.25</v>
      </c>
    </row>
    <row r="632" spans="1:35" x14ac:dyDescent="0.3">
      <c r="A632" t="s">
        <v>172</v>
      </c>
      <c r="B632">
        <v>2022</v>
      </c>
      <c r="C632" s="3">
        <v>416323363971</v>
      </c>
      <c r="D632" s="3">
        <v>20087004206</v>
      </c>
      <c r="E632" s="3">
        <v>3304972191991</v>
      </c>
      <c r="F632" s="3">
        <v>1528687046125</v>
      </c>
      <c r="G632" s="3">
        <v>1002210741085</v>
      </c>
      <c r="H632" s="3">
        <v>427991220891</v>
      </c>
      <c r="I632" s="3">
        <v>2302761450906</v>
      </c>
      <c r="J632" s="3">
        <v>2032039216927</v>
      </c>
      <c r="K632" s="3">
        <v>1100695825234</v>
      </c>
      <c r="M632" s="3">
        <v>2086058728390</v>
      </c>
      <c r="N632" s="3">
        <v>313410762339</v>
      </c>
      <c r="O632" s="3">
        <v>258590995933</v>
      </c>
      <c r="P632">
        <f t="shared" si="152"/>
        <v>7.4482226964289646</v>
      </c>
      <c r="Q632">
        <f t="shared" si="153"/>
        <v>0</v>
      </c>
      <c r="R632" t="str">
        <f t="shared" si="144"/>
        <v>Safe</v>
      </c>
      <c r="S632">
        <f t="shared" si="154"/>
        <v>0.33304238622683013</v>
      </c>
      <c r="T632">
        <f t="shared" si="155"/>
        <v>0.61484306035956315</v>
      </c>
      <c r="U632">
        <f t="shared" si="156"/>
        <v>0.12596879482976711</v>
      </c>
      <c r="V632">
        <f t="shared" si="157"/>
        <v>2.2976818711930935</v>
      </c>
      <c r="X632" s="13">
        <f t="shared" si="145"/>
        <v>4.7588147681512929</v>
      </c>
      <c r="Y632" s="10"/>
      <c r="Z632" s="10"/>
      <c r="AB632" s="10" t="str">
        <f t="shared" si="146"/>
        <v>Non-Distress</v>
      </c>
      <c r="AC632" s="10">
        <f t="shared" si="147"/>
        <v>0</v>
      </c>
      <c r="AE632" s="10">
        <f t="shared" si="148"/>
        <v>0</v>
      </c>
      <c r="AG632" s="13">
        <f t="shared" si="149"/>
        <v>0.5</v>
      </c>
      <c r="AH632" s="13">
        <f t="shared" si="150"/>
        <v>0.5</v>
      </c>
      <c r="AI632" s="10">
        <f t="shared" si="151"/>
        <v>0.25</v>
      </c>
    </row>
    <row r="633" spans="1:35" x14ac:dyDescent="0.3">
      <c r="A633" t="s">
        <v>173</v>
      </c>
      <c r="B633">
        <v>2025</v>
      </c>
      <c r="C633" s="3">
        <v>1532609000</v>
      </c>
      <c r="D633" s="3">
        <v>238400000</v>
      </c>
      <c r="E633" s="3">
        <v>12322724000</v>
      </c>
      <c r="F633" s="3">
        <v>5433745000</v>
      </c>
      <c r="G633" s="3">
        <v>7665809000</v>
      </c>
      <c r="H633" s="3">
        <v>2184847000</v>
      </c>
      <c r="I633" s="3">
        <v>3729646000</v>
      </c>
      <c r="J633" s="3">
        <v>1708337000</v>
      </c>
      <c r="K633" s="3">
        <v>3248898000</v>
      </c>
      <c r="M633" s="3">
        <v>7020007000</v>
      </c>
      <c r="N633" s="3">
        <v>1090091000</v>
      </c>
      <c r="O633" s="3">
        <v>5414230000</v>
      </c>
      <c r="P633">
        <f t="shared" si="152"/>
        <v>3.5281343267963554</v>
      </c>
      <c r="Q633">
        <f t="shared" si="153"/>
        <v>0</v>
      </c>
      <c r="R633" t="str">
        <f t="shared" si="144"/>
        <v>Safe</v>
      </c>
      <c r="S633">
        <f t="shared" si="154"/>
        <v>0.26365095899250846</v>
      </c>
      <c r="T633">
        <f t="shared" si="155"/>
        <v>0.1386330652216182</v>
      </c>
      <c r="U633">
        <f t="shared" si="156"/>
        <v>0.12437258190640316</v>
      </c>
      <c r="V633">
        <f t="shared" si="157"/>
        <v>0.48652999311618644</v>
      </c>
      <c r="X633" s="13">
        <f t="shared" si="145"/>
        <v>2.6883403853179617</v>
      </c>
      <c r="Y633" s="10"/>
      <c r="Z633" s="10"/>
      <c r="AB633" s="10" t="str">
        <f t="shared" si="146"/>
        <v>Non-Distress</v>
      </c>
      <c r="AC633" s="10">
        <f t="shared" si="147"/>
        <v>0</v>
      </c>
      <c r="AE633" s="10">
        <f t="shared" si="148"/>
        <v>0</v>
      </c>
      <c r="AG633" s="13">
        <f t="shared" si="149"/>
        <v>0.5</v>
      </c>
      <c r="AH633" s="13">
        <f t="shared" si="150"/>
        <v>0.5</v>
      </c>
      <c r="AI633" s="10">
        <f t="shared" si="151"/>
        <v>0.25</v>
      </c>
    </row>
    <row r="634" spans="1:35" x14ac:dyDescent="0.3">
      <c r="A634" t="s">
        <v>173</v>
      </c>
      <c r="B634">
        <v>2024</v>
      </c>
      <c r="C634" s="3">
        <v>44897000</v>
      </c>
      <c r="D634" s="3">
        <v>135836000</v>
      </c>
      <c r="E634" s="3">
        <v>5663616000</v>
      </c>
      <c r="F634" s="3">
        <v>2481809000</v>
      </c>
      <c r="G634" s="3">
        <v>2726157000</v>
      </c>
      <c r="H634" s="3">
        <v>821185000</v>
      </c>
      <c r="I634" s="3">
        <v>2638165000</v>
      </c>
      <c r="J634" s="3">
        <v>671846000</v>
      </c>
      <c r="K634" s="3">
        <v>1660624000</v>
      </c>
      <c r="M634" s="3">
        <v>1785364000</v>
      </c>
      <c r="N634" s="3">
        <v>-68610000</v>
      </c>
      <c r="O634" s="3">
        <v>2000616000</v>
      </c>
      <c r="P634">
        <f t="shared" si="152"/>
        <v>3.3795496815827715</v>
      </c>
      <c r="Q634">
        <f t="shared" si="153"/>
        <v>0</v>
      </c>
      <c r="R634" t="str">
        <f t="shared" si="144"/>
        <v>Safe</v>
      </c>
      <c r="S634">
        <f t="shared" si="154"/>
        <v>0.29320914412276539</v>
      </c>
      <c r="T634">
        <f t="shared" si="155"/>
        <v>0.118624920898592</v>
      </c>
      <c r="U634">
        <f t="shared" si="156"/>
        <v>7.9272676678644877E-3</v>
      </c>
      <c r="V634">
        <f t="shared" si="157"/>
        <v>0.96772306217140103</v>
      </c>
      <c r="X634" s="13">
        <f t="shared" si="145"/>
        <v>2.260806527058699</v>
      </c>
      <c r="Y634" s="10"/>
      <c r="Z634" s="10"/>
      <c r="AB634" s="10" t="str">
        <f t="shared" si="146"/>
        <v>Non-Distress</v>
      </c>
      <c r="AC634" s="10">
        <f t="shared" si="147"/>
        <v>0</v>
      </c>
      <c r="AE634" s="10">
        <f t="shared" si="148"/>
        <v>0</v>
      </c>
      <c r="AG634" s="13">
        <f t="shared" si="149"/>
        <v>0.5</v>
      </c>
      <c r="AH634" s="13">
        <f t="shared" si="150"/>
        <v>0.5</v>
      </c>
      <c r="AI634" s="10">
        <f t="shared" si="151"/>
        <v>0.25</v>
      </c>
    </row>
    <row r="635" spans="1:35" x14ac:dyDescent="0.3">
      <c r="A635" t="s">
        <v>173</v>
      </c>
      <c r="B635">
        <v>2023</v>
      </c>
      <c r="C635" s="3">
        <v>61069000</v>
      </c>
      <c r="D635" s="3">
        <v>115633000</v>
      </c>
      <c r="E635" s="3">
        <v>5614452000</v>
      </c>
      <c r="F635" s="3">
        <v>2837420000</v>
      </c>
      <c r="G635" s="3">
        <v>2620552000</v>
      </c>
      <c r="H635" s="3">
        <v>817322000</v>
      </c>
      <c r="I635" s="3">
        <v>2739132000</v>
      </c>
      <c r="J635" s="3">
        <v>771521000</v>
      </c>
      <c r="K635" s="3">
        <v>2020098000</v>
      </c>
      <c r="M635" s="3">
        <v>2159932000</v>
      </c>
      <c r="N635" s="3">
        <v>-33576000</v>
      </c>
      <c r="O635" s="3">
        <v>1740701000</v>
      </c>
      <c r="P635">
        <f t="shared" si="152"/>
        <v>3.978895236817598</v>
      </c>
      <c r="Q635">
        <f t="shared" si="153"/>
        <v>0</v>
      </c>
      <c r="R635" t="str">
        <f t="shared" si="144"/>
        <v>Safe</v>
      </c>
      <c r="S635">
        <f t="shared" si="154"/>
        <v>0.35980323636215966</v>
      </c>
      <c r="T635">
        <f t="shared" si="155"/>
        <v>0.13741697319702795</v>
      </c>
      <c r="U635">
        <f t="shared" si="156"/>
        <v>1.0877107863777265E-2</v>
      </c>
      <c r="V635">
        <f t="shared" si="157"/>
        <v>1.0452500083951779</v>
      </c>
      <c r="X635" s="13">
        <f t="shared" si="145"/>
        <v>2.7470194346301913</v>
      </c>
      <c r="Y635" s="10"/>
      <c r="Z635" s="10"/>
      <c r="AB635" s="10" t="str">
        <f t="shared" si="146"/>
        <v>Non-Distress</v>
      </c>
      <c r="AC635" s="10">
        <f t="shared" si="147"/>
        <v>0</v>
      </c>
      <c r="AE635" s="10">
        <f t="shared" si="148"/>
        <v>0</v>
      </c>
      <c r="AG635" s="13">
        <f t="shared" si="149"/>
        <v>0.5</v>
      </c>
      <c r="AH635" s="13">
        <f t="shared" si="150"/>
        <v>0.5</v>
      </c>
      <c r="AI635" s="10">
        <f t="shared" si="151"/>
        <v>0.25</v>
      </c>
    </row>
    <row r="636" spans="1:35" x14ac:dyDescent="0.3">
      <c r="A636" t="s">
        <v>173</v>
      </c>
      <c r="B636">
        <v>2022</v>
      </c>
      <c r="C636" s="3">
        <v>-105863000</v>
      </c>
      <c r="D636" s="3">
        <v>70612000</v>
      </c>
      <c r="E636" s="3">
        <v>4929871000</v>
      </c>
      <c r="F636" s="3">
        <v>2281544000</v>
      </c>
      <c r="G636" s="3">
        <v>2120765000</v>
      </c>
      <c r="H636" s="3">
        <v>607683000</v>
      </c>
      <c r="I636" s="3">
        <v>2805474000</v>
      </c>
      <c r="J636" s="3">
        <v>835097000</v>
      </c>
      <c r="K636" s="3">
        <v>1673861000</v>
      </c>
      <c r="M636" s="3">
        <v>2384591000</v>
      </c>
      <c r="N636" s="3">
        <v>-149538000</v>
      </c>
      <c r="O636" s="3">
        <v>1471083000</v>
      </c>
      <c r="P636">
        <f t="shared" si="152"/>
        <v>4.0242731968414445</v>
      </c>
      <c r="Q636">
        <f t="shared" si="153"/>
        <v>0</v>
      </c>
      <c r="R636" t="str">
        <f t="shared" si="144"/>
        <v>Safe</v>
      </c>
      <c r="S636">
        <f t="shared" si="154"/>
        <v>0.33953444217911583</v>
      </c>
      <c r="T636">
        <f t="shared" si="155"/>
        <v>0.16939530466415856</v>
      </c>
      <c r="U636">
        <f t="shared" si="156"/>
        <v>-2.1473787042297861E-2</v>
      </c>
      <c r="V636">
        <f t="shared" si="157"/>
        <v>1.3228594398719331</v>
      </c>
      <c r="X636" s="13">
        <f t="shared" si="145"/>
        <v>2.583383733663505</v>
      </c>
      <c r="Y636" s="10"/>
      <c r="Z636" s="10"/>
      <c r="AB636" s="10" t="str">
        <f t="shared" si="146"/>
        <v>Non-Distress</v>
      </c>
      <c r="AC636" s="10">
        <f t="shared" si="147"/>
        <v>0</v>
      </c>
      <c r="AE636" s="10">
        <f t="shared" si="148"/>
        <v>0</v>
      </c>
      <c r="AG636" s="13">
        <f t="shared" si="149"/>
        <v>0.5</v>
      </c>
      <c r="AH636" s="13">
        <f t="shared" si="150"/>
        <v>0.5</v>
      </c>
      <c r="AI636" s="10">
        <f t="shared" si="151"/>
        <v>0.25</v>
      </c>
    </row>
    <row r="637" spans="1:35" x14ac:dyDescent="0.3">
      <c r="A637" t="s">
        <v>174</v>
      </c>
      <c r="B637">
        <v>2025</v>
      </c>
      <c r="C637" s="3">
        <v>157053092738</v>
      </c>
      <c r="D637" s="3">
        <v>139239243054</v>
      </c>
      <c r="E637" s="3">
        <v>3289827867815</v>
      </c>
      <c r="F637" s="3">
        <v>1886097367557</v>
      </c>
      <c r="G637" s="3">
        <v>2323817104268</v>
      </c>
      <c r="H637" s="3">
        <v>1990197578016</v>
      </c>
      <c r="I637" s="3">
        <v>966009777307</v>
      </c>
      <c r="J637" s="3">
        <v>-42181828948</v>
      </c>
      <c r="K637" s="3">
        <v>-104100210459</v>
      </c>
      <c r="M637" s="3">
        <v>3812557187886</v>
      </c>
      <c r="N637" s="3">
        <v>11325989556</v>
      </c>
      <c r="O637" s="3">
        <v>1815154511634</v>
      </c>
      <c r="P637">
        <f t="shared" si="152"/>
        <v>0.50791279916556786</v>
      </c>
      <c r="Q637">
        <f t="shared" si="153"/>
        <v>1</v>
      </c>
      <c r="R637" t="str">
        <f t="shared" si="144"/>
        <v>Distress</v>
      </c>
      <c r="S637">
        <f t="shared" si="154"/>
        <v>-3.1643056914141855E-2</v>
      </c>
      <c r="T637">
        <f t="shared" si="155"/>
        <v>-1.282189544342812E-2</v>
      </c>
      <c r="U637">
        <f t="shared" si="156"/>
        <v>4.7739000047534313E-2</v>
      </c>
      <c r="V637">
        <f t="shared" si="157"/>
        <v>0.41569957271284141</v>
      </c>
      <c r="X637" s="13">
        <f t="shared" si="145"/>
        <v>1.3361675464231434E-2</v>
      </c>
      <c r="Y637" s="10"/>
      <c r="Z637" s="10"/>
      <c r="AB637" s="10" t="str">
        <f t="shared" si="146"/>
        <v>Non-Distress</v>
      </c>
      <c r="AC637" s="10">
        <f t="shared" si="147"/>
        <v>0</v>
      </c>
      <c r="AE637" s="10">
        <f t="shared" si="148"/>
        <v>1</v>
      </c>
      <c r="AG637" s="13">
        <f t="shared" si="149"/>
        <v>0.7310585786300049</v>
      </c>
      <c r="AH637" s="13">
        <f t="shared" si="150"/>
        <v>-0.2689414213699951</v>
      </c>
      <c r="AI637" s="10">
        <f t="shared" si="151"/>
        <v>0.19661193324148185</v>
      </c>
    </row>
    <row r="638" spans="1:35" x14ac:dyDescent="0.3">
      <c r="A638" t="s">
        <v>174</v>
      </c>
      <c r="B638">
        <v>2024</v>
      </c>
      <c r="C638" s="3">
        <v>66038752167</v>
      </c>
      <c r="D638" s="3">
        <v>148006466041</v>
      </c>
      <c r="E638" s="3">
        <v>3329874930800</v>
      </c>
      <c r="F638" s="3">
        <v>1848371933786</v>
      </c>
      <c r="G638" s="3">
        <v>2375131130336</v>
      </c>
      <c r="H638" s="3">
        <v>2349891564422</v>
      </c>
      <c r="I638" s="3">
        <v>954742796308</v>
      </c>
      <c r="J638" s="3">
        <v>-53448809947</v>
      </c>
      <c r="K638" s="3">
        <v>-501519630636</v>
      </c>
      <c r="M638" s="3">
        <v>5178832985240</v>
      </c>
      <c r="N638" s="3">
        <v>-64818911680</v>
      </c>
      <c r="O638" s="3">
        <v>1716974130195</v>
      </c>
      <c r="P638">
        <f t="shared" si="152"/>
        <v>-0.48499703801604654</v>
      </c>
      <c r="Q638">
        <f t="shared" si="153"/>
        <v>1</v>
      </c>
      <c r="R638" t="str">
        <f t="shared" si="144"/>
        <v>Distress</v>
      </c>
      <c r="S638">
        <f t="shared" si="154"/>
        <v>-0.1506121524256499</v>
      </c>
      <c r="T638">
        <f t="shared" si="155"/>
        <v>-1.6051296537482555E-2</v>
      </c>
      <c r="U638">
        <f t="shared" si="156"/>
        <v>1.9832201971361801E-2</v>
      </c>
      <c r="V638">
        <f t="shared" si="157"/>
        <v>0.40197477272462701</v>
      </c>
      <c r="X638" s="13">
        <f t="shared" si="145"/>
        <v>-0.85994085791738228</v>
      </c>
      <c r="Y638" s="10"/>
      <c r="Z638" s="10"/>
      <c r="AB638" s="10" t="str">
        <f t="shared" si="146"/>
        <v>Distress</v>
      </c>
      <c r="AC638" s="10">
        <f t="shared" si="147"/>
        <v>1</v>
      </c>
      <c r="AE638" s="10">
        <f t="shared" si="148"/>
        <v>1</v>
      </c>
      <c r="AG638" s="13">
        <f t="shared" si="149"/>
        <v>0.7310585786300049</v>
      </c>
      <c r="AH638" s="13">
        <f t="shared" si="150"/>
        <v>-0.2689414213699951</v>
      </c>
      <c r="AI638" s="10">
        <f t="shared" si="151"/>
        <v>0.19661193324148185</v>
      </c>
    </row>
    <row r="639" spans="1:35" x14ac:dyDescent="0.3">
      <c r="A639" t="s">
        <v>174</v>
      </c>
      <c r="B639">
        <v>2023</v>
      </c>
      <c r="C639" s="3">
        <v>146466224804</v>
      </c>
      <c r="D639" s="3">
        <v>144236355338</v>
      </c>
      <c r="E639" s="3">
        <v>3244327351262</v>
      </c>
      <c r="F639" s="3">
        <v>1843035238496</v>
      </c>
      <c r="G639" s="3">
        <v>2226756045074</v>
      </c>
      <c r="H639" s="3">
        <v>2163187248862</v>
      </c>
      <c r="I639" s="3">
        <v>1017570284541</v>
      </c>
      <c r="J639" s="3">
        <v>9689942211</v>
      </c>
      <c r="K639" s="3">
        <v>-320152010366</v>
      </c>
      <c r="M639" s="3">
        <v>5874659885532</v>
      </c>
      <c r="N639" s="3">
        <v>1556319627</v>
      </c>
      <c r="O639" s="3">
        <v>1777110635153</v>
      </c>
      <c r="P639">
        <f t="shared" si="152"/>
        <v>0.14559196216177211</v>
      </c>
      <c r="Q639">
        <f t="shared" si="153"/>
        <v>1</v>
      </c>
      <c r="R639" t="str">
        <f t="shared" si="144"/>
        <v>Distress</v>
      </c>
      <c r="S639">
        <f t="shared" si="154"/>
        <v>-9.8680550913416654E-2</v>
      </c>
      <c r="T639">
        <f t="shared" si="155"/>
        <v>2.9867338162503057E-3</v>
      </c>
      <c r="U639">
        <f t="shared" si="156"/>
        <v>4.5145328737257844E-2</v>
      </c>
      <c r="V639">
        <f t="shared" si="157"/>
        <v>0.45697429980803483</v>
      </c>
      <c r="X639" s="13">
        <f t="shared" si="145"/>
        <v>-0.35532725204520232</v>
      </c>
      <c r="Y639" s="10"/>
      <c r="Z639" s="10"/>
      <c r="AB639" s="10" t="str">
        <f t="shared" si="146"/>
        <v>Distress</v>
      </c>
      <c r="AC639" s="10">
        <f t="shared" si="147"/>
        <v>1</v>
      </c>
      <c r="AE639" s="10">
        <f t="shared" si="148"/>
        <v>1</v>
      </c>
      <c r="AG639" s="13">
        <f t="shared" si="149"/>
        <v>0.7310585786300049</v>
      </c>
      <c r="AH639" s="13">
        <f t="shared" si="150"/>
        <v>-0.2689414213699951</v>
      </c>
      <c r="AI639" s="10">
        <f t="shared" si="151"/>
        <v>0.19661193324148185</v>
      </c>
    </row>
    <row r="640" spans="1:35" x14ac:dyDescent="0.3">
      <c r="A640" t="s">
        <v>174</v>
      </c>
      <c r="B640">
        <v>2022</v>
      </c>
      <c r="C640" s="3">
        <v>171628820762</v>
      </c>
      <c r="D640" s="3">
        <v>100375041626</v>
      </c>
      <c r="E640" s="3">
        <v>3527440735311</v>
      </c>
      <c r="F640" s="3">
        <v>2325072196266</v>
      </c>
      <c r="G640" s="3">
        <v>2500966701681</v>
      </c>
      <c r="H640" s="3">
        <v>2408092701717</v>
      </c>
      <c r="I640" s="3">
        <v>1026473032625</v>
      </c>
      <c r="J640" s="3">
        <v>34483515695</v>
      </c>
      <c r="K640" s="3">
        <v>-83020505451</v>
      </c>
      <c r="M640" s="3">
        <v>3612965915354</v>
      </c>
      <c r="N640" s="3">
        <v>49687918446</v>
      </c>
      <c r="O640" s="3">
        <v>1645063131832</v>
      </c>
      <c r="P640">
        <f t="shared" si="152"/>
        <v>0.63539130629177698</v>
      </c>
      <c r="Q640">
        <f t="shared" si="153"/>
        <v>1</v>
      </c>
      <c r="R640" t="str">
        <f t="shared" si="144"/>
        <v>Distress</v>
      </c>
      <c r="S640">
        <f t="shared" si="154"/>
        <v>-2.3535620207572508E-2</v>
      </c>
      <c r="T640">
        <f t="shared" si="155"/>
        <v>9.7757888176000021E-3</v>
      </c>
      <c r="U640">
        <f t="shared" si="156"/>
        <v>4.8655337861223683E-2</v>
      </c>
      <c r="V640">
        <f t="shared" si="157"/>
        <v>0.41043050750538435</v>
      </c>
      <c r="X640" s="13">
        <f t="shared" si="145"/>
        <v>0.14118659086789931</v>
      </c>
      <c r="Y640" s="10"/>
      <c r="Z640" s="10"/>
      <c r="AB640" s="10" t="str">
        <f t="shared" si="146"/>
        <v>Non-Distress</v>
      </c>
      <c r="AC640" s="10">
        <f t="shared" si="147"/>
        <v>0</v>
      </c>
      <c r="AE640" s="10">
        <f t="shared" si="148"/>
        <v>1</v>
      </c>
      <c r="AG640" s="13">
        <f t="shared" si="149"/>
        <v>0.7310585786300049</v>
      </c>
      <c r="AH640" s="13">
        <f t="shared" si="150"/>
        <v>-0.2689414213699951</v>
      </c>
      <c r="AI640" s="10">
        <f t="shared" si="151"/>
        <v>0.19661193324148185</v>
      </c>
    </row>
    <row r="641" spans="1:35" x14ac:dyDescent="0.3">
      <c r="A641" t="s">
        <v>175</v>
      </c>
      <c r="B641">
        <v>2025</v>
      </c>
      <c r="C641" s="3">
        <v>86982000000</v>
      </c>
      <c r="D641" s="3">
        <v>115294000000</v>
      </c>
      <c r="E641" s="3">
        <v>5448479000000</v>
      </c>
      <c r="F641" s="3">
        <v>1982888000000</v>
      </c>
      <c r="G641" s="3">
        <v>2742964000000</v>
      </c>
      <c r="H641" s="3">
        <v>1793525000000</v>
      </c>
      <c r="I641" s="3">
        <v>2539187000000</v>
      </c>
      <c r="J641" s="3">
        <v>1092565000000</v>
      </c>
      <c r="K641" s="3">
        <v>189363000000</v>
      </c>
      <c r="M641" s="3">
        <v>3741011000000</v>
      </c>
      <c r="N641" s="3">
        <v>-36829000000</v>
      </c>
      <c r="O641" s="3">
        <v>2068835000000</v>
      </c>
      <c r="P641">
        <f t="shared" si="152"/>
        <v>1.9609866702472378</v>
      </c>
      <c r="Q641">
        <f t="shared" si="153"/>
        <v>0</v>
      </c>
      <c r="R641" t="str">
        <f t="shared" si="144"/>
        <v>Grey Area</v>
      </c>
      <c r="S641">
        <f t="shared" si="154"/>
        <v>3.4755204158812031E-2</v>
      </c>
      <c r="T641">
        <f t="shared" si="155"/>
        <v>0.20052660568206282</v>
      </c>
      <c r="U641">
        <f t="shared" si="156"/>
        <v>1.5964455401222984E-2</v>
      </c>
      <c r="V641">
        <f t="shared" si="157"/>
        <v>0.92570919632922632</v>
      </c>
      <c r="X641" s="13">
        <f t="shared" si="145"/>
        <v>0.98666317649637791</v>
      </c>
      <c r="Y641" s="10"/>
      <c r="Z641" s="10"/>
      <c r="AB641" s="10" t="str">
        <f t="shared" si="146"/>
        <v>Non-Distress</v>
      </c>
      <c r="AC641" s="10">
        <f t="shared" si="147"/>
        <v>0</v>
      </c>
      <c r="AE641" s="10">
        <f t="shared" si="148"/>
        <v>0</v>
      </c>
      <c r="AG641" s="13">
        <f t="shared" si="149"/>
        <v>0.5</v>
      </c>
      <c r="AH641" s="13">
        <f t="shared" si="150"/>
        <v>0.5</v>
      </c>
      <c r="AI641" s="10">
        <f t="shared" si="151"/>
        <v>0.25</v>
      </c>
    </row>
    <row r="642" spans="1:35" x14ac:dyDescent="0.3">
      <c r="A642" t="s">
        <v>175</v>
      </c>
      <c r="B642">
        <v>2024</v>
      </c>
      <c r="C642" s="3">
        <v>197784000000</v>
      </c>
      <c r="D642" s="3">
        <v>122306000000</v>
      </c>
      <c r="E642" s="3">
        <v>5344871000000</v>
      </c>
      <c r="F642" s="3">
        <v>1753904000000</v>
      </c>
      <c r="G642" s="3">
        <v>2669943000000</v>
      </c>
      <c r="H642" s="3">
        <v>1823797000000</v>
      </c>
      <c r="I642" s="3">
        <v>2495974000000</v>
      </c>
      <c r="J642" s="3">
        <v>1144434000000</v>
      </c>
      <c r="K642" s="3">
        <v>-69893000000</v>
      </c>
      <c r="M642" s="3">
        <v>3423935000000</v>
      </c>
      <c r="N642" s="3">
        <v>32459000000</v>
      </c>
      <c r="O642" s="3">
        <v>1897748000000</v>
      </c>
      <c r="P642">
        <f t="shared" si="152"/>
        <v>1.8424960742858483</v>
      </c>
      <c r="Q642">
        <f t="shared" si="153"/>
        <v>0</v>
      </c>
      <c r="R642" t="str">
        <f t="shared" ref="R642:R704" si="158">IF(P642&lt;1.1, "Distress", IF(P642&lt;=2.6, "Grey Area", "Safe"))</f>
        <v>Grey Area</v>
      </c>
      <c r="S642">
        <f t="shared" si="154"/>
        <v>-1.3076648622576672E-2</v>
      </c>
      <c r="T642">
        <f t="shared" si="155"/>
        <v>0.21411817048531198</v>
      </c>
      <c r="U642">
        <f t="shared" si="156"/>
        <v>3.7004447815485161E-2</v>
      </c>
      <c r="V642">
        <f t="shared" si="157"/>
        <v>0.9348416801407371</v>
      </c>
      <c r="X642" s="13">
        <f t="shared" ref="X642:X704" si="159">(S642 * $T$729) + (T642 * $T$730) + (U642 * $T$731) + (V642 * $T$732)</f>
        <v>0.84103472672577562</v>
      </c>
      <c r="Y642" s="10"/>
      <c r="Z642" s="10"/>
      <c r="AB642" s="10" t="str">
        <f t="shared" si="146"/>
        <v>Non-Distress</v>
      </c>
      <c r="AC642" s="10">
        <f t="shared" si="147"/>
        <v>0</v>
      </c>
      <c r="AE642" s="10">
        <f t="shared" si="148"/>
        <v>0</v>
      </c>
      <c r="AG642" s="13">
        <f t="shared" si="149"/>
        <v>0.5</v>
      </c>
      <c r="AH642" s="13">
        <f t="shared" si="150"/>
        <v>0.5</v>
      </c>
      <c r="AI642" s="10">
        <f t="shared" si="151"/>
        <v>0.25</v>
      </c>
    </row>
    <row r="643" spans="1:35" x14ac:dyDescent="0.3">
      <c r="A643" t="s">
        <v>175</v>
      </c>
      <c r="B643">
        <v>2023</v>
      </c>
      <c r="C643" s="3">
        <v>-69291000000</v>
      </c>
      <c r="D643" s="3">
        <v>140926000000</v>
      </c>
      <c r="E643" s="3">
        <v>5044856000000</v>
      </c>
      <c r="F643" s="3">
        <v>1484505000000</v>
      </c>
      <c r="G643" s="3">
        <v>2520439000000</v>
      </c>
      <c r="H643" s="3">
        <v>1559089000000</v>
      </c>
      <c r="I643" s="3">
        <v>2362910000000</v>
      </c>
      <c r="J643" s="3">
        <v>1111975000000</v>
      </c>
      <c r="K643" s="3">
        <v>-74584000000</v>
      </c>
      <c r="M643" s="3">
        <v>2997464000000</v>
      </c>
      <c r="N643" s="3">
        <v>-243549000000</v>
      </c>
      <c r="O643" s="3">
        <v>1896447000000</v>
      </c>
      <c r="P643">
        <f t="shared" si="152"/>
        <v>1.5136524771292992</v>
      </c>
      <c r="Q643">
        <f t="shared" si="153"/>
        <v>0</v>
      </c>
      <c r="R643" t="str">
        <f t="shared" si="158"/>
        <v>Grey Area</v>
      </c>
      <c r="S643">
        <f t="shared" si="154"/>
        <v>-1.4784168269619589E-2</v>
      </c>
      <c r="T643">
        <f t="shared" si="155"/>
        <v>0.22041758971911191</v>
      </c>
      <c r="U643">
        <f t="shared" si="156"/>
        <v>-1.373498074077833E-2</v>
      </c>
      <c r="V643">
        <f t="shared" si="157"/>
        <v>0.93749938006831346</v>
      </c>
      <c r="X643" s="13">
        <f t="shared" si="159"/>
        <v>0.60591601724536071</v>
      </c>
      <c r="Y643" s="10"/>
      <c r="Z643" s="10"/>
      <c r="AB643" s="10" t="str">
        <f t="shared" ref="AB643:AB704" si="160">IF(X643 &lt; AA643, "Distress", "Non-Distress")</f>
        <v>Non-Distress</v>
      </c>
      <c r="AC643" s="10">
        <f t="shared" ref="AC643:AC704" si="161">IF(X643 &lt; AA643, 1, 0)</f>
        <v>0</v>
      </c>
      <c r="AE643" s="10">
        <f t="shared" ref="AE643:AE704" si="162">IF(VALUE(TRIM(P643))&lt;=1.1, 1, 0)</f>
        <v>0</v>
      </c>
      <c r="AG643" s="13">
        <f t="shared" ref="AG643:AG704" si="163">1/(1+EXP(-Q643))</f>
        <v>0.5</v>
      </c>
      <c r="AH643" s="13">
        <f t="shared" ref="AH643:AH704" si="164">AG643-Q643</f>
        <v>0.5</v>
      </c>
      <c r="AI643" s="10">
        <f t="shared" ref="AI643:AI704" si="165">AG643*(1-AG643)</f>
        <v>0.25</v>
      </c>
    </row>
    <row r="644" spans="1:35" x14ac:dyDescent="0.3">
      <c r="A644" t="s">
        <v>175</v>
      </c>
      <c r="B644">
        <v>2022</v>
      </c>
      <c r="C644" s="3">
        <v>225578000000</v>
      </c>
      <c r="D644" s="3">
        <v>57588000000</v>
      </c>
      <c r="E644" s="3">
        <v>5777073000000</v>
      </c>
      <c r="F644" s="3">
        <v>2006812000000</v>
      </c>
      <c r="G644" s="3">
        <v>2928515000000</v>
      </c>
      <c r="H644" s="3">
        <v>2020612000000</v>
      </c>
      <c r="I644" s="3">
        <v>2688806000000</v>
      </c>
      <c r="J644" s="3">
        <v>1370564000000</v>
      </c>
      <c r="K644" s="3">
        <v>-13800000000</v>
      </c>
      <c r="M644" s="3">
        <v>3819385000000</v>
      </c>
      <c r="N644" s="3">
        <v>137038000000</v>
      </c>
      <c r="O644" s="3">
        <v>2149447000000</v>
      </c>
      <c r="P644">
        <f t="shared" si="152"/>
        <v>1.9841889729466267</v>
      </c>
      <c r="Q644">
        <f t="shared" si="153"/>
        <v>0</v>
      </c>
      <c r="R644" t="str">
        <f t="shared" si="158"/>
        <v>Grey Area</v>
      </c>
      <c r="S644">
        <f t="shared" si="154"/>
        <v>-2.3887529203802686E-3</v>
      </c>
      <c r="T644">
        <f t="shared" si="155"/>
        <v>0.23724193895420742</v>
      </c>
      <c r="U644">
        <f t="shared" si="156"/>
        <v>3.904710915025654E-2</v>
      </c>
      <c r="V644">
        <f t="shared" si="157"/>
        <v>0.918146569165601</v>
      </c>
      <c r="X644" s="13">
        <f t="shared" si="159"/>
        <v>0.99131313624712625</v>
      </c>
      <c r="Y644" s="10"/>
      <c r="Z644" s="10"/>
      <c r="AB644" s="10" t="str">
        <f t="shared" si="160"/>
        <v>Non-Distress</v>
      </c>
      <c r="AC644" s="10">
        <f t="shared" si="161"/>
        <v>0</v>
      </c>
      <c r="AE644" s="10">
        <f t="shared" si="162"/>
        <v>0</v>
      </c>
      <c r="AG644" s="13">
        <f t="shared" si="163"/>
        <v>0.5</v>
      </c>
      <c r="AH644" s="13">
        <f t="shared" si="164"/>
        <v>0.5</v>
      </c>
      <c r="AI644" s="10">
        <f t="shared" si="165"/>
        <v>0.25</v>
      </c>
    </row>
    <row r="645" spans="1:35" x14ac:dyDescent="0.3">
      <c r="A645" t="s">
        <v>176</v>
      </c>
      <c r="B645">
        <v>2025</v>
      </c>
      <c r="C645" s="3">
        <v>-822919000000</v>
      </c>
      <c r="D645" s="3">
        <v>13043000000</v>
      </c>
      <c r="E645" s="3">
        <v>7335705000000</v>
      </c>
      <c r="F645" s="3">
        <v>5378343000000</v>
      </c>
      <c r="G645" s="3">
        <v>2711246000000</v>
      </c>
      <c r="H645" s="3">
        <v>2492280000000</v>
      </c>
      <c r="I645" s="3">
        <v>4623354000000</v>
      </c>
      <c r="J645" s="3">
        <v>3068649000000</v>
      </c>
      <c r="K645" s="3">
        <v>2886063000000</v>
      </c>
      <c r="M645" s="3">
        <v>7984383000000</v>
      </c>
      <c r="N645" s="3">
        <v>-1195128000000</v>
      </c>
      <c r="O645" s="3">
        <v>156397000000</v>
      </c>
      <c r="P645">
        <f t="shared" si="152"/>
        <v>4.981256721011472</v>
      </c>
      <c r="Q645">
        <f t="shared" si="153"/>
        <v>0</v>
      </c>
      <c r="R645" t="str">
        <f t="shared" si="158"/>
        <v>Safe</v>
      </c>
      <c r="S645">
        <f t="shared" si="154"/>
        <v>0.39342680764834465</v>
      </c>
      <c r="T645">
        <f t="shared" si="155"/>
        <v>0.4183168488918243</v>
      </c>
      <c r="U645">
        <f t="shared" si="156"/>
        <v>-0.11217994725796634</v>
      </c>
      <c r="V645">
        <f t="shared" si="157"/>
        <v>1.7052506485947789</v>
      </c>
      <c r="X645" s="13">
        <f t="shared" si="159"/>
        <v>3.3062898792200719</v>
      </c>
      <c r="Y645" s="10"/>
      <c r="Z645" s="10"/>
      <c r="AB645" s="10" t="str">
        <f t="shared" si="160"/>
        <v>Non-Distress</v>
      </c>
      <c r="AC645" s="10">
        <f t="shared" si="161"/>
        <v>0</v>
      </c>
      <c r="AE645" s="10">
        <f t="shared" si="162"/>
        <v>0</v>
      </c>
      <c r="AG645" s="13">
        <f t="shared" si="163"/>
        <v>0.5</v>
      </c>
      <c r="AH645" s="13">
        <f t="shared" si="164"/>
        <v>0.5</v>
      </c>
      <c r="AI645" s="10">
        <f t="shared" si="165"/>
        <v>0.25</v>
      </c>
    </row>
    <row r="646" spans="1:35" x14ac:dyDescent="0.3">
      <c r="A646" t="s">
        <v>176</v>
      </c>
      <c r="B646">
        <v>2024</v>
      </c>
      <c r="C646" s="3">
        <v>479464000000</v>
      </c>
      <c r="D646" s="3">
        <v>17835000000</v>
      </c>
      <c r="E646" s="3">
        <v>8658345000000</v>
      </c>
      <c r="F646" s="3">
        <v>5732585000000</v>
      </c>
      <c r="G646" s="3">
        <v>2791175000000</v>
      </c>
      <c r="H646" s="3">
        <v>2537447000000</v>
      </c>
      <c r="I646" s="3">
        <v>5866170000000</v>
      </c>
      <c r="J646" s="3">
        <v>4311465000000</v>
      </c>
      <c r="K646" s="3">
        <v>3195138000000</v>
      </c>
      <c r="M646" s="3">
        <v>9675468000000</v>
      </c>
      <c r="N646" s="3">
        <v>350405000000</v>
      </c>
      <c r="O646" s="3">
        <v>223395000000</v>
      </c>
      <c r="P646">
        <f t="shared" si="152"/>
        <v>6.6230263070248316</v>
      </c>
      <c r="Q646">
        <f t="shared" si="153"/>
        <v>0</v>
      </c>
      <c r="R646" t="str">
        <f t="shared" si="158"/>
        <v>Safe</v>
      </c>
      <c r="S646">
        <f t="shared" si="154"/>
        <v>0.36902410333614566</v>
      </c>
      <c r="T646">
        <f t="shared" si="155"/>
        <v>0.49795486319845189</v>
      </c>
      <c r="U646">
        <f t="shared" si="156"/>
        <v>5.5375940783140426E-2</v>
      </c>
      <c r="V646">
        <f t="shared" si="157"/>
        <v>2.10168477433339</v>
      </c>
      <c r="X646" s="13">
        <f t="shared" si="159"/>
        <v>4.2457184475919263</v>
      </c>
      <c r="Y646" s="10"/>
      <c r="Z646" s="10"/>
      <c r="AB646" s="10" t="str">
        <f t="shared" si="160"/>
        <v>Non-Distress</v>
      </c>
      <c r="AC646" s="10">
        <f t="shared" si="161"/>
        <v>0</v>
      </c>
      <c r="AE646" s="10">
        <f t="shared" si="162"/>
        <v>0</v>
      </c>
      <c r="AG646" s="13">
        <f t="shared" si="163"/>
        <v>0.5</v>
      </c>
      <c r="AH646" s="13">
        <f t="shared" si="164"/>
        <v>0.5</v>
      </c>
      <c r="AI646" s="10">
        <f t="shared" si="165"/>
        <v>0.25</v>
      </c>
    </row>
    <row r="647" spans="1:35" x14ac:dyDescent="0.3">
      <c r="A647" t="s">
        <v>176</v>
      </c>
      <c r="B647">
        <v>2023</v>
      </c>
      <c r="C647" s="3">
        <v>594560000000</v>
      </c>
      <c r="D647" s="3">
        <v>20345000000</v>
      </c>
      <c r="E647" s="3">
        <v>8487854000000</v>
      </c>
      <c r="F647" s="3">
        <v>5606490000000</v>
      </c>
      <c r="G647" s="3">
        <v>2924204000000</v>
      </c>
      <c r="H647" s="3">
        <v>2543062000000</v>
      </c>
      <c r="I647" s="3">
        <v>5562686000000</v>
      </c>
      <c r="J647" s="3">
        <v>4024763000000</v>
      </c>
      <c r="K647" s="3">
        <v>3063428000000</v>
      </c>
      <c r="M647" s="3">
        <v>10245160000000</v>
      </c>
      <c r="N647" s="3">
        <v>434574000000</v>
      </c>
      <c r="O647" s="3">
        <v>314867000000</v>
      </c>
      <c r="P647">
        <f t="shared" si="152"/>
        <v>6.3815826765715791</v>
      </c>
      <c r="Q647">
        <f t="shared" si="153"/>
        <v>0</v>
      </c>
      <c r="R647" t="str">
        <f t="shared" si="158"/>
        <v>Safe</v>
      </c>
      <c r="S647">
        <f t="shared" si="154"/>
        <v>0.36091902617552091</v>
      </c>
      <c r="T647">
        <f t="shared" si="155"/>
        <v>0.47417910345771735</v>
      </c>
      <c r="U647">
        <f t="shared" si="156"/>
        <v>7.0048330237537079E-2</v>
      </c>
      <c r="V647">
        <f t="shared" si="157"/>
        <v>1.9022906746588131</v>
      </c>
      <c r="X647" s="13">
        <f t="shared" si="159"/>
        <v>4.1806623833716889</v>
      </c>
      <c r="Y647" s="10"/>
      <c r="Z647" s="10"/>
      <c r="AB647" s="10" t="str">
        <f t="shared" si="160"/>
        <v>Non-Distress</v>
      </c>
      <c r="AC647" s="10">
        <f t="shared" si="161"/>
        <v>0</v>
      </c>
      <c r="AE647" s="10">
        <f t="shared" si="162"/>
        <v>0</v>
      </c>
      <c r="AG647" s="13">
        <f t="shared" si="163"/>
        <v>0.5</v>
      </c>
      <c r="AH647" s="13">
        <f t="shared" si="164"/>
        <v>0.5</v>
      </c>
      <c r="AI647" s="10">
        <f t="shared" si="165"/>
        <v>0.25</v>
      </c>
    </row>
    <row r="648" spans="1:35" x14ac:dyDescent="0.3">
      <c r="A648" t="s">
        <v>176</v>
      </c>
      <c r="B648">
        <v>2022</v>
      </c>
      <c r="C648" s="3">
        <v>454574000000</v>
      </c>
      <c r="D648" s="3">
        <v>23491000000</v>
      </c>
      <c r="E648" s="3">
        <v>8382538000000</v>
      </c>
      <c r="F648" s="3">
        <v>5788393000000</v>
      </c>
      <c r="G648" s="3">
        <v>3218785000000</v>
      </c>
      <c r="H648" s="3">
        <v>2844445000000</v>
      </c>
      <c r="I648" s="3">
        <v>5162747000000</v>
      </c>
      <c r="J648" s="3">
        <v>3624824000000</v>
      </c>
      <c r="K648" s="3">
        <v>2943948000000</v>
      </c>
      <c r="M648" s="3">
        <v>10317193000000</v>
      </c>
      <c r="N648" s="3">
        <v>313459000000</v>
      </c>
      <c r="O648" s="3">
        <v>302619000000</v>
      </c>
      <c r="P648">
        <f t="shared" si="152"/>
        <v>5.7621366434180494</v>
      </c>
      <c r="Q648">
        <f t="shared" si="153"/>
        <v>0</v>
      </c>
      <c r="R648" t="str">
        <f t="shared" si="158"/>
        <v>Safe</v>
      </c>
      <c r="S648">
        <f t="shared" si="154"/>
        <v>0.35120007806704845</v>
      </c>
      <c r="T648">
        <f t="shared" si="155"/>
        <v>0.43242559711629103</v>
      </c>
      <c r="U648">
        <f t="shared" si="156"/>
        <v>5.4228683484643908E-2</v>
      </c>
      <c r="V648">
        <f t="shared" si="157"/>
        <v>1.6039427920783773</v>
      </c>
      <c r="X648" s="13">
        <f t="shared" si="159"/>
        <v>3.8950672085227396</v>
      </c>
      <c r="Y648" s="10"/>
      <c r="Z648" s="10"/>
      <c r="AB648" s="10" t="str">
        <f t="shared" si="160"/>
        <v>Non-Distress</v>
      </c>
      <c r="AC648" s="10">
        <f t="shared" si="161"/>
        <v>0</v>
      </c>
      <c r="AE648" s="10">
        <f t="shared" si="162"/>
        <v>0</v>
      </c>
      <c r="AG648" s="13">
        <f t="shared" si="163"/>
        <v>0.5</v>
      </c>
      <c r="AH648" s="13">
        <f t="shared" si="164"/>
        <v>0.5</v>
      </c>
      <c r="AI648" s="10">
        <f t="shared" si="165"/>
        <v>0.25</v>
      </c>
    </row>
    <row r="649" spans="1:35" x14ac:dyDescent="0.3">
      <c r="A649" t="s">
        <v>177</v>
      </c>
      <c r="B649">
        <v>2025</v>
      </c>
      <c r="C649" s="3">
        <v>-4003204909</v>
      </c>
      <c r="D649" s="3">
        <v>49083749</v>
      </c>
      <c r="E649" s="3">
        <v>55989856216</v>
      </c>
      <c r="F649" s="3">
        <v>8398972585</v>
      </c>
      <c r="G649" s="3">
        <v>4194568915</v>
      </c>
      <c r="H649" s="3">
        <v>3115780890</v>
      </c>
      <c r="I649" s="3">
        <v>51795286301</v>
      </c>
      <c r="J649" s="3">
        <v>-7042848819</v>
      </c>
      <c r="K649" s="3">
        <v>5283191695</v>
      </c>
      <c r="M649" s="3">
        <v>21623836809</v>
      </c>
      <c r="N649" s="3">
        <v>-3430893669</v>
      </c>
      <c r="O649" s="3">
        <v>619255215</v>
      </c>
      <c r="P649">
        <f t="shared" si="152"/>
        <v>12.69404755823042</v>
      </c>
      <c r="Q649">
        <f t="shared" si="153"/>
        <v>0</v>
      </c>
      <c r="R649" t="str">
        <f t="shared" si="158"/>
        <v>Safe</v>
      </c>
      <c r="S649">
        <f t="shared" si="154"/>
        <v>9.4359801079293412E-2</v>
      </c>
      <c r="T649">
        <f t="shared" si="155"/>
        <v>-0.12578794258427464</v>
      </c>
      <c r="U649">
        <f t="shared" si="156"/>
        <v>-7.1498753159077055E-2</v>
      </c>
      <c r="V649">
        <f t="shared" si="157"/>
        <v>12.348178644956176</v>
      </c>
      <c r="X649" s="13">
        <f t="shared" si="159"/>
        <v>0.34904575708742258</v>
      </c>
      <c r="Y649" s="10"/>
      <c r="Z649" s="10"/>
      <c r="AB649" s="10" t="str">
        <f t="shared" si="160"/>
        <v>Non-Distress</v>
      </c>
      <c r="AC649" s="10">
        <f t="shared" si="161"/>
        <v>0</v>
      </c>
      <c r="AE649" s="10">
        <f t="shared" si="162"/>
        <v>0</v>
      </c>
      <c r="AG649" s="13">
        <f t="shared" si="163"/>
        <v>0.5</v>
      </c>
      <c r="AH649" s="13">
        <f t="shared" si="164"/>
        <v>0.5</v>
      </c>
      <c r="AI649" s="10">
        <f t="shared" si="165"/>
        <v>0.25</v>
      </c>
    </row>
    <row r="650" spans="1:35" x14ac:dyDescent="0.3">
      <c r="A650" t="s">
        <v>177</v>
      </c>
      <c r="B650">
        <v>2024</v>
      </c>
      <c r="C650" s="3">
        <v>-4588286102</v>
      </c>
      <c r="D650" s="3">
        <v>19881441</v>
      </c>
      <c r="E650" s="3">
        <v>57611939195</v>
      </c>
      <c r="F650" s="3">
        <v>11219429580</v>
      </c>
      <c r="G650" s="3">
        <v>2381022564</v>
      </c>
      <c r="H650" s="3">
        <v>990563000</v>
      </c>
      <c r="I650" s="3">
        <v>55230915631</v>
      </c>
      <c r="J650" s="3">
        <v>-3607219489</v>
      </c>
      <c r="K650" s="3">
        <v>10228866580</v>
      </c>
      <c r="M650" s="3">
        <v>3132558298</v>
      </c>
      <c r="N650" s="3">
        <v>-3672703469</v>
      </c>
      <c r="O650" s="3">
        <v>1138209738</v>
      </c>
      <c r="P650">
        <f t="shared" si="152"/>
        <v>24.781523274630587</v>
      </c>
      <c r="Q650">
        <f t="shared" si="153"/>
        <v>0</v>
      </c>
      <c r="R650" t="str">
        <f t="shared" si="158"/>
        <v>Safe</v>
      </c>
      <c r="S650">
        <f t="shared" si="154"/>
        <v>0.17754768756139594</v>
      </c>
      <c r="T650">
        <f t="shared" si="155"/>
        <v>-6.2612360205244785E-2</v>
      </c>
      <c r="U650">
        <f t="shared" si="156"/>
        <v>-7.9641236974682603E-2</v>
      </c>
      <c r="V650">
        <f t="shared" si="157"/>
        <v>23.196300810444566</v>
      </c>
      <c r="X650" s="13">
        <f t="shared" si="159"/>
        <v>1.49119171605906</v>
      </c>
      <c r="Y650" s="10"/>
      <c r="Z650" s="10"/>
      <c r="AB650" s="10" t="str">
        <f t="shared" si="160"/>
        <v>Non-Distress</v>
      </c>
      <c r="AC650" s="10">
        <f t="shared" si="161"/>
        <v>0</v>
      </c>
      <c r="AE650" s="10">
        <f t="shared" si="162"/>
        <v>0</v>
      </c>
      <c r="AG650" s="13">
        <f t="shared" si="163"/>
        <v>0.5</v>
      </c>
      <c r="AH650" s="13">
        <f t="shared" si="164"/>
        <v>0.5</v>
      </c>
      <c r="AI650" s="10">
        <f t="shared" si="165"/>
        <v>0.25</v>
      </c>
    </row>
    <row r="651" spans="1:35" x14ac:dyDescent="0.3">
      <c r="A651" t="s">
        <v>177</v>
      </c>
      <c r="B651">
        <v>2023</v>
      </c>
      <c r="C651" s="3">
        <v>266266151</v>
      </c>
      <c r="D651" s="3">
        <v>4816916</v>
      </c>
      <c r="E651" s="3">
        <v>60223841893</v>
      </c>
      <c r="F651" s="3">
        <v>28519958592</v>
      </c>
      <c r="G651" s="3">
        <v>1330629788</v>
      </c>
      <c r="H651" s="3">
        <v>1163189111</v>
      </c>
      <c r="I651" s="3">
        <v>58893211105</v>
      </c>
      <c r="J651" s="3">
        <v>59283545</v>
      </c>
      <c r="K651" s="3">
        <v>27356769481</v>
      </c>
      <c r="M651" s="3">
        <v>8348193858</v>
      </c>
      <c r="N651" s="3">
        <v>166993282</v>
      </c>
      <c r="O651" s="3">
        <v>99007450</v>
      </c>
      <c r="P651">
        <f t="shared" si="152"/>
        <v>49.485444194570967</v>
      </c>
      <c r="Q651">
        <f t="shared" si="153"/>
        <v>0</v>
      </c>
      <c r="R651" t="str">
        <f t="shared" si="158"/>
        <v>Safe</v>
      </c>
      <c r="S651">
        <f t="shared" si="154"/>
        <v>0.45425148281979266</v>
      </c>
      <c r="T651">
        <f t="shared" si="155"/>
        <v>9.843866338738298E-4</v>
      </c>
      <c r="U651">
        <f t="shared" si="156"/>
        <v>4.421274741539678E-3</v>
      </c>
      <c r="V651">
        <f t="shared" si="157"/>
        <v>44.259651810079575</v>
      </c>
      <c r="X651" s="13">
        <f t="shared" si="159"/>
        <v>4.7023447719175211</v>
      </c>
      <c r="Y651" s="10"/>
      <c r="Z651" s="10"/>
      <c r="AB651" s="10" t="str">
        <f t="shared" si="160"/>
        <v>Non-Distress</v>
      </c>
      <c r="AC651" s="10">
        <f t="shared" si="161"/>
        <v>0</v>
      </c>
      <c r="AE651" s="10">
        <f t="shared" si="162"/>
        <v>0</v>
      </c>
      <c r="AG651" s="13">
        <f t="shared" si="163"/>
        <v>0.5</v>
      </c>
      <c r="AH651" s="13">
        <f t="shared" si="164"/>
        <v>0.5</v>
      </c>
      <c r="AI651" s="10">
        <f t="shared" si="165"/>
        <v>0.25</v>
      </c>
    </row>
    <row r="652" spans="1:35" x14ac:dyDescent="0.3">
      <c r="A652" t="s">
        <v>177</v>
      </c>
      <c r="B652">
        <v>2022</v>
      </c>
      <c r="C652" s="3">
        <v>42383041</v>
      </c>
      <c r="D652" s="3">
        <v>0</v>
      </c>
      <c r="E652" s="3">
        <v>7205469247</v>
      </c>
      <c r="F652" s="3">
        <v>3351954656</v>
      </c>
      <c r="G652" s="3">
        <v>809192523</v>
      </c>
      <c r="H652" s="3">
        <v>697000633</v>
      </c>
      <c r="I652" s="3">
        <v>6396276724</v>
      </c>
      <c r="J652" s="3">
        <v>-103723276</v>
      </c>
      <c r="K652" s="3">
        <v>2654954023</v>
      </c>
      <c r="M652" s="3">
        <v>3989577000</v>
      </c>
      <c r="N652" s="3">
        <v>-16531787</v>
      </c>
      <c r="O652" s="3">
        <v>0</v>
      </c>
      <c r="P652">
        <f t="shared" si="152"/>
        <v>10.70946527233159</v>
      </c>
      <c r="Q652">
        <f t="shared" si="153"/>
        <v>0</v>
      </c>
      <c r="R652" t="str">
        <f t="shared" si="158"/>
        <v>Safe</v>
      </c>
      <c r="S652">
        <f t="shared" si="154"/>
        <v>0.36846372276245454</v>
      </c>
      <c r="T652">
        <f t="shared" si="155"/>
        <v>-1.4395075802063166E-2</v>
      </c>
      <c r="U652">
        <f t="shared" si="156"/>
        <v>5.8820653516280285E-3</v>
      </c>
      <c r="V652">
        <f t="shared" si="157"/>
        <v>7.9045178275825467</v>
      </c>
      <c r="X652" s="13">
        <f t="shared" si="159"/>
        <v>2.5728786574187876</v>
      </c>
      <c r="Y652" s="10"/>
      <c r="Z652" s="10"/>
      <c r="AB652" s="10" t="str">
        <f t="shared" si="160"/>
        <v>Non-Distress</v>
      </c>
      <c r="AC652" s="10">
        <f t="shared" si="161"/>
        <v>0</v>
      </c>
      <c r="AE652" s="10">
        <f t="shared" si="162"/>
        <v>0</v>
      </c>
      <c r="AG652" s="13">
        <f t="shared" si="163"/>
        <v>0.5</v>
      </c>
      <c r="AH652" s="13">
        <f t="shared" si="164"/>
        <v>0.5</v>
      </c>
      <c r="AI652" s="10">
        <f t="shared" si="165"/>
        <v>0.25</v>
      </c>
    </row>
    <row r="653" spans="1:35" x14ac:dyDescent="0.3">
      <c r="A653" t="s">
        <v>178</v>
      </c>
      <c r="B653">
        <v>2025</v>
      </c>
      <c r="C653" s="3">
        <v>1747216000000</v>
      </c>
      <c r="D653" s="3">
        <v>128000000</v>
      </c>
      <c r="E653" s="3">
        <v>9253470000000</v>
      </c>
      <c r="F653" s="3">
        <v>5194830000000</v>
      </c>
      <c r="G653" s="3">
        <v>937010000000</v>
      </c>
      <c r="H653" s="3">
        <v>787848000000</v>
      </c>
      <c r="I653" s="3">
        <v>8220575000000</v>
      </c>
      <c r="J653" s="3">
        <v>7533270000000</v>
      </c>
      <c r="K653" s="3">
        <v>4406982000000</v>
      </c>
      <c r="M653" s="3">
        <v>8767854000000</v>
      </c>
      <c r="N653" s="3">
        <v>1353297000000</v>
      </c>
      <c r="O653" s="3">
        <v>43524000000</v>
      </c>
      <c r="P653">
        <f t="shared" si="152"/>
        <v>16.258896614583016</v>
      </c>
      <c r="Q653">
        <f t="shared" si="153"/>
        <v>0</v>
      </c>
      <c r="R653" t="str">
        <f t="shared" si="158"/>
        <v>Safe</v>
      </c>
      <c r="S653">
        <f t="shared" si="154"/>
        <v>0.4762518276927466</v>
      </c>
      <c r="T653">
        <f t="shared" si="155"/>
        <v>0.81410216924029577</v>
      </c>
      <c r="U653">
        <f t="shared" si="156"/>
        <v>0.18881738418128552</v>
      </c>
      <c r="V653">
        <f t="shared" si="157"/>
        <v>8.7731987919019012</v>
      </c>
      <c r="X653" s="13">
        <f t="shared" si="159"/>
        <v>6.8694014588246022</v>
      </c>
      <c r="Y653" s="10"/>
      <c r="Z653" s="10"/>
      <c r="AB653" s="10" t="str">
        <f t="shared" si="160"/>
        <v>Non-Distress</v>
      </c>
      <c r="AC653" s="10">
        <f t="shared" si="161"/>
        <v>0</v>
      </c>
      <c r="AE653" s="10">
        <f t="shared" si="162"/>
        <v>0</v>
      </c>
      <c r="AG653" s="13">
        <f t="shared" si="163"/>
        <v>0.5</v>
      </c>
      <c r="AH653" s="13">
        <f t="shared" si="164"/>
        <v>0.5</v>
      </c>
      <c r="AI653" s="10">
        <f t="shared" si="165"/>
        <v>0.25</v>
      </c>
    </row>
    <row r="654" spans="1:35" x14ac:dyDescent="0.3">
      <c r="A654" t="s">
        <v>178</v>
      </c>
      <c r="B654">
        <v>2024</v>
      </c>
      <c r="C654" s="3">
        <v>1507090000000</v>
      </c>
      <c r="D654" s="3">
        <v>127000000</v>
      </c>
      <c r="E654" s="3">
        <v>8461365000000</v>
      </c>
      <c r="F654" s="3">
        <v>4869748000000</v>
      </c>
      <c r="G654" s="3">
        <v>1034447000000</v>
      </c>
      <c r="H654" s="3">
        <v>902814000000</v>
      </c>
      <c r="I654" s="3">
        <v>7339230000000</v>
      </c>
      <c r="J654" s="3">
        <v>6647891000000</v>
      </c>
      <c r="K654" s="3">
        <v>3966934000000</v>
      </c>
      <c r="M654" s="3">
        <v>8874202000000</v>
      </c>
      <c r="N654" s="3">
        <v>1136624000000</v>
      </c>
      <c r="O654" s="3">
        <v>37848000000</v>
      </c>
      <c r="P654">
        <f t="shared" si="152"/>
        <v>14.283326362528591</v>
      </c>
      <c r="Q654">
        <f t="shared" si="153"/>
        <v>0</v>
      </c>
      <c r="R654" t="str">
        <f t="shared" si="158"/>
        <v>Safe</v>
      </c>
      <c r="S654">
        <f t="shared" si="154"/>
        <v>0.46882908372348908</v>
      </c>
      <c r="T654">
        <f t="shared" si="155"/>
        <v>0.78567595181155758</v>
      </c>
      <c r="U654">
        <f t="shared" si="156"/>
        <v>0.17811428770653434</v>
      </c>
      <c r="V654">
        <f t="shared" si="157"/>
        <v>7.0948342447703938</v>
      </c>
      <c r="X654" s="13">
        <f t="shared" si="159"/>
        <v>6.6069880300727712</v>
      </c>
      <c r="Y654" s="10"/>
      <c r="Z654" s="10"/>
      <c r="AB654" s="10" t="str">
        <f t="shared" si="160"/>
        <v>Non-Distress</v>
      </c>
      <c r="AC654" s="10">
        <f t="shared" si="161"/>
        <v>0</v>
      </c>
      <c r="AE654" s="10">
        <f t="shared" si="162"/>
        <v>0</v>
      </c>
      <c r="AG654" s="13">
        <f t="shared" si="163"/>
        <v>0.5</v>
      </c>
      <c r="AH654" s="13">
        <f t="shared" si="164"/>
        <v>0.5</v>
      </c>
      <c r="AI654" s="10">
        <f t="shared" si="165"/>
        <v>0.25</v>
      </c>
    </row>
    <row r="655" spans="1:35" x14ac:dyDescent="0.3">
      <c r="A655" t="s">
        <v>178</v>
      </c>
      <c r="B655">
        <v>2023</v>
      </c>
      <c r="C655" s="3">
        <v>1554133000000</v>
      </c>
      <c r="D655" s="3">
        <v>46848000000</v>
      </c>
      <c r="E655" s="3">
        <v>7523956000000</v>
      </c>
      <c r="F655" s="3">
        <v>4411475000000</v>
      </c>
      <c r="G655" s="3">
        <v>836988000000</v>
      </c>
      <c r="H655" s="3">
        <v>713393000000</v>
      </c>
      <c r="I655" s="3">
        <v>6600809000000</v>
      </c>
      <c r="J655" s="3">
        <v>5927160000000</v>
      </c>
      <c r="K655" s="3">
        <v>3698082000000</v>
      </c>
      <c r="M655" s="3">
        <v>8302741000000</v>
      </c>
      <c r="N655" s="3">
        <v>1169212000000</v>
      </c>
      <c r="O655" s="3">
        <v>30901000000</v>
      </c>
      <c r="P655">
        <f t="shared" si="152"/>
        <v>15.461199130303534</v>
      </c>
      <c r="Q655">
        <f t="shared" si="153"/>
        <v>0</v>
      </c>
      <c r="R655" t="str">
        <f t="shared" si="158"/>
        <v>Safe</v>
      </c>
      <c r="S655">
        <f t="shared" si="154"/>
        <v>0.49150765900279053</v>
      </c>
      <c r="T655">
        <f t="shared" si="155"/>
        <v>0.78777175198791705</v>
      </c>
      <c r="U655">
        <f t="shared" si="156"/>
        <v>0.20655795966908896</v>
      </c>
      <c r="V655">
        <f t="shared" si="157"/>
        <v>7.8863842731317533</v>
      </c>
      <c r="X655" s="13">
        <f t="shared" si="159"/>
        <v>6.9240637279662236</v>
      </c>
      <c r="Y655" s="10"/>
      <c r="Z655" s="10"/>
      <c r="AB655" s="10" t="str">
        <f t="shared" si="160"/>
        <v>Non-Distress</v>
      </c>
      <c r="AC655" s="10">
        <f t="shared" si="161"/>
        <v>0</v>
      </c>
      <c r="AE655" s="10">
        <f t="shared" si="162"/>
        <v>0</v>
      </c>
      <c r="AG655" s="13">
        <f t="shared" si="163"/>
        <v>0.5</v>
      </c>
      <c r="AH655" s="13">
        <f t="shared" si="164"/>
        <v>0.5</v>
      </c>
      <c r="AI655" s="10">
        <f t="shared" si="165"/>
        <v>0.25</v>
      </c>
    </row>
    <row r="656" spans="1:35" x14ac:dyDescent="0.3">
      <c r="A656" t="s">
        <v>178</v>
      </c>
      <c r="B656">
        <v>2022</v>
      </c>
      <c r="C656" s="3">
        <v>1408387000000</v>
      </c>
      <c r="D656" s="3">
        <v>119389000000</v>
      </c>
      <c r="E656" s="3">
        <v>7376375000000</v>
      </c>
      <c r="F656" s="3">
        <v>4618390000000</v>
      </c>
      <c r="G656" s="3">
        <v>1553696000000</v>
      </c>
      <c r="H656" s="3">
        <v>1456898000000</v>
      </c>
      <c r="I656" s="3">
        <v>5738735000000</v>
      </c>
      <c r="J656" s="3">
        <v>6853367000000</v>
      </c>
      <c r="K656" s="3">
        <v>3161492000000</v>
      </c>
      <c r="M656" s="3">
        <v>7656252000000</v>
      </c>
      <c r="N656" s="3">
        <v>960786000000</v>
      </c>
      <c r="O656" s="3">
        <v>610824000000</v>
      </c>
      <c r="P656">
        <f t="shared" si="152"/>
        <v>11.001798232224726</v>
      </c>
      <c r="Q656">
        <f t="shared" si="153"/>
        <v>0</v>
      </c>
      <c r="R656" t="str">
        <f t="shared" si="158"/>
        <v>Safe</v>
      </c>
      <c r="S656">
        <f t="shared" si="154"/>
        <v>0.4285969734456288</v>
      </c>
      <c r="T656">
        <f t="shared" si="155"/>
        <v>0.92909688024266657</v>
      </c>
      <c r="U656">
        <f t="shared" si="156"/>
        <v>0.19093213129755468</v>
      </c>
      <c r="V656">
        <f t="shared" si="157"/>
        <v>3.6936022233435626</v>
      </c>
      <c r="X656" s="13">
        <f t="shared" si="159"/>
        <v>6.7470582379842874</v>
      </c>
      <c r="Y656" s="10"/>
      <c r="Z656" s="10"/>
      <c r="AB656" s="10" t="str">
        <f t="shared" si="160"/>
        <v>Non-Distress</v>
      </c>
      <c r="AC656" s="10">
        <f t="shared" si="161"/>
        <v>0</v>
      </c>
      <c r="AE656" s="10">
        <f t="shared" si="162"/>
        <v>0</v>
      </c>
      <c r="AG656" s="13">
        <f t="shared" si="163"/>
        <v>0.5</v>
      </c>
      <c r="AH656" s="13">
        <f t="shared" si="164"/>
        <v>0.5</v>
      </c>
      <c r="AI656" s="10">
        <f t="shared" si="165"/>
        <v>0.25</v>
      </c>
    </row>
    <row r="657" spans="1:35" x14ac:dyDescent="0.3">
      <c r="A657" t="s">
        <v>179</v>
      </c>
      <c r="B657">
        <v>2025</v>
      </c>
      <c r="C657" s="3">
        <v>46810123</v>
      </c>
      <c r="D657" s="3">
        <v>298270</v>
      </c>
      <c r="E657" s="3">
        <v>366945405</v>
      </c>
      <c r="F657" s="3">
        <v>302493440</v>
      </c>
      <c r="G657" s="3">
        <v>44036818</v>
      </c>
      <c r="H657" s="3">
        <v>39907227</v>
      </c>
      <c r="I657" s="3">
        <v>312023033</v>
      </c>
      <c r="J657" s="3">
        <v>238904303</v>
      </c>
      <c r="K657" s="3">
        <v>262586213</v>
      </c>
      <c r="M657" s="3">
        <v>400557162</v>
      </c>
      <c r="N657" s="3">
        <v>36981518</v>
      </c>
      <c r="O657" s="3">
        <v>5933537</v>
      </c>
      <c r="P657">
        <f t="shared" si="152"/>
        <v>15.113829409530652</v>
      </c>
      <c r="Q657">
        <f t="shared" si="153"/>
        <v>0</v>
      </c>
      <c r="R657" t="str">
        <f t="shared" si="158"/>
        <v>Safe</v>
      </c>
      <c r="S657">
        <f t="shared" si="154"/>
        <v>0.71560022123727096</v>
      </c>
      <c r="T657">
        <f t="shared" si="155"/>
        <v>0.65106225543279383</v>
      </c>
      <c r="U657">
        <f t="shared" si="156"/>
        <v>0.12756699596769716</v>
      </c>
      <c r="V657">
        <f t="shared" si="157"/>
        <v>7.0855036120003039</v>
      </c>
      <c r="X657" s="13">
        <f t="shared" si="159"/>
        <v>7.4291159503986721</v>
      </c>
      <c r="Y657" s="10"/>
      <c r="Z657" s="10"/>
      <c r="AB657" s="10" t="str">
        <f t="shared" si="160"/>
        <v>Non-Distress</v>
      </c>
      <c r="AC657" s="10">
        <f t="shared" si="161"/>
        <v>0</v>
      </c>
      <c r="AE657" s="10">
        <f t="shared" si="162"/>
        <v>0</v>
      </c>
      <c r="AG657" s="13">
        <f t="shared" si="163"/>
        <v>0.5</v>
      </c>
      <c r="AH657" s="13">
        <f t="shared" si="164"/>
        <v>0.5</v>
      </c>
      <c r="AI657" s="10">
        <f t="shared" si="165"/>
        <v>0.25</v>
      </c>
    </row>
    <row r="658" spans="1:35" x14ac:dyDescent="0.3">
      <c r="A658" t="s">
        <v>179</v>
      </c>
      <c r="B658">
        <v>2024</v>
      </c>
      <c r="C658" s="3">
        <v>26493163</v>
      </c>
      <c r="D658" s="3">
        <v>447254</v>
      </c>
      <c r="E658" s="3">
        <v>341447342</v>
      </c>
      <c r="F658" s="3">
        <v>282067204</v>
      </c>
      <c r="G658" s="3">
        <v>41076836</v>
      </c>
      <c r="H658" s="3">
        <v>36711960</v>
      </c>
      <c r="I658" s="3">
        <v>289540533</v>
      </c>
      <c r="J658" s="3">
        <v>217029233</v>
      </c>
      <c r="K658" s="3">
        <v>245355244</v>
      </c>
      <c r="M658" s="3">
        <v>344678707</v>
      </c>
      <c r="N658" s="3">
        <v>20760999</v>
      </c>
      <c r="O658" s="3">
        <v>4910338</v>
      </c>
      <c r="P658">
        <f t="shared" si="152"/>
        <v>14.708555475947668</v>
      </c>
      <c r="Q658">
        <f t="shared" si="153"/>
        <v>0</v>
      </c>
      <c r="R658" t="str">
        <f t="shared" si="158"/>
        <v>Safe</v>
      </c>
      <c r="S658">
        <f t="shared" si="154"/>
        <v>0.71857418061259937</v>
      </c>
      <c r="T658">
        <f t="shared" si="155"/>
        <v>0.6356155292607315</v>
      </c>
      <c r="U658">
        <f t="shared" si="156"/>
        <v>7.7590772400858224E-2</v>
      </c>
      <c r="V658">
        <f t="shared" si="157"/>
        <v>7.0487545097192976</v>
      </c>
      <c r="X658" s="13">
        <f t="shared" si="159"/>
        <v>7.1533338690806882</v>
      </c>
      <c r="Y658" s="10"/>
      <c r="Z658" s="10"/>
      <c r="AB658" s="10" t="str">
        <f t="shared" si="160"/>
        <v>Non-Distress</v>
      </c>
      <c r="AC658" s="10">
        <f t="shared" si="161"/>
        <v>0</v>
      </c>
      <c r="AE658" s="10">
        <f t="shared" si="162"/>
        <v>0</v>
      </c>
      <c r="AG658" s="13">
        <f t="shared" si="163"/>
        <v>0.5</v>
      </c>
      <c r="AH658" s="13">
        <f t="shared" si="164"/>
        <v>0.5</v>
      </c>
      <c r="AI658" s="10">
        <f t="shared" si="165"/>
        <v>0.25</v>
      </c>
    </row>
    <row r="659" spans="1:35" x14ac:dyDescent="0.3">
      <c r="A659" t="s">
        <v>179</v>
      </c>
      <c r="B659">
        <v>2023</v>
      </c>
      <c r="C659" s="3">
        <v>28379435</v>
      </c>
      <c r="D659" s="3">
        <v>522931</v>
      </c>
      <c r="E659" s="3">
        <v>335210659</v>
      </c>
      <c r="F659" s="3">
        <v>274188445</v>
      </c>
      <c r="G659" s="3">
        <v>44840780</v>
      </c>
      <c r="H659" s="3">
        <v>39626034</v>
      </c>
      <c r="I659" s="3">
        <v>278811029</v>
      </c>
      <c r="J659" s="3">
        <v>202846053</v>
      </c>
      <c r="K659" s="3">
        <v>234562411</v>
      </c>
      <c r="M659" s="3">
        <v>339302689</v>
      </c>
      <c r="N659" s="3">
        <v>22434529</v>
      </c>
      <c r="O659" s="3">
        <v>6867027</v>
      </c>
      <c r="P659">
        <f t="shared" si="152"/>
        <v>13.66067551655574</v>
      </c>
      <c r="Q659">
        <f t="shared" si="153"/>
        <v>0</v>
      </c>
      <c r="R659" t="str">
        <f t="shared" si="158"/>
        <v>Safe</v>
      </c>
      <c r="S659">
        <f t="shared" si="154"/>
        <v>0.69974627805615219</v>
      </c>
      <c r="T659">
        <f t="shared" si="155"/>
        <v>0.60513008030571014</v>
      </c>
      <c r="U659">
        <f t="shared" si="156"/>
        <v>8.4661493416293782E-2</v>
      </c>
      <c r="V659">
        <f t="shared" si="157"/>
        <v>6.2178006047174019</v>
      </c>
      <c r="X659" s="13">
        <f t="shared" si="159"/>
        <v>6.9368454220323317</v>
      </c>
      <c r="Y659" s="10"/>
      <c r="Z659" s="10"/>
      <c r="AB659" s="10" t="str">
        <f t="shared" si="160"/>
        <v>Non-Distress</v>
      </c>
      <c r="AC659" s="10">
        <f t="shared" si="161"/>
        <v>0</v>
      </c>
      <c r="AE659" s="10">
        <f t="shared" si="162"/>
        <v>0</v>
      </c>
      <c r="AG659" s="13">
        <f t="shared" si="163"/>
        <v>0.5</v>
      </c>
      <c r="AH659" s="13">
        <f t="shared" si="164"/>
        <v>0.5</v>
      </c>
      <c r="AI659" s="10">
        <f t="shared" si="165"/>
        <v>0.25</v>
      </c>
    </row>
    <row r="660" spans="1:35" x14ac:dyDescent="0.3">
      <c r="A660" t="s">
        <v>179</v>
      </c>
      <c r="B660">
        <v>2022</v>
      </c>
      <c r="C660" s="3">
        <v>48993015</v>
      </c>
      <c r="D660" s="3">
        <v>254563</v>
      </c>
      <c r="E660" s="3">
        <v>317577675</v>
      </c>
      <c r="F660" s="3">
        <v>260416258</v>
      </c>
      <c r="G660" s="3">
        <v>42624419</v>
      </c>
      <c r="H660" s="3">
        <v>39890730</v>
      </c>
      <c r="I660" s="3">
        <v>265442301</v>
      </c>
      <c r="J660" s="3">
        <v>189629229</v>
      </c>
      <c r="K660" s="3">
        <v>220525528</v>
      </c>
      <c r="M660" s="3">
        <v>412076520</v>
      </c>
      <c r="N660" s="3">
        <v>38405095</v>
      </c>
      <c r="O660" s="3">
        <v>3980354</v>
      </c>
      <c r="P660">
        <f t="shared" si="152"/>
        <v>14.077383142181638</v>
      </c>
      <c r="Q660">
        <f t="shared" si="153"/>
        <v>0</v>
      </c>
      <c r="R660" t="str">
        <f t="shared" si="158"/>
        <v>Safe</v>
      </c>
      <c r="S660">
        <f t="shared" si="154"/>
        <v>0.69439871048870172</v>
      </c>
      <c r="T660">
        <f t="shared" si="155"/>
        <v>0.59711133347140977</v>
      </c>
      <c r="U660">
        <f t="shared" si="156"/>
        <v>0.15427096693745868</v>
      </c>
      <c r="V660">
        <f t="shared" si="157"/>
        <v>6.2274702442278453</v>
      </c>
      <c r="X660" s="13">
        <f t="shared" si="159"/>
        <v>7.215018788032145</v>
      </c>
      <c r="Y660" s="10"/>
      <c r="Z660" s="10"/>
      <c r="AB660" s="10" t="str">
        <f t="shared" si="160"/>
        <v>Non-Distress</v>
      </c>
      <c r="AC660" s="10">
        <f t="shared" si="161"/>
        <v>0</v>
      </c>
      <c r="AE660" s="10">
        <f t="shared" si="162"/>
        <v>0</v>
      </c>
      <c r="AG660" s="13">
        <f t="shared" si="163"/>
        <v>0.5</v>
      </c>
      <c r="AH660" s="13">
        <f t="shared" si="164"/>
        <v>0.5</v>
      </c>
      <c r="AI660" s="10">
        <f t="shared" si="165"/>
        <v>0.25</v>
      </c>
    </row>
    <row r="661" spans="1:35" x14ac:dyDescent="0.3">
      <c r="A661" t="s">
        <v>180</v>
      </c>
      <c r="B661">
        <v>2025</v>
      </c>
      <c r="C661" s="3">
        <v>11202332066</v>
      </c>
      <c r="D661" s="3">
        <v>44911967293</v>
      </c>
      <c r="E661" s="3">
        <v>1222469919462</v>
      </c>
      <c r="F661" s="3">
        <v>1013608928532</v>
      </c>
      <c r="G661" s="3">
        <v>660915258128</v>
      </c>
      <c r="H661" s="3">
        <v>588042415347</v>
      </c>
      <c r="I661" s="3">
        <v>561554661334</v>
      </c>
      <c r="J661" s="3">
        <v>49434083126</v>
      </c>
      <c r="K661" s="3">
        <v>425566513185</v>
      </c>
      <c r="M661" s="3">
        <v>412952115079</v>
      </c>
      <c r="N661" s="3">
        <v>-33244917832</v>
      </c>
      <c r="O661" s="3">
        <v>580531284308</v>
      </c>
      <c r="P661">
        <f t="shared" si="152"/>
        <v>3.3692214015280282</v>
      </c>
      <c r="Q661">
        <f t="shared" si="153"/>
        <v>0</v>
      </c>
      <c r="R661" t="str">
        <f t="shared" si="158"/>
        <v>Safe</v>
      </c>
      <c r="S661">
        <f t="shared" si="154"/>
        <v>0.34812023298887279</v>
      </c>
      <c r="T661">
        <f t="shared" si="155"/>
        <v>4.0437872817153303E-2</v>
      </c>
      <c r="U661">
        <f t="shared" si="156"/>
        <v>9.163687292142177E-3</v>
      </c>
      <c r="V661">
        <f t="shared" si="157"/>
        <v>0.84966212298467358</v>
      </c>
      <c r="X661" s="13">
        <f t="shared" si="159"/>
        <v>2.3410632344628777</v>
      </c>
      <c r="Y661" s="10"/>
      <c r="Z661" s="10"/>
      <c r="AB661" s="10" t="str">
        <f t="shared" si="160"/>
        <v>Non-Distress</v>
      </c>
      <c r="AC661" s="10">
        <f t="shared" si="161"/>
        <v>0</v>
      </c>
      <c r="AE661" s="10">
        <f t="shared" si="162"/>
        <v>0</v>
      </c>
      <c r="AG661" s="13">
        <f t="shared" si="163"/>
        <v>0.5</v>
      </c>
      <c r="AH661" s="13">
        <f t="shared" si="164"/>
        <v>0.5</v>
      </c>
      <c r="AI661" s="10">
        <f t="shared" si="165"/>
        <v>0.25</v>
      </c>
    </row>
    <row r="662" spans="1:35" x14ac:dyDescent="0.3">
      <c r="A662" t="s">
        <v>180</v>
      </c>
      <c r="B662">
        <v>2024</v>
      </c>
      <c r="C662" s="3">
        <v>71478899221</v>
      </c>
      <c r="D662" s="3">
        <v>42666997165</v>
      </c>
      <c r="E662" s="3">
        <v>1227823329650</v>
      </c>
      <c r="F662" s="3">
        <v>1062416990503</v>
      </c>
      <c r="G662" s="3">
        <v>600004356505</v>
      </c>
      <c r="H662" s="3">
        <v>500435774679</v>
      </c>
      <c r="I662" s="3">
        <v>627818973145</v>
      </c>
      <c r="J662" s="3">
        <v>115698394937</v>
      </c>
      <c r="K662" s="3">
        <v>561981215824</v>
      </c>
      <c r="M662" s="3">
        <v>573313340870</v>
      </c>
      <c r="N662" s="3">
        <v>20815702465</v>
      </c>
      <c r="O662" s="3">
        <v>539187197136</v>
      </c>
      <c r="P662">
        <f t="shared" si="152"/>
        <v>4.7996244065212323</v>
      </c>
      <c r="Q662">
        <f t="shared" si="153"/>
        <v>0</v>
      </c>
      <c r="R662" t="str">
        <f t="shared" si="158"/>
        <v>Safe</v>
      </c>
      <c r="S662">
        <f t="shared" si="154"/>
        <v>0.45770527587563992</v>
      </c>
      <c r="T662">
        <f t="shared" si="155"/>
        <v>9.4230490774255507E-2</v>
      </c>
      <c r="U662">
        <f t="shared" si="156"/>
        <v>5.8215948088700661E-2</v>
      </c>
      <c r="V662">
        <f t="shared" si="157"/>
        <v>1.0463573578065648</v>
      </c>
      <c r="X662" s="13">
        <f t="shared" si="159"/>
        <v>3.4328852697483541</v>
      </c>
      <c r="Y662" s="10"/>
      <c r="Z662" s="10"/>
      <c r="AB662" s="10" t="str">
        <f t="shared" si="160"/>
        <v>Non-Distress</v>
      </c>
      <c r="AC662" s="10">
        <f t="shared" si="161"/>
        <v>0</v>
      </c>
      <c r="AE662" s="10">
        <f t="shared" si="162"/>
        <v>0</v>
      </c>
      <c r="AG662" s="13">
        <f t="shared" si="163"/>
        <v>0.5</v>
      </c>
      <c r="AH662" s="13">
        <f t="shared" si="164"/>
        <v>0.5</v>
      </c>
      <c r="AI662" s="10">
        <f t="shared" si="165"/>
        <v>0.25</v>
      </c>
    </row>
    <row r="663" spans="1:35" x14ac:dyDescent="0.3">
      <c r="A663" t="s">
        <v>180</v>
      </c>
      <c r="B663">
        <v>2023</v>
      </c>
      <c r="C663" s="3">
        <v>105521408486</v>
      </c>
      <c r="D663" s="3">
        <v>36877445217</v>
      </c>
      <c r="E663" s="3">
        <v>925062601258</v>
      </c>
      <c r="F663" s="3">
        <v>787210215999</v>
      </c>
      <c r="G663" s="3">
        <v>703309949514</v>
      </c>
      <c r="H663" s="3">
        <v>644812759580</v>
      </c>
      <c r="I663" s="3">
        <v>221752651744</v>
      </c>
      <c r="J663" s="3">
        <v>95252651744</v>
      </c>
      <c r="K663" s="3">
        <v>142397456419</v>
      </c>
      <c r="M663" s="3">
        <v>684623623630</v>
      </c>
      <c r="N663" s="3">
        <v>53000809501</v>
      </c>
      <c r="O663" s="3">
        <v>559600350492</v>
      </c>
      <c r="P663">
        <f t="shared" si="152"/>
        <v>2.4430879854278462</v>
      </c>
      <c r="Q663">
        <f t="shared" si="153"/>
        <v>0</v>
      </c>
      <c r="R663" t="str">
        <f t="shared" si="158"/>
        <v>Grey Area</v>
      </c>
      <c r="S663">
        <f t="shared" si="154"/>
        <v>0.15393277841451222</v>
      </c>
      <c r="T663">
        <f t="shared" si="155"/>
        <v>0.10296887109528065</v>
      </c>
      <c r="U663">
        <f t="shared" si="156"/>
        <v>0.11406947847907871</v>
      </c>
      <c r="V663">
        <f t="shared" si="157"/>
        <v>0.31529861321773583</v>
      </c>
      <c r="X663" s="13">
        <f t="shared" si="159"/>
        <v>1.8436590671315325</v>
      </c>
      <c r="Y663" s="10"/>
      <c r="Z663" s="10"/>
      <c r="AB663" s="10" t="str">
        <f t="shared" si="160"/>
        <v>Non-Distress</v>
      </c>
      <c r="AC663" s="10">
        <f t="shared" si="161"/>
        <v>0</v>
      </c>
      <c r="AE663" s="10">
        <f t="shared" si="162"/>
        <v>0</v>
      </c>
      <c r="AG663" s="13">
        <f t="shared" si="163"/>
        <v>0.5</v>
      </c>
      <c r="AH663" s="13">
        <f t="shared" si="164"/>
        <v>0.5</v>
      </c>
      <c r="AI663" s="10">
        <f t="shared" si="165"/>
        <v>0.25</v>
      </c>
    </row>
    <row r="664" spans="1:35" x14ac:dyDescent="0.3">
      <c r="A664" t="s">
        <v>180</v>
      </c>
      <c r="B664">
        <v>2022</v>
      </c>
      <c r="C664" s="3">
        <v>87373378066</v>
      </c>
      <c r="D664" s="3">
        <v>31353966466</v>
      </c>
      <c r="E664" s="3">
        <v>762962183292</v>
      </c>
      <c r="F664" s="3">
        <v>623096718702</v>
      </c>
      <c r="G664" s="3">
        <v>594667315162</v>
      </c>
      <c r="H664" s="3">
        <v>520999202954</v>
      </c>
      <c r="I664" s="3">
        <v>168294868130</v>
      </c>
      <c r="J664" s="3">
        <v>42294868130</v>
      </c>
      <c r="K664" s="3">
        <v>102097515748</v>
      </c>
      <c r="M664" s="3">
        <v>419174026364</v>
      </c>
      <c r="N664" s="3">
        <v>42087750707</v>
      </c>
      <c r="O664" s="3">
        <v>477016678266</v>
      </c>
      <c r="P664">
        <f t="shared" si="152"/>
        <v>2.1252818751490752</v>
      </c>
      <c r="Q664">
        <f t="shared" si="153"/>
        <v>0</v>
      </c>
      <c r="R664" t="str">
        <f t="shared" si="158"/>
        <v>Grey Area</v>
      </c>
      <c r="S664">
        <f t="shared" si="154"/>
        <v>0.1338172690387793</v>
      </c>
      <c r="T664">
        <f t="shared" si="155"/>
        <v>5.5435077984478498E-2</v>
      </c>
      <c r="U664">
        <f t="shared" si="156"/>
        <v>0.11451862225858259</v>
      </c>
      <c r="V664">
        <f t="shared" si="157"/>
        <v>0.28300675661676966</v>
      </c>
      <c r="X664" s="13">
        <f t="shared" si="159"/>
        <v>1.5657022642126586</v>
      </c>
      <c r="Y664" s="10"/>
      <c r="Z664" s="10"/>
      <c r="AB664" s="10" t="str">
        <f t="shared" si="160"/>
        <v>Non-Distress</v>
      </c>
      <c r="AC664" s="10">
        <f t="shared" si="161"/>
        <v>0</v>
      </c>
      <c r="AE664" s="10">
        <f t="shared" si="162"/>
        <v>0</v>
      </c>
      <c r="AG664" s="13">
        <f t="shared" si="163"/>
        <v>0.5</v>
      </c>
      <c r="AH664" s="13">
        <f t="shared" si="164"/>
        <v>0.5</v>
      </c>
      <c r="AI664" s="10">
        <f t="shared" si="165"/>
        <v>0.25</v>
      </c>
    </row>
    <row r="665" spans="1:35" x14ac:dyDescent="0.3">
      <c r="A665" t="s">
        <v>181</v>
      </c>
      <c r="B665">
        <v>2025</v>
      </c>
      <c r="C665" s="3">
        <v>4616468000000</v>
      </c>
      <c r="D665" s="3">
        <v>118188000000</v>
      </c>
      <c r="E665" s="3">
        <v>20017339000000</v>
      </c>
      <c r="F665" s="3">
        <v>10544623000000</v>
      </c>
      <c r="G665" s="3">
        <v>15542221000000</v>
      </c>
      <c r="H665" s="3">
        <v>14222619000000</v>
      </c>
      <c r="I665" s="3">
        <v>4475118000000</v>
      </c>
      <c r="J665" s="3">
        <v>4572603000000</v>
      </c>
      <c r="K665" s="3">
        <v>-3677996000000</v>
      </c>
      <c r="M665" s="3">
        <v>31943461000000</v>
      </c>
      <c r="N665" s="3">
        <v>7641161000000</v>
      </c>
      <c r="O665" s="3">
        <v>644841000000</v>
      </c>
      <c r="P665">
        <f t="shared" si="152"/>
        <v>1.3914702469767433</v>
      </c>
      <c r="Q665">
        <f t="shared" si="153"/>
        <v>0</v>
      </c>
      <c r="R665" t="str">
        <f t="shared" si="158"/>
        <v>Grey Area</v>
      </c>
      <c r="S665">
        <f t="shared" si="154"/>
        <v>-0.1837405061681775</v>
      </c>
      <c r="T665">
        <f t="shared" si="155"/>
        <v>0.22843211078155792</v>
      </c>
      <c r="U665">
        <f t="shared" si="156"/>
        <v>0.2306234609904943</v>
      </c>
      <c r="V665">
        <f t="shared" si="157"/>
        <v>0.28793297946284513</v>
      </c>
      <c r="X665" s="13">
        <f t="shared" si="159"/>
        <v>0.75366981370128638</v>
      </c>
      <c r="Y665" s="10"/>
      <c r="Z665" s="10"/>
      <c r="AB665" s="10" t="str">
        <f t="shared" si="160"/>
        <v>Non-Distress</v>
      </c>
      <c r="AC665" s="10">
        <f t="shared" si="161"/>
        <v>0</v>
      </c>
      <c r="AE665" s="10">
        <f t="shared" si="162"/>
        <v>0</v>
      </c>
      <c r="AG665" s="13">
        <f t="shared" si="163"/>
        <v>0.5</v>
      </c>
      <c r="AH665" s="13">
        <f t="shared" si="164"/>
        <v>0.5</v>
      </c>
      <c r="AI665" s="10">
        <f t="shared" si="165"/>
        <v>0.25</v>
      </c>
    </row>
    <row r="666" spans="1:35" x14ac:dyDescent="0.3">
      <c r="A666" t="s">
        <v>181</v>
      </c>
      <c r="B666">
        <v>2024</v>
      </c>
      <c r="C666" s="3">
        <v>3823418000000</v>
      </c>
      <c r="D666" s="3">
        <v>72274000000</v>
      </c>
      <c r="E666" s="3">
        <v>16046195000000</v>
      </c>
      <c r="F666" s="3">
        <v>5280548000000</v>
      </c>
      <c r="G666" s="3">
        <v>13896928000000</v>
      </c>
      <c r="H666" s="3">
        <v>11830201000000</v>
      </c>
      <c r="I666" s="3">
        <v>2149267000000</v>
      </c>
      <c r="J666" s="3">
        <v>1961707000000</v>
      </c>
      <c r="K666" s="3">
        <v>-6549653000000</v>
      </c>
      <c r="M666" s="3">
        <v>30622614000000</v>
      </c>
      <c r="N666" s="3">
        <v>3368693000000</v>
      </c>
      <c r="O666" s="3">
        <v>1980632000000</v>
      </c>
      <c r="P666">
        <f t="shared" si="152"/>
        <v>-0.51547664800337689</v>
      </c>
      <c r="Q666">
        <f t="shared" si="153"/>
        <v>1</v>
      </c>
      <c r="R666" t="str">
        <f t="shared" si="158"/>
        <v>Distress</v>
      </c>
      <c r="S666">
        <f t="shared" si="154"/>
        <v>-0.40817483521794418</v>
      </c>
      <c r="T666">
        <f t="shared" si="155"/>
        <v>0.12225371809329252</v>
      </c>
      <c r="U666">
        <f t="shared" si="156"/>
        <v>0.238275678439655</v>
      </c>
      <c r="V666">
        <f t="shared" si="157"/>
        <v>0.15465770564544912</v>
      </c>
      <c r="X666" s="13">
        <f t="shared" si="159"/>
        <v>-0.93478279804675868</v>
      </c>
      <c r="Y666" s="10"/>
      <c r="Z666" s="10"/>
      <c r="AB666" s="10" t="str">
        <f t="shared" si="160"/>
        <v>Distress</v>
      </c>
      <c r="AC666" s="10">
        <f t="shared" si="161"/>
        <v>1</v>
      </c>
      <c r="AE666" s="10">
        <f t="shared" si="162"/>
        <v>1</v>
      </c>
      <c r="AG666" s="13">
        <f t="shared" si="163"/>
        <v>0.7310585786300049</v>
      </c>
      <c r="AH666" s="13">
        <f t="shared" si="164"/>
        <v>-0.2689414213699951</v>
      </c>
      <c r="AI666" s="10">
        <f t="shared" si="165"/>
        <v>0.19661193324148185</v>
      </c>
    </row>
    <row r="667" spans="1:35" x14ac:dyDescent="0.3">
      <c r="A667" t="s">
        <v>181</v>
      </c>
      <c r="B667">
        <v>2023</v>
      </c>
      <c r="C667" s="3">
        <v>6307846000000</v>
      </c>
      <c r="D667" s="3">
        <v>105970000000</v>
      </c>
      <c r="E667" s="3">
        <v>16664086000000</v>
      </c>
      <c r="F667" s="3">
        <v>6191839000000</v>
      </c>
      <c r="G667" s="3">
        <v>13282848000000</v>
      </c>
      <c r="H667" s="3">
        <v>11223968000000</v>
      </c>
      <c r="I667" s="3">
        <v>3381238000000</v>
      </c>
      <c r="J667" s="3">
        <v>3193678000000</v>
      </c>
      <c r="K667" s="3">
        <v>-5032129000000</v>
      </c>
      <c r="M667" s="3">
        <v>38611401000000</v>
      </c>
      <c r="N667" s="3">
        <v>4800940000000</v>
      </c>
      <c r="O667" s="3">
        <v>750783000000</v>
      </c>
      <c r="P667">
        <f t="shared" si="152"/>
        <v>1.4548293677185766</v>
      </c>
      <c r="Q667">
        <f t="shared" si="153"/>
        <v>0</v>
      </c>
      <c r="R667" t="str">
        <f t="shared" si="158"/>
        <v>Grey Area</v>
      </c>
      <c r="S667">
        <f t="shared" si="154"/>
        <v>-0.3019744977312287</v>
      </c>
      <c r="T667">
        <f t="shared" si="155"/>
        <v>0.19165035514099002</v>
      </c>
      <c r="U667">
        <f t="shared" si="156"/>
        <v>0.37852937148788118</v>
      </c>
      <c r="V667">
        <f t="shared" si="157"/>
        <v>0.25455670350214049</v>
      </c>
      <c r="X667" s="13">
        <f t="shared" si="159"/>
        <v>0.62450953538695153</v>
      </c>
      <c r="Y667" s="10"/>
      <c r="Z667" s="10"/>
      <c r="AB667" s="10" t="str">
        <f t="shared" si="160"/>
        <v>Non-Distress</v>
      </c>
      <c r="AC667" s="10">
        <f t="shared" si="161"/>
        <v>0</v>
      </c>
      <c r="AE667" s="10">
        <f t="shared" si="162"/>
        <v>0</v>
      </c>
      <c r="AG667" s="13">
        <f t="shared" si="163"/>
        <v>0.5</v>
      </c>
      <c r="AH667" s="13">
        <f t="shared" si="164"/>
        <v>0.5</v>
      </c>
      <c r="AI667" s="10">
        <f t="shared" si="165"/>
        <v>0.25</v>
      </c>
    </row>
    <row r="668" spans="1:35" x14ac:dyDescent="0.3">
      <c r="A668" t="s">
        <v>181</v>
      </c>
      <c r="B668">
        <v>2022</v>
      </c>
      <c r="C668" s="3">
        <v>7079014000000</v>
      </c>
      <c r="D668" s="3">
        <v>85211000000</v>
      </c>
      <c r="E668" s="3">
        <v>18318114000000</v>
      </c>
      <c r="F668" s="3">
        <v>7567768000000</v>
      </c>
      <c r="G668" s="3">
        <v>14320858000000</v>
      </c>
      <c r="H668" s="3">
        <v>12442223000000</v>
      </c>
      <c r="I668" s="3">
        <v>3997256000000</v>
      </c>
      <c r="J668" s="3">
        <v>3809696000000</v>
      </c>
      <c r="K668" s="3">
        <v>-4874455000000</v>
      </c>
      <c r="M668" s="3">
        <v>41218881000000</v>
      </c>
      <c r="N668" s="3">
        <v>5364761000000</v>
      </c>
      <c r="O668" s="3">
        <v>1284026000000</v>
      </c>
      <c r="P668">
        <f t="shared" si="152"/>
        <v>1.8223918766180582</v>
      </c>
      <c r="Q668">
        <f t="shared" si="153"/>
        <v>0</v>
      </c>
      <c r="R668" t="str">
        <f t="shared" si="158"/>
        <v>Grey Area</v>
      </c>
      <c r="S668">
        <f t="shared" si="154"/>
        <v>-0.26610026556227351</v>
      </c>
      <c r="T668">
        <f t="shared" si="155"/>
        <v>0.20797424887736804</v>
      </c>
      <c r="U668">
        <f t="shared" si="156"/>
        <v>0.38644884511582361</v>
      </c>
      <c r="V668">
        <f t="shared" si="157"/>
        <v>0.27912126494096934</v>
      </c>
      <c r="X668" s="13">
        <f t="shared" si="159"/>
        <v>0.93663895808010889</v>
      </c>
      <c r="Y668" s="10"/>
      <c r="Z668" s="10"/>
      <c r="AB668" s="10" t="str">
        <f t="shared" si="160"/>
        <v>Non-Distress</v>
      </c>
      <c r="AC668" s="10">
        <f t="shared" si="161"/>
        <v>0</v>
      </c>
      <c r="AE668" s="10">
        <f t="shared" si="162"/>
        <v>0</v>
      </c>
      <c r="AG668" s="13">
        <f t="shared" si="163"/>
        <v>0.5</v>
      </c>
      <c r="AH668" s="13">
        <f t="shared" si="164"/>
        <v>0.5</v>
      </c>
      <c r="AI668" s="10">
        <f t="shared" si="165"/>
        <v>0.25</v>
      </c>
    </row>
    <row r="669" spans="1:35" x14ac:dyDescent="0.3">
      <c r="A669" t="s">
        <v>182</v>
      </c>
      <c r="B669">
        <v>2025</v>
      </c>
      <c r="C669" s="3">
        <v>184922117464</v>
      </c>
      <c r="D669" s="3">
        <v>7266742140</v>
      </c>
      <c r="E669" s="3">
        <v>1337923666089</v>
      </c>
      <c r="F669" s="3">
        <v>722025119944</v>
      </c>
      <c r="G669" s="3">
        <v>245845046037</v>
      </c>
      <c r="H669" s="3">
        <v>148592544856</v>
      </c>
      <c r="I669" s="3">
        <v>1092078620052</v>
      </c>
      <c r="J669" s="3">
        <v>672343562359</v>
      </c>
      <c r="K669" s="3">
        <v>573432575088</v>
      </c>
      <c r="M669" s="3">
        <v>1410667764627</v>
      </c>
      <c r="N669" s="3">
        <v>136739107559</v>
      </c>
      <c r="O669" s="3">
        <v>85074871565</v>
      </c>
      <c r="P669">
        <f t="shared" si="152"/>
        <v>10.042907544072715</v>
      </c>
      <c r="Q669">
        <f t="shared" si="153"/>
        <v>0</v>
      </c>
      <c r="R669" t="str">
        <f t="shared" si="158"/>
        <v>Safe</v>
      </c>
      <c r="S669">
        <f t="shared" si="154"/>
        <v>0.42859887273259034</v>
      </c>
      <c r="T669">
        <f t="shared" si="155"/>
        <v>0.50252759510890888</v>
      </c>
      <c r="U669">
        <f t="shared" si="156"/>
        <v>0.13821574589868926</v>
      </c>
      <c r="V669">
        <f t="shared" si="157"/>
        <v>4.4421420632882747</v>
      </c>
      <c r="X669" s="13">
        <f t="shared" si="159"/>
        <v>5.1260928274670539</v>
      </c>
      <c r="Y669" s="10"/>
      <c r="Z669" s="10"/>
      <c r="AB669" s="10" t="str">
        <f t="shared" si="160"/>
        <v>Non-Distress</v>
      </c>
      <c r="AC669" s="10">
        <f t="shared" si="161"/>
        <v>0</v>
      </c>
      <c r="AE669" s="10">
        <f t="shared" si="162"/>
        <v>0</v>
      </c>
      <c r="AG669" s="13">
        <f t="shared" si="163"/>
        <v>0.5</v>
      </c>
      <c r="AH669" s="13">
        <f t="shared" si="164"/>
        <v>0.5</v>
      </c>
      <c r="AI669" s="10">
        <f t="shared" si="165"/>
        <v>0.25</v>
      </c>
    </row>
    <row r="670" spans="1:35" x14ac:dyDescent="0.3">
      <c r="A670" t="s">
        <v>182</v>
      </c>
      <c r="B670">
        <v>2024</v>
      </c>
      <c r="C670" s="3">
        <v>234776581167</v>
      </c>
      <c r="D670" s="3">
        <v>7783633987</v>
      </c>
      <c r="E670" s="3">
        <v>1284957443404</v>
      </c>
      <c r="F670" s="3">
        <v>665720837796</v>
      </c>
      <c r="G670" s="3">
        <v>261064980740</v>
      </c>
      <c r="H670" s="3">
        <v>161688873370</v>
      </c>
      <c r="I670" s="3">
        <v>1023892462664</v>
      </c>
      <c r="J670" s="3">
        <v>604684454800</v>
      </c>
      <c r="K670" s="3">
        <v>504031964426</v>
      </c>
      <c r="M670" s="3">
        <v>1404132465162</v>
      </c>
      <c r="N670" s="3">
        <v>175945630508</v>
      </c>
      <c r="O670" s="3">
        <v>129399980192</v>
      </c>
      <c r="P670">
        <f t="shared" si="152"/>
        <v>9.4532159392399411</v>
      </c>
      <c r="Q670">
        <f t="shared" si="153"/>
        <v>0</v>
      </c>
      <c r="R670" t="str">
        <f t="shared" si="158"/>
        <v>Safe</v>
      </c>
      <c r="S670">
        <f t="shared" si="154"/>
        <v>0.39225576458840644</v>
      </c>
      <c r="T670">
        <f t="shared" si="155"/>
        <v>0.47058714504826038</v>
      </c>
      <c r="U670">
        <f t="shared" si="156"/>
        <v>0.18271156167246275</v>
      </c>
      <c r="V670">
        <f t="shared" si="157"/>
        <v>3.921983177374968</v>
      </c>
      <c r="X670" s="13">
        <f t="shared" si="159"/>
        <v>4.9921726116792993</v>
      </c>
      <c r="Y670" s="10"/>
      <c r="Z670" s="10"/>
      <c r="AB670" s="10" t="str">
        <f t="shared" si="160"/>
        <v>Non-Distress</v>
      </c>
      <c r="AC670" s="10">
        <f t="shared" si="161"/>
        <v>0</v>
      </c>
      <c r="AE670" s="10">
        <f t="shared" si="162"/>
        <v>0</v>
      </c>
      <c r="AG670" s="13">
        <f t="shared" si="163"/>
        <v>0.5</v>
      </c>
      <c r="AH670" s="13">
        <f t="shared" si="164"/>
        <v>0.5</v>
      </c>
      <c r="AI670" s="10">
        <f t="shared" si="165"/>
        <v>0.25</v>
      </c>
    </row>
    <row r="671" spans="1:35" x14ac:dyDescent="0.3">
      <c r="A671" t="s">
        <v>182</v>
      </c>
      <c r="B671">
        <v>2023</v>
      </c>
      <c r="C671" s="3">
        <v>249350503611</v>
      </c>
      <c r="D671" s="3">
        <v>13593731218</v>
      </c>
      <c r="E671" s="3">
        <v>1148235338153</v>
      </c>
      <c r="F671" s="3">
        <v>599955067504</v>
      </c>
      <c r="G671" s="3">
        <v>229498076801</v>
      </c>
      <c r="H671" s="3">
        <v>158968054256</v>
      </c>
      <c r="I671" s="3">
        <v>918737261352</v>
      </c>
      <c r="J671" s="3">
        <v>502172824292</v>
      </c>
      <c r="K671" s="3">
        <v>440987013248</v>
      </c>
      <c r="M671" s="3">
        <v>1362119699094</v>
      </c>
      <c r="N671" s="3">
        <v>178455165962</v>
      </c>
      <c r="O671" s="3">
        <v>70571636547</v>
      </c>
      <c r="P671">
        <f t="shared" si="152"/>
        <v>9.6078697461696621</v>
      </c>
      <c r="Q671">
        <f t="shared" si="153"/>
        <v>0</v>
      </c>
      <c r="R671" t="str">
        <f t="shared" si="158"/>
        <v>Safe</v>
      </c>
      <c r="S671">
        <f t="shared" si="154"/>
        <v>0.38405629803847702</v>
      </c>
      <c r="T671">
        <f t="shared" si="155"/>
        <v>0.43734311913773072</v>
      </c>
      <c r="U671">
        <f t="shared" si="156"/>
        <v>0.21715975403796059</v>
      </c>
      <c r="V671">
        <f t="shared" si="157"/>
        <v>4.0032460147744331</v>
      </c>
      <c r="X671" s="13">
        <f t="shared" si="159"/>
        <v>5.0032254121974846</v>
      </c>
      <c r="Y671" s="10"/>
      <c r="Z671" s="10"/>
      <c r="AB671" s="10" t="str">
        <f t="shared" si="160"/>
        <v>Non-Distress</v>
      </c>
      <c r="AC671" s="10">
        <f t="shared" si="161"/>
        <v>0</v>
      </c>
      <c r="AE671" s="10">
        <f t="shared" si="162"/>
        <v>0</v>
      </c>
      <c r="AG671" s="13">
        <f t="shared" si="163"/>
        <v>0.5</v>
      </c>
      <c r="AH671" s="13">
        <f t="shared" si="164"/>
        <v>0.5</v>
      </c>
      <c r="AI671" s="10">
        <f t="shared" si="165"/>
        <v>0.25</v>
      </c>
    </row>
    <row r="672" spans="1:35" x14ac:dyDescent="0.3">
      <c r="A672" t="s">
        <v>182</v>
      </c>
      <c r="B672">
        <v>2022</v>
      </c>
      <c r="C672" s="3">
        <v>147723788385</v>
      </c>
      <c r="D672" s="3">
        <v>15327319856</v>
      </c>
      <c r="E672" s="3">
        <v>1150904222886</v>
      </c>
      <c r="F672" s="3">
        <v>631372396667</v>
      </c>
      <c r="G672" s="3">
        <v>349890773766</v>
      </c>
      <c r="H672" s="3">
        <v>245940888500</v>
      </c>
      <c r="I672" s="3">
        <v>801013449120</v>
      </c>
      <c r="J672" s="3">
        <v>387089658330</v>
      </c>
      <c r="K672" s="3">
        <v>385431508167</v>
      </c>
      <c r="M672" s="3">
        <v>1045720530167</v>
      </c>
      <c r="N672" s="3">
        <v>97639053688</v>
      </c>
      <c r="O672" s="3">
        <v>141323700881</v>
      </c>
      <c r="P672">
        <f t="shared" ref="P672:P704" si="166">6.56*(F672-H672)/E672+3.26*J672/E672+6.72*C672/E672+1.05*I672/G672</f>
        <v>6.5596939664008733</v>
      </c>
      <c r="Q672">
        <f t="shared" ref="Q672:Q704" si="167">IF(VALUE(TRIM(P672))&lt;=1.1, 1, 0)</f>
        <v>0</v>
      </c>
      <c r="R672" t="str">
        <f t="shared" si="158"/>
        <v>Safe</v>
      </c>
      <c r="S672">
        <f t="shared" ref="S672:S704" si="168">MAX(-2,MIN(K672/E672,2))</f>
        <v>0.33489451207372795</v>
      </c>
      <c r="T672">
        <f t="shared" ref="T672:T704" si="169" xml:space="preserve"> J672/E672</f>
        <v>0.33633524895697792</v>
      </c>
      <c r="U672">
        <f t="shared" ref="U672:U704" si="170">C672/E672</f>
        <v>0.12835454544998434</v>
      </c>
      <c r="V672">
        <f t="shared" ref="V672:V704" si="171">I672/G672</f>
        <v>2.2893242954034045</v>
      </c>
      <c r="X672" s="13">
        <f t="shared" si="159"/>
        <v>3.8684770286103678</v>
      </c>
      <c r="Y672" s="10"/>
      <c r="Z672" s="10"/>
      <c r="AB672" s="10" t="str">
        <f t="shared" si="160"/>
        <v>Non-Distress</v>
      </c>
      <c r="AC672" s="10">
        <f t="shared" si="161"/>
        <v>0</v>
      </c>
      <c r="AE672" s="10">
        <f t="shared" si="162"/>
        <v>0</v>
      </c>
      <c r="AG672" s="13">
        <f t="shared" si="163"/>
        <v>0.5</v>
      </c>
      <c r="AH672" s="13">
        <f t="shared" si="164"/>
        <v>0.5</v>
      </c>
      <c r="AI672" s="10">
        <f t="shared" si="165"/>
        <v>0.25</v>
      </c>
    </row>
    <row r="673" spans="1:35" x14ac:dyDescent="0.3">
      <c r="A673" t="s">
        <v>183</v>
      </c>
      <c r="B673">
        <v>2025</v>
      </c>
      <c r="C673" s="3">
        <v>20121000000</v>
      </c>
      <c r="D673" s="3">
        <v>16362000000</v>
      </c>
      <c r="E673" s="3">
        <v>1798212000000</v>
      </c>
      <c r="F673" s="3">
        <v>727542000000</v>
      </c>
      <c r="G673" s="3">
        <v>553024000000</v>
      </c>
      <c r="H673" s="3">
        <v>314045000000</v>
      </c>
      <c r="I673" s="3">
        <v>1035971000000</v>
      </c>
      <c r="J673" s="3">
        <v>-79796000000</v>
      </c>
      <c r="K673" s="3">
        <v>413497000000</v>
      </c>
      <c r="M673" s="3">
        <v>1089237000000</v>
      </c>
      <c r="N673" s="3">
        <v>-11368000000</v>
      </c>
      <c r="O673" s="3">
        <v>219429000000</v>
      </c>
      <c r="P673">
        <f t="shared" si="166"/>
        <v>3.4059434036090552</v>
      </c>
      <c r="Q673">
        <f t="shared" si="167"/>
        <v>0</v>
      </c>
      <c r="R673" t="str">
        <f t="shared" si="158"/>
        <v>Safe</v>
      </c>
      <c r="S673">
        <f t="shared" si="168"/>
        <v>0.22994897153394595</v>
      </c>
      <c r="T673">
        <f t="shared" si="169"/>
        <v>-4.4375190466974974E-2</v>
      </c>
      <c r="U673">
        <f t="shared" si="170"/>
        <v>1.1189448185197296E-2</v>
      </c>
      <c r="V673">
        <f t="shared" si="171"/>
        <v>1.8732839804420784</v>
      </c>
      <c r="X673" s="13">
        <f t="shared" si="159"/>
        <v>1.3945953309472663</v>
      </c>
      <c r="Y673" s="10"/>
      <c r="Z673" s="10"/>
      <c r="AB673" s="10" t="str">
        <f t="shared" si="160"/>
        <v>Non-Distress</v>
      </c>
      <c r="AC673" s="10">
        <f t="shared" si="161"/>
        <v>0</v>
      </c>
      <c r="AE673" s="10">
        <f t="shared" si="162"/>
        <v>0</v>
      </c>
      <c r="AG673" s="13">
        <f t="shared" si="163"/>
        <v>0.5</v>
      </c>
      <c r="AH673" s="13">
        <f t="shared" si="164"/>
        <v>0.5</v>
      </c>
      <c r="AI673" s="10">
        <f t="shared" si="165"/>
        <v>0.25</v>
      </c>
    </row>
    <row r="674" spans="1:35" x14ac:dyDescent="0.3">
      <c r="A674" t="s">
        <v>183</v>
      </c>
      <c r="B674">
        <v>2024</v>
      </c>
      <c r="C674" s="3">
        <v>21041000000</v>
      </c>
      <c r="D674" s="3">
        <v>7598000000</v>
      </c>
      <c r="E674" s="3">
        <v>1608602000000</v>
      </c>
      <c r="F674" s="3">
        <v>729976000000</v>
      </c>
      <c r="G674" s="3">
        <v>452676000000</v>
      </c>
      <c r="H674" s="3">
        <v>292405000000</v>
      </c>
      <c r="I674" s="3">
        <v>1052068000000</v>
      </c>
      <c r="J674" s="3">
        <v>-68428000000</v>
      </c>
      <c r="K674" s="3">
        <v>437571000000</v>
      </c>
      <c r="M674" s="3">
        <v>1003658000000</v>
      </c>
      <c r="N674" s="3">
        <v>7567000000</v>
      </c>
      <c r="O674" s="3">
        <v>123870000000</v>
      </c>
      <c r="P674">
        <f t="shared" si="166"/>
        <v>4.1739842051997789</v>
      </c>
      <c r="Q674">
        <f t="shared" si="167"/>
        <v>0</v>
      </c>
      <c r="R674" t="str">
        <f t="shared" si="158"/>
        <v>Safe</v>
      </c>
      <c r="S674">
        <f t="shared" si="168"/>
        <v>0.27201943053657773</v>
      </c>
      <c r="T674">
        <f t="shared" si="169"/>
        <v>-4.2538800772347667E-2</v>
      </c>
      <c r="U674">
        <f t="shared" si="170"/>
        <v>1.3080302026231474E-2</v>
      </c>
      <c r="V674">
        <f t="shared" si="171"/>
        <v>2.3241081921727682</v>
      </c>
      <c r="X674" s="13">
        <f t="shared" si="159"/>
        <v>1.6862608383490676</v>
      </c>
      <c r="Y674" s="10"/>
      <c r="Z674" s="10"/>
      <c r="AB674" s="10" t="str">
        <f t="shared" si="160"/>
        <v>Non-Distress</v>
      </c>
      <c r="AC674" s="10">
        <f t="shared" si="161"/>
        <v>0</v>
      </c>
      <c r="AE674" s="10">
        <f t="shared" si="162"/>
        <v>0</v>
      </c>
      <c r="AG674" s="13">
        <f t="shared" si="163"/>
        <v>0.5</v>
      </c>
      <c r="AH674" s="13">
        <f t="shared" si="164"/>
        <v>0.5</v>
      </c>
      <c r="AI674" s="10">
        <f t="shared" si="165"/>
        <v>0.25</v>
      </c>
    </row>
    <row r="675" spans="1:35" x14ac:dyDescent="0.3">
      <c r="A675" t="s">
        <v>183</v>
      </c>
      <c r="B675">
        <v>2023</v>
      </c>
      <c r="C675" s="3">
        <v>53938000000</v>
      </c>
      <c r="D675" s="3">
        <v>11687000000</v>
      </c>
      <c r="E675" s="3">
        <v>1668360000000</v>
      </c>
      <c r="F675" s="3">
        <v>1033363000000</v>
      </c>
      <c r="G675" s="3">
        <v>520502000000</v>
      </c>
      <c r="H675" s="3">
        <v>208872000000</v>
      </c>
      <c r="I675" s="3">
        <v>1040955000000</v>
      </c>
      <c r="J675" s="3">
        <v>-75995000000</v>
      </c>
      <c r="K675" s="3">
        <v>824491000000</v>
      </c>
      <c r="M675" s="3">
        <v>1061862000000</v>
      </c>
      <c r="N675" s="3">
        <v>5428000000</v>
      </c>
      <c r="O675" s="3">
        <v>50359000000</v>
      </c>
      <c r="P675">
        <f t="shared" si="166"/>
        <v>5.4105658897451541</v>
      </c>
      <c r="Q675">
        <f t="shared" si="167"/>
        <v>0</v>
      </c>
      <c r="R675" t="str">
        <f t="shared" si="158"/>
        <v>Safe</v>
      </c>
      <c r="S675">
        <f t="shared" si="168"/>
        <v>0.49419250041957369</v>
      </c>
      <c r="T675">
        <f t="shared" si="169"/>
        <v>-4.5550720468004506E-2</v>
      </c>
      <c r="U675">
        <f t="shared" si="170"/>
        <v>3.2329952767987724E-2</v>
      </c>
      <c r="V675">
        <f t="shared" si="171"/>
        <v>1.9999058601119688</v>
      </c>
      <c r="X675" s="13">
        <f t="shared" si="159"/>
        <v>3.1134900796384364</v>
      </c>
      <c r="Y675" s="10"/>
      <c r="Z675" s="10"/>
      <c r="AB675" s="10" t="str">
        <f t="shared" si="160"/>
        <v>Non-Distress</v>
      </c>
      <c r="AC675" s="10">
        <f t="shared" si="161"/>
        <v>0</v>
      </c>
      <c r="AE675" s="10">
        <f t="shared" si="162"/>
        <v>0</v>
      </c>
      <c r="AG675" s="13">
        <f t="shared" si="163"/>
        <v>0.5</v>
      </c>
      <c r="AH675" s="13">
        <f t="shared" si="164"/>
        <v>0.5</v>
      </c>
      <c r="AI675" s="10">
        <f t="shared" si="165"/>
        <v>0.25</v>
      </c>
    </row>
    <row r="676" spans="1:35" x14ac:dyDescent="0.3">
      <c r="A676" t="s">
        <v>183</v>
      </c>
      <c r="B676">
        <v>2022</v>
      </c>
      <c r="C676" s="3">
        <v>82480000000</v>
      </c>
      <c r="D676" s="3">
        <v>6627000000</v>
      </c>
      <c r="E676" s="3">
        <v>1032905000000</v>
      </c>
      <c r="F676" s="3">
        <v>335837000000</v>
      </c>
      <c r="G676" s="3">
        <v>758025000000</v>
      </c>
      <c r="H676" s="3">
        <v>450043000000</v>
      </c>
      <c r="I676" s="3">
        <v>182225000000</v>
      </c>
      <c r="J676" s="3">
        <v>-81423000000</v>
      </c>
      <c r="K676" s="3">
        <v>-114206000000</v>
      </c>
      <c r="M676" s="3">
        <v>1071130000000</v>
      </c>
      <c r="N676" s="3">
        <v>49596000000</v>
      </c>
      <c r="O676" s="3">
        <v>188710000000</v>
      </c>
      <c r="P676">
        <f t="shared" si="166"/>
        <v>-0.19328484554796355</v>
      </c>
      <c r="Q676">
        <f t="shared" si="167"/>
        <v>1</v>
      </c>
      <c r="R676" t="str">
        <f t="shared" si="158"/>
        <v>Distress</v>
      </c>
      <c r="S676">
        <f t="shared" si="168"/>
        <v>-0.11056776760689511</v>
      </c>
      <c r="T676">
        <f t="shared" si="169"/>
        <v>-7.8829127557713444E-2</v>
      </c>
      <c r="U676">
        <f t="shared" si="170"/>
        <v>7.9852454969237249E-2</v>
      </c>
      <c r="V676">
        <f t="shared" si="171"/>
        <v>0.24039444609346658</v>
      </c>
      <c r="X676" s="13">
        <f t="shared" si="159"/>
        <v>-0.53755584329609563</v>
      </c>
      <c r="Y676" s="10"/>
      <c r="Z676" s="10"/>
      <c r="AB676" s="10" t="str">
        <f t="shared" si="160"/>
        <v>Distress</v>
      </c>
      <c r="AC676" s="10">
        <f t="shared" si="161"/>
        <v>1</v>
      </c>
      <c r="AE676" s="10">
        <f t="shared" si="162"/>
        <v>1</v>
      </c>
      <c r="AG676" s="13">
        <f t="shared" si="163"/>
        <v>0.7310585786300049</v>
      </c>
      <c r="AH676" s="13">
        <f t="shared" si="164"/>
        <v>-0.2689414213699951</v>
      </c>
      <c r="AI676" s="10">
        <f t="shared" si="165"/>
        <v>0.19661193324148185</v>
      </c>
    </row>
    <row r="677" spans="1:35" x14ac:dyDescent="0.3">
      <c r="A677" t="s">
        <v>184</v>
      </c>
      <c r="B677">
        <v>2025</v>
      </c>
      <c r="C677" s="3">
        <v>573853178185</v>
      </c>
      <c r="D677" s="3">
        <v>24926434176</v>
      </c>
      <c r="E677" s="3">
        <v>3205184440480</v>
      </c>
      <c r="F677" s="3">
        <v>2480476398924</v>
      </c>
      <c r="G677" s="3">
        <v>990311805079</v>
      </c>
      <c r="H677" s="3">
        <v>944297348715</v>
      </c>
      <c r="I677" s="3">
        <v>2212805162809</v>
      </c>
      <c r="J677" s="3">
        <v>1671054207182</v>
      </c>
      <c r="K677" s="3">
        <v>1536179050209</v>
      </c>
      <c r="M677" s="3">
        <v>6381690511865</v>
      </c>
      <c r="N677" s="3">
        <v>419207525603</v>
      </c>
      <c r="O677" s="3">
        <v>339639862372</v>
      </c>
      <c r="P677">
        <f t="shared" si="166"/>
        <v>8.3930241015573426</v>
      </c>
      <c r="Q677">
        <f t="shared" si="167"/>
        <v>0</v>
      </c>
      <c r="R677" t="str">
        <f t="shared" si="158"/>
        <v>Safe</v>
      </c>
      <c r="S677">
        <f t="shared" si="168"/>
        <v>0.47927945450120363</v>
      </c>
      <c r="T677">
        <f t="shared" si="169"/>
        <v>0.52135976515964466</v>
      </c>
      <c r="U677">
        <f t="shared" si="170"/>
        <v>0.17903905027663908</v>
      </c>
      <c r="V677">
        <f t="shared" si="171"/>
        <v>2.2344529788095158</v>
      </c>
      <c r="X677" s="13">
        <f t="shared" si="159"/>
        <v>5.6002097760792431</v>
      </c>
      <c r="Y677" s="10"/>
      <c r="Z677" s="10"/>
      <c r="AB677" s="10" t="str">
        <f t="shared" si="160"/>
        <v>Non-Distress</v>
      </c>
      <c r="AC677" s="10">
        <f t="shared" si="161"/>
        <v>0</v>
      </c>
      <c r="AE677" s="10">
        <f t="shared" si="162"/>
        <v>0</v>
      </c>
      <c r="AG677" s="13">
        <f t="shared" si="163"/>
        <v>0.5</v>
      </c>
      <c r="AH677" s="13">
        <f t="shared" si="164"/>
        <v>0.5</v>
      </c>
      <c r="AI677" s="10">
        <f t="shared" si="165"/>
        <v>0.25</v>
      </c>
    </row>
    <row r="678" spans="1:35" x14ac:dyDescent="0.3">
      <c r="A678" t="s">
        <v>184</v>
      </c>
      <c r="B678">
        <v>2024</v>
      </c>
      <c r="C678" s="3">
        <v>387067681487</v>
      </c>
      <c r="D678" s="3">
        <v>10332664178</v>
      </c>
      <c r="E678" s="3">
        <v>3026895275668</v>
      </c>
      <c r="F678" s="3">
        <v>2471135164297</v>
      </c>
      <c r="G678" s="3">
        <v>1110516776947</v>
      </c>
      <c r="H678" s="3">
        <v>1012974885010</v>
      </c>
      <c r="I678" s="3">
        <v>1914495423411</v>
      </c>
      <c r="J678" s="3">
        <v>1391458685876</v>
      </c>
      <c r="K678" s="3">
        <v>1458160279287</v>
      </c>
      <c r="M678" s="3">
        <v>4750889829726</v>
      </c>
      <c r="N678" s="3">
        <v>298682227072</v>
      </c>
      <c r="O678" s="3">
        <v>424465009302</v>
      </c>
      <c r="P678">
        <f t="shared" si="166"/>
        <v>7.328289807299246</v>
      </c>
      <c r="Q678">
        <f t="shared" si="167"/>
        <v>0</v>
      </c>
      <c r="R678" t="str">
        <f t="shared" si="158"/>
        <v>Safe</v>
      </c>
      <c r="S678">
        <f t="shared" si="168"/>
        <v>0.48173463119407106</v>
      </c>
      <c r="T678">
        <f t="shared" si="169"/>
        <v>0.45969832424047824</v>
      </c>
      <c r="U678">
        <f t="shared" si="170"/>
        <v>0.12787613915766502</v>
      </c>
      <c r="V678">
        <f t="shared" si="171"/>
        <v>1.7239680328596876</v>
      </c>
      <c r="X678" s="13">
        <f t="shared" si="159"/>
        <v>5.1436913905551664</v>
      </c>
      <c r="Y678" s="10"/>
      <c r="Z678" s="10"/>
      <c r="AB678" s="10" t="str">
        <f t="shared" si="160"/>
        <v>Non-Distress</v>
      </c>
      <c r="AC678" s="10">
        <f t="shared" si="161"/>
        <v>0</v>
      </c>
      <c r="AE678" s="10">
        <f t="shared" si="162"/>
        <v>0</v>
      </c>
      <c r="AG678" s="13">
        <f t="shared" si="163"/>
        <v>0.5</v>
      </c>
      <c r="AH678" s="13">
        <f t="shared" si="164"/>
        <v>0.5</v>
      </c>
      <c r="AI678" s="10">
        <f t="shared" si="165"/>
        <v>0.25</v>
      </c>
    </row>
    <row r="679" spans="1:35" x14ac:dyDescent="0.3">
      <c r="A679" t="s">
        <v>184</v>
      </c>
      <c r="B679">
        <v>2023</v>
      </c>
      <c r="C679" s="3">
        <v>635753124776</v>
      </c>
      <c r="D679" s="3">
        <v>917322683</v>
      </c>
      <c r="E679" s="3">
        <v>2575756967645</v>
      </c>
      <c r="F679" s="3">
        <v>2214577722230</v>
      </c>
      <c r="G679" s="3">
        <v>728434659389</v>
      </c>
      <c r="H679" s="3">
        <v>718170426248</v>
      </c>
      <c r="I679" s="3">
        <v>1845248771903</v>
      </c>
      <c r="J679" s="3">
        <v>1322583803587</v>
      </c>
      <c r="K679" s="3">
        <v>1496407295982</v>
      </c>
      <c r="M679" s="3">
        <v>4874784628824</v>
      </c>
      <c r="N679" s="3">
        <v>494312833186</v>
      </c>
      <c r="O679" s="3">
        <v>34343049371</v>
      </c>
      <c r="P679">
        <f t="shared" si="166"/>
        <v>9.8034822257392307</v>
      </c>
      <c r="Q679">
        <f t="shared" si="167"/>
        <v>0</v>
      </c>
      <c r="R679" t="str">
        <f t="shared" si="158"/>
        <v>Safe</v>
      </c>
      <c r="S679">
        <f t="shared" si="168"/>
        <v>0.58095826383424543</v>
      </c>
      <c r="T679">
        <f t="shared" si="169"/>
        <v>0.51347383320726525</v>
      </c>
      <c r="U679">
        <f t="shared" si="170"/>
        <v>0.24682185965598513</v>
      </c>
      <c r="V679">
        <f t="shared" si="171"/>
        <v>2.5331699255644518</v>
      </c>
      <c r="X679" s="13">
        <f t="shared" si="159"/>
        <v>6.5365398845676834</v>
      </c>
      <c r="Y679" s="10"/>
      <c r="Z679" s="10"/>
      <c r="AB679" s="10" t="str">
        <f t="shared" si="160"/>
        <v>Non-Distress</v>
      </c>
      <c r="AC679" s="10">
        <f t="shared" si="161"/>
        <v>0</v>
      </c>
      <c r="AE679" s="10">
        <f t="shared" si="162"/>
        <v>0</v>
      </c>
      <c r="AG679" s="13">
        <f t="shared" si="163"/>
        <v>0.5</v>
      </c>
      <c r="AH679" s="13">
        <f t="shared" si="164"/>
        <v>0.5</v>
      </c>
      <c r="AI679" s="10">
        <f t="shared" si="165"/>
        <v>0.25</v>
      </c>
    </row>
    <row r="680" spans="1:35" x14ac:dyDescent="0.3">
      <c r="A680" t="s">
        <v>184</v>
      </c>
      <c r="B680">
        <v>2022</v>
      </c>
      <c r="C680" s="3">
        <v>320588178894</v>
      </c>
      <c r="D680" s="3">
        <v>1117127852</v>
      </c>
      <c r="E680" s="3">
        <v>2168793843296</v>
      </c>
      <c r="F680" s="3">
        <v>1876123954487</v>
      </c>
      <c r="G680" s="3">
        <v>667866337031</v>
      </c>
      <c r="H680" s="3">
        <v>661604830345</v>
      </c>
      <c r="I680" s="3">
        <v>1499049586750</v>
      </c>
      <c r="J680" s="3">
        <v>989955379124</v>
      </c>
      <c r="K680" s="3">
        <v>1214519124142</v>
      </c>
      <c r="M680" s="3">
        <v>3704350294106</v>
      </c>
      <c r="N680" s="3">
        <v>249331695478</v>
      </c>
      <c r="O680" s="3">
        <v>7567742990</v>
      </c>
      <c r="P680">
        <f t="shared" si="166"/>
        <v>8.5117281784297703</v>
      </c>
      <c r="Q680">
        <f t="shared" si="167"/>
        <v>0</v>
      </c>
      <c r="R680" t="str">
        <f t="shared" si="158"/>
        <v>Safe</v>
      </c>
      <c r="S680">
        <f t="shared" si="168"/>
        <v>0.55999749717854619</v>
      </c>
      <c r="T680">
        <f t="shared" si="169"/>
        <v>0.45645434773990617</v>
      </c>
      <c r="U680">
        <f t="shared" si="170"/>
        <v>0.14781865039177247</v>
      </c>
      <c r="V680">
        <f t="shared" si="171"/>
        <v>2.2445353263559076</v>
      </c>
      <c r="X680" s="13">
        <f t="shared" si="159"/>
        <v>5.7302298236430529</v>
      </c>
      <c r="Y680" s="10"/>
      <c r="Z680" s="10"/>
      <c r="AB680" s="10" t="str">
        <f t="shared" si="160"/>
        <v>Non-Distress</v>
      </c>
      <c r="AC680" s="10">
        <f t="shared" si="161"/>
        <v>0</v>
      </c>
      <c r="AE680" s="10">
        <f t="shared" si="162"/>
        <v>0</v>
      </c>
      <c r="AG680" s="13">
        <f t="shared" si="163"/>
        <v>0.5</v>
      </c>
      <c r="AH680" s="13">
        <f t="shared" si="164"/>
        <v>0.5</v>
      </c>
      <c r="AI680" s="10">
        <f t="shared" si="165"/>
        <v>0.25</v>
      </c>
    </row>
    <row r="681" spans="1:35" x14ac:dyDescent="0.3">
      <c r="A681" t="s">
        <v>185</v>
      </c>
      <c r="B681">
        <v>2025</v>
      </c>
      <c r="C681" s="3">
        <v>59015097420</v>
      </c>
      <c r="D681" s="3">
        <v>7810135717</v>
      </c>
      <c r="E681" s="3">
        <v>452839418342</v>
      </c>
      <c r="F681" s="3">
        <v>244174609272</v>
      </c>
      <c r="G681" s="3">
        <v>114295615691</v>
      </c>
      <c r="H681" s="3">
        <v>95839100739</v>
      </c>
      <c r="I681" s="3">
        <v>337046869560</v>
      </c>
      <c r="J681" s="3">
        <v>118089435354</v>
      </c>
      <c r="K681" s="3">
        <v>148335508533</v>
      </c>
      <c r="M681" s="3">
        <v>285763056947</v>
      </c>
      <c r="N681" s="3">
        <v>39522555676</v>
      </c>
      <c r="O681" s="3">
        <v>83620921436</v>
      </c>
      <c r="P681">
        <f t="shared" si="166"/>
        <v>6.9710875184805143</v>
      </c>
      <c r="Q681">
        <f t="shared" si="167"/>
        <v>0</v>
      </c>
      <c r="R681" t="str">
        <f t="shared" si="158"/>
        <v>Safe</v>
      </c>
      <c r="S681">
        <f t="shared" si="168"/>
        <v>0.32756757147181892</v>
      </c>
      <c r="T681">
        <f t="shared" si="169"/>
        <v>0.2607755212352445</v>
      </c>
      <c r="U681">
        <f t="shared" si="170"/>
        <v>0.13032235054994651</v>
      </c>
      <c r="V681">
        <f t="shared" si="171"/>
        <v>2.9489046235265186</v>
      </c>
      <c r="X681" s="13">
        <f t="shared" si="159"/>
        <v>3.613894008898848</v>
      </c>
      <c r="Y681" s="10"/>
      <c r="Z681" s="10"/>
      <c r="AB681" s="10" t="str">
        <f t="shared" si="160"/>
        <v>Non-Distress</v>
      </c>
      <c r="AC681" s="10">
        <f t="shared" si="161"/>
        <v>0</v>
      </c>
      <c r="AE681" s="10">
        <f t="shared" si="162"/>
        <v>0</v>
      </c>
      <c r="AG681" s="13">
        <f t="shared" si="163"/>
        <v>0.5</v>
      </c>
      <c r="AH681" s="13">
        <f t="shared" si="164"/>
        <v>0.5</v>
      </c>
      <c r="AI681" s="10">
        <f t="shared" si="165"/>
        <v>0.25</v>
      </c>
    </row>
    <row r="682" spans="1:35" x14ac:dyDescent="0.3">
      <c r="A682" t="s">
        <v>185</v>
      </c>
      <c r="B682">
        <v>2024</v>
      </c>
      <c r="C682" s="3">
        <v>68439162174</v>
      </c>
      <c r="D682" s="3">
        <v>9014157190</v>
      </c>
      <c r="E682" s="3">
        <v>451382917289</v>
      </c>
      <c r="F682" s="3">
        <v>269903051457</v>
      </c>
      <c r="G682" s="3">
        <v>144656760955</v>
      </c>
      <c r="H682" s="3">
        <v>119049160726</v>
      </c>
      <c r="I682" s="3">
        <v>305278597961</v>
      </c>
      <c r="J682" s="3">
        <v>88051879678</v>
      </c>
      <c r="K682" s="3">
        <v>150853890731</v>
      </c>
      <c r="M682" s="3">
        <v>283831655701</v>
      </c>
      <c r="N682" s="3">
        <v>44788806221</v>
      </c>
      <c r="O682" s="3">
        <v>105164704725</v>
      </c>
      <c r="P682">
        <f t="shared" si="166"/>
        <v>6.0630867243526048</v>
      </c>
      <c r="Q682">
        <f t="shared" si="167"/>
        <v>0</v>
      </c>
      <c r="R682" t="str">
        <f t="shared" si="158"/>
        <v>Safe</v>
      </c>
      <c r="S682">
        <f t="shared" si="168"/>
        <v>0.33420381000908617</v>
      </c>
      <c r="T682">
        <f t="shared" si="169"/>
        <v>0.19507136026954333</v>
      </c>
      <c r="U682">
        <f t="shared" si="170"/>
        <v>0.15162107282447623</v>
      </c>
      <c r="V682">
        <f t="shared" si="171"/>
        <v>2.1103652255560075</v>
      </c>
      <c r="X682" s="13">
        <f t="shared" si="159"/>
        <v>3.506107833518842</v>
      </c>
      <c r="Y682" s="10"/>
      <c r="Z682" s="10"/>
      <c r="AB682" s="10" t="str">
        <f t="shared" si="160"/>
        <v>Non-Distress</v>
      </c>
      <c r="AC682" s="10">
        <f t="shared" si="161"/>
        <v>0</v>
      </c>
      <c r="AE682" s="10">
        <f t="shared" si="162"/>
        <v>0</v>
      </c>
      <c r="AG682" s="13">
        <f t="shared" si="163"/>
        <v>0.5</v>
      </c>
      <c r="AH682" s="13">
        <f t="shared" si="164"/>
        <v>0.5</v>
      </c>
      <c r="AI682" s="10">
        <f t="shared" si="165"/>
        <v>0.25</v>
      </c>
    </row>
    <row r="683" spans="1:35" x14ac:dyDescent="0.3">
      <c r="A683" t="s">
        <v>185</v>
      </c>
      <c r="B683">
        <v>2023</v>
      </c>
      <c r="C683" s="3">
        <v>60528196590</v>
      </c>
      <c r="D683" s="3">
        <v>8081936254</v>
      </c>
      <c r="E683" s="3">
        <v>384456549911</v>
      </c>
      <c r="F683" s="3">
        <v>217466387369</v>
      </c>
      <c r="G683" s="3">
        <v>117676274871</v>
      </c>
      <c r="H683" s="3">
        <v>51573717336</v>
      </c>
      <c r="I683" s="3">
        <v>265449510339</v>
      </c>
      <c r="J683" s="3">
        <v>56411573457</v>
      </c>
      <c r="K683" s="3">
        <v>165892670033</v>
      </c>
      <c r="M683" s="3">
        <v>253679069291</v>
      </c>
      <c r="N683" s="3">
        <v>39620952370</v>
      </c>
      <c r="O683" s="3">
        <v>81668327375</v>
      </c>
      <c r="P683">
        <f t="shared" si="166"/>
        <v>6.7355106357271737</v>
      </c>
      <c r="Q683">
        <f t="shared" si="167"/>
        <v>0</v>
      </c>
      <c r="R683" t="str">
        <f t="shared" si="158"/>
        <v>Safe</v>
      </c>
      <c r="S683">
        <f t="shared" si="168"/>
        <v>0.43149913838482767</v>
      </c>
      <c r="T683">
        <f t="shared" si="169"/>
        <v>0.14673068639371351</v>
      </c>
      <c r="U683">
        <f t="shared" si="170"/>
        <v>0.15743832847694236</v>
      </c>
      <c r="V683">
        <f t="shared" si="171"/>
        <v>2.2557606503944241</v>
      </c>
      <c r="X683" s="13">
        <f t="shared" si="159"/>
        <v>3.9767167561645969</v>
      </c>
      <c r="Y683" s="10"/>
      <c r="Z683" s="10"/>
      <c r="AB683" s="10" t="str">
        <f t="shared" si="160"/>
        <v>Non-Distress</v>
      </c>
      <c r="AC683" s="10">
        <f t="shared" si="161"/>
        <v>0</v>
      </c>
      <c r="AE683" s="10">
        <f t="shared" si="162"/>
        <v>0</v>
      </c>
      <c r="AG683" s="13">
        <f t="shared" si="163"/>
        <v>0.5</v>
      </c>
      <c r="AH683" s="13">
        <f t="shared" si="164"/>
        <v>0.5</v>
      </c>
      <c r="AI683" s="10">
        <f t="shared" si="165"/>
        <v>0.25</v>
      </c>
    </row>
    <row r="684" spans="1:35" x14ac:dyDescent="0.3">
      <c r="A684" t="s">
        <v>185</v>
      </c>
      <c r="B684">
        <v>2022</v>
      </c>
      <c r="C684" s="3">
        <v>41204709893</v>
      </c>
      <c r="D684" s="3">
        <v>12318056211</v>
      </c>
      <c r="E684" s="3">
        <v>303342627861</v>
      </c>
      <c r="F684" s="3">
        <v>141663503264</v>
      </c>
      <c r="G684" s="3">
        <v>154773090976</v>
      </c>
      <c r="H684" s="3">
        <v>95614498297</v>
      </c>
      <c r="I684" s="3">
        <v>148060733540</v>
      </c>
      <c r="J684" s="3">
        <v>41119119168</v>
      </c>
      <c r="K684" s="3">
        <v>46049004967</v>
      </c>
      <c r="M684" s="3">
        <v>189386467213</v>
      </c>
      <c r="N684" s="3">
        <v>21235396846</v>
      </c>
      <c r="O684" s="3">
        <v>131054189055</v>
      </c>
      <c r="P684">
        <f t="shared" si="166"/>
        <v>3.3550238604385125</v>
      </c>
      <c r="Q684">
        <f t="shared" si="167"/>
        <v>0</v>
      </c>
      <c r="R684" t="str">
        <f t="shared" si="158"/>
        <v>Safe</v>
      </c>
      <c r="S684">
        <f t="shared" si="168"/>
        <v>0.15180525497425615</v>
      </c>
      <c r="T684">
        <f t="shared" si="169"/>
        <v>0.13555338218683172</v>
      </c>
      <c r="U684">
        <f t="shared" si="170"/>
        <v>0.13583554076640075</v>
      </c>
      <c r="V684">
        <f t="shared" si="171"/>
        <v>0.9566309789791505</v>
      </c>
      <c r="X684" s="13">
        <f t="shared" si="159"/>
        <v>2.070295979114404</v>
      </c>
      <c r="Y684" s="10"/>
      <c r="Z684" s="10"/>
      <c r="AB684" s="10" t="str">
        <f t="shared" si="160"/>
        <v>Non-Distress</v>
      </c>
      <c r="AC684" s="10">
        <f t="shared" si="161"/>
        <v>0</v>
      </c>
      <c r="AE684" s="10">
        <f t="shared" si="162"/>
        <v>0</v>
      </c>
      <c r="AG684" s="13">
        <f t="shared" si="163"/>
        <v>0.5</v>
      </c>
      <c r="AH684" s="13">
        <f t="shared" si="164"/>
        <v>0.5</v>
      </c>
      <c r="AI684" s="10">
        <f t="shared" si="165"/>
        <v>0.25</v>
      </c>
    </row>
    <row r="685" spans="1:35" x14ac:dyDescent="0.3">
      <c r="A685" t="s">
        <v>186</v>
      </c>
      <c r="B685">
        <v>2025</v>
      </c>
      <c r="C685" s="3">
        <v>-45043033610</v>
      </c>
      <c r="D685" s="3">
        <v>38556190151</v>
      </c>
      <c r="E685" s="3">
        <v>2332993951925</v>
      </c>
      <c r="F685" s="3">
        <v>147767536681</v>
      </c>
      <c r="G685" s="3">
        <v>1555093418137</v>
      </c>
      <c r="H685" s="3">
        <v>112144481067</v>
      </c>
      <c r="I685" s="3">
        <v>774445218752</v>
      </c>
      <c r="J685" s="3">
        <v>-135432760751</v>
      </c>
      <c r="K685" s="3">
        <v>35623055614</v>
      </c>
      <c r="M685" s="3">
        <v>740937683190</v>
      </c>
      <c r="N685" s="3">
        <v>-83042544552</v>
      </c>
      <c r="O685" s="3">
        <v>1254220351478</v>
      </c>
      <c r="P685">
        <f t="shared" si="166"/>
        <v>0.30408286952174429</v>
      </c>
      <c r="Q685">
        <f t="shared" si="167"/>
        <v>1</v>
      </c>
      <c r="R685" t="str">
        <f t="shared" si="158"/>
        <v>Distress</v>
      </c>
      <c r="S685">
        <f t="shared" si="168"/>
        <v>1.5269244733620806E-2</v>
      </c>
      <c r="T685">
        <f t="shared" si="169"/>
        <v>-5.8051055228519437E-2</v>
      </c>
      <c r="U685">
        <f t="shared" si="170"/>
        <v>-1.9306965443624102E-2</v>
      </c>
      <c r="V685">
        <f t="shared" si="171"/>
        <v>0.49800559228125629</v>
      </c>
      <c r="X685" s="13">
        <f t="shared" si="159"/>
        <v>-0.16894394689916731</v>
      </c>
      <c r="Y685" s="10"/>
      <c r="Z685" s="10"/>
      <c r="AB685" s="10" t="str">
        <f t="shared" si="160"/>
        <v>Distress</v>
      </c>
      <c r="AC685" s="10">
        <f t="shared" si="161"/>
        <v>1</v>
      </c>
      <c r="AE685" s="10">
        <f t="shared" si="162"/>
        <v>1</v>
      </c>
      <c r="AG685" s="13">
        <f t="shared" si="163"/>
        <v>0.7310585786300049</v>
      </c>
      <c r="AH685" s="13">
        <f t="shared" si="164"/>
        <v>-0.2689414213699951</v>
      </c>
      <c r="AI685" s="10">
        <f t="shared" si="165"/>
        <v>0.19661193324148185</v>
      </c>
    </row>
    <row r="686" spans="1:35" x14ac:dyDescent="0.3">
      <c r="A686" t="s">
        <v>186</v>
      </c>
      <c r="B686">
        <v>2024</v>
      </c>
      <c r="C686" s="3">
        <v>-94991166146</v>
      </c>
      <c r="D686" s="3">
        <v>59110967259</v>
      </c>
      <c r="E686" s="3">
        <v>2392824255285</v>
      </c>
      <c r="F686" s="3">
        <v>148424606288</v>
      </c>
      <c r="G686" s="3">
        <v>1535072479477</v>
      </c>
      <c r="H686" s="3">
        <v>425319156395</v>
      </c>
      <c r="I686" s="3">
        <v>854038231346</v>
      </c>
      <c r="J686" s="3">
        <v>-52390216200</v>
      </c>
      <c r="K686" s="3">
        <v>-276894550107</v>
      </c>
      <c r="M686" s="3">
        <v>378126622942</v>
      </c>
      <c r="N686" s="3">
        <v>-120530353779</v>
      </c>
      <c r="O686" s="3">
        <v>1256857472992</v>
      </c>
      <c r="P686">
        <f t="shared" si="166"/>
        <v>-0.51309650017142328</v>
      </c>
      <c r="Q686">
        <f t="shared" si="167"/>
        <v>1</v>
      </c>
      <c r="R686" t="str">
        <f t="shared" si="158"/>
        <v>Distress</v>
      </c>
      <c r="S686">
        <f t="shared" si="168"/>
        <v>-0.11571871586282469</v>
      </c>
      <c r="T686">
        <f t="shared" si="169"/>
        <v>-2.1894719632788079E-2</v>
      </c>
      <c r="U686">
        <f t="shared" si="170"/>
        <v>-3.9698346393887571E-2</v>
      </c>
      <c r="V686">
        <f t="shared" si="171"/>
        <v>0.55635042824620973</v>
      </c>
      <c r="X686" s="13">
        <f t="shared" si="159"/>
        <v>-0.9471635617572749</v>
      </c>
      <c r="Y686" s="10"/>
      <c r="Z686" s="10"/>
      <c r="AB686" s="10" t="str">
        <f t="shared" si="160"/>
        <v>Distress</v>
      </c>
      <c r="AC686" s="10">
        <f t="shared" si="161"/>
        <v>1</v>
      </c>
      <c r="AE686" s="10">
        <f t="shared" si="162"/>
        <v>1</v>
      </c>
      <c r="AG686" s="13">
        <f t="shared" si="163"/>
        <v>0.7310585786300049</v>
      </c>
      <c r="AH686" s="13">
        <f t="shared" si="164"/>
        <v>-0.2689414213699951</v>
      </c>
      <c r="AI686" s="10">
        <f t="shared" si="165"/>
        <v>0.19661193324148185</v>
      </c>
    </row>
    <row r="687" spans="1:35" x14ac:dyDescent="0.3">
      <c r="A687" t="s">
        <v>186</v>
      </c>
      <c r="B687">
        <v>2023</v>
      </c>
      <c r="C687" s="3">
        <v>-159314811774</v>
      </c>
      <c r="D687" s="3">
        <v>61301999599</v>
      </c>
      <c r="E687" s="3">
        <v>2468816418317</v>
      </c>
      <c r="F687" s="3">
        <v>214781505991</v>
      </c>
      <c r="G687" s="3">
        <v>1491459810622</v>
      </c>
      <c r="H687" s="3">
        <v>377212307664</v>
      </c>
      <c r="I687" s="3">
        <v>973298960780</v>
      </c>
      <c r="J687" s="3">
        <v>68140137579</v>
      </c>
      <c r="K687" s="3">
        <v>-162430801673</v>
      </c>
      <c r="M687" s="3">
        <v>336684940840</v>
      </c>
      <c r="N687" s="3">
        <v>-220007464532</v>
      </c>
      <c r="O687" s="3">
        <v>1256290849686</v>
      </c>
      <c r="P687">
        <f t="shared" si="166"/>
        <v>-9.0061713091154183E-2</v>
      </c>
      <c r="Q687">
        <f t="shared" si="167"/>
        <v>1</v>
      </c>
      <c r="R687" t="str">
        <f t="shared" si="158"/>
        <v>Distress</v>
      </c>
      <c r="S687">
        <f t="shared" si="168"/>
        <v>-6.5792985038445911E-2</v>
      </c>
      <c r="T687">
        <f t="shared" si="169"/>
        <v>2.760032583769487E-2</v>
      </c>
      <c r="U687">
        <f t="shared" si="170"/>
        <v>-6.453084587091551E-2</v>
      </c>
      <c r="V687">
        <f t="shared" si="171"/>
        <v>0.65258141979306461</v>
      </c>
      <c r="X687" s="13">
        <f t="shared" si="159"/>
        <v>-0.59578351324054402</v>
      </c>
      <c r="Y687" s="10"/>
      <c r="Z687" s="10"/>
      <c r="AB687" s="10" t="str">
        <f t="shared" si="160"/>
        <v>Distress</v>
      </c>
      <c r="AC687" s="10">
        <f t="shared" si="161"/>
        <v>1</v>
      </c>
      <c r="AE687" s="10">
        <f t="shared" si="162"/>
        <v>1</v>
      </c>
      <c r="AG687" s="13">
        <f t="shared" si="163"/>
        <v>0.7310585786300049</v>
      </c>
      <c r="AH687" s="13">
        <f t="shared" si="164"/>
        <v>-0.2689414213699951</v>
      </c>
      <c r="AI687" s="10">
        <f t="shared" si="165"/>
        <v>0.19661193324148185</v>
      </c>
    </row>
    <row r="688" spans="1:35" x14ac:dyDescent="0.3">
      <c r="A688" t="s">
        <v>186</v>
      </c>
      <c r="B688">
        <v>2022</v>
      </c>
      <c r="C688" s="3">
        <v>68688850636</v>
      </c>
      <c r="D688" s="3">
        <v>80588715433</v>
      </c>
      <c r="E688" s="3">
        <v>2710571959100</v>
      </c>
      <c r="F688" s="3">
        <v>405439463069</v>
      </c>
      <c r="G688" s="3">
        <v>1512868131940</v>
      </c>
      <c r="H688" s="3">
        <v>718407710160</v>
      </c>
      <c r="I688" s="3">
        <v>1192984383475</v>
      </c>
      <c r="J688" s="3">
        <v>288147602111</v>
      </c>
      <c r="K688" s="3">
        <v>-312968247091</v>
      </c>
      <c r="M688" s="3">
        <v>2457607034533</v>
      </c>
      <c r="N688" s="3">
        <v>-8957865054</v>
      </c>
      <c r="O688" s="3">
        <v>1271081981915</v>
      </c>
      <c r="P688">
        <f t="shared" si="166"/>
        <v>0.58740153806856232</v>
      </c>
      <c r="Q688">
        <f t="shared" si="167"/>
        <v>1</v>
      </c>
      <c r="R688" t="str">
        <f t="shared" si="158"/>
        <v>Distress</v>
      </c>
      <c r="S688">
        <f t="shared" si="168"/>
        <v>-0.11546206919181583</v>
      </c>
      <c r="T688">
        <f t="shared" si="169"/>
        <v>0.10630509223104137</v>
      </c>
      <c r="U688">
        <f t="shared" si="170"/>
        <v>2.5341090984652176E-2</v>
      </c>
      <c r="V688">
        <f t="shared" si="171"/>
        <v>0.78855807607315864</v>
      </c>
      <c r="X688" s="13">
        <f t="shared" si="159"/>
        <v>-0.20081313301268003</v>
      </c>
      <c r="Y688" s="10"/>
      <c r="Z688" s="10"/>
      <c r="AB688" s="10" t="str">
        <f t="shared" si="160"/>
        <v>Distress</v>
      </c>
      <c r="AC688" s="10">
        <f t="shared" si="161"/>
        <v>1</v>
      </c>
      <c r="AE688" s="10">
        <f t="shared" si="162"/>
        <v>1</v>
      </c>
      <c r="AG688" s="13">
        <f t="shared" si="163"/>
        <v>0.7310585786300049</v>
      </c>
      <c r="AH688" s="13">
        <f t="shared" si="164"/>
        <v>-0.2689414213699951</v>
      </c>
      <c r="AI688" s="10">
        <f t="shared" si="165"/>
        <v>0.19661193324148185</v>
      </c>
    </row>
    <row r="689" spans="1:35" x14ac:dyDescent="0.3">
      <c r="A689" t="s">
        <v>187</v>
      </c>
      <c r="B689">
        <v>2025</v>
      </c>
      <c r="C689" s="3">
        <v>346330510722</v>
      </c>
      <c r="D689" s="3">
        <v>241688861103</v>
      </c>
      <c r="E689" s="3">
        <v>8002654556862</v>
      </c>
      <c r="F689" s="3">
        <v>5296827380596</v>
      </c>
      <c r="G689" s="3">
        <v>3456869997892</v>
      </c>
      <c r="H689" s="3">
        <v>2869386204368</v>
      </c>
      <c r="I689" s="3">
        <v>4471622674443</v>
      </c>
      <c r="J689" s="3">
        <v>1419583676697</v>
      </c>
      <c r="K689" s="3">
        <v>2427441176228</v>
      </c>
      <c r="M689" s="3">
        <v>2630090706713</v>
      </c>
      <c r="N689" s="3">
        <v>77680039237</v>
      </c>
      <c r="O689" s="3">
        <v>2933635244582</v>
      </c>
      <c r="P689">
        <f t="shared" si="166"/>
        <v>4.2171750892538649</v>
      </c>
      <c r="Q689">
        <f t="shared" si="167"/>
        <v>0</v>
      </c>
      <c r="R689" t="str">
        <f t="shared" si="158"/>
        <v>Safe</v>
      </c>
      <c r="S689">
        <f t="shared" si="168"/>
        <v>0.3033294963540008</v>
      </c>
      <c r="T689">
        <f t="shared" si="169"/>
        <v>0.17738909840607278</v>
      </c>
      <c r="U689">
        <f t="shared" si="170"/>
        <v>4.3276953698449167E-2</v>
      </c>
      <c r="V689">
        <f t="shared" si="171"/>
        <v>1.293546670013566</v>
      </c>
      <c r="X689" s="13">
        <f t="shared" si="159"/>
        <v>2.7002630691916885</v>
      </c>
      <c r="Y689" s="10"/>
      <c r="Z689" s="10"/>
      <c r="AB689" s="10" t="str">
        <f t="shared" si="160"/>
        <v>Non-Distress</v>
      </c>
      <c r="AC689" s="10">
        <f t="shared" si="161"/>
        <v>0</v>
      </c>
      <c r="AE689" s="10">
        <f t="shared" si="162"/>
        <v>0</v>
      </c>
      <c r="AG689" s="13">
        <f t="shared" si="163"/>
        <v>0.5</v>
      </c>
      <c r="AH689" s="13">
        <f t="shared" si="164"/>
        <v>0.5</v>
      </c>
      <c r="AI689" s="10">
        <f t="shared" si="165"/>
        <v>0.25</v>
      </c>
    </row>
    <row r="690" spans="1:35" x14ac:dyDescent="0.3">
      <c r="A690" t="s">
        <v>187</v>
      </c>
      <c r="B690">
        <v>2024</v>
      </c>
      <c r="C690" s="3">
        <v>443361680936</v>
      </c>
      <c r="D690" s="3">
        <v>240970400494</v>
      </c>
      <c r="E690" s="3">
        <v>7840691438646</v>
      </c>
      <c r="F690" s="3">
        <v>4988913519372</v>
      </c>
      <c r="G690" s="3">
        <v>3363945755599</v>
      </c>
      <c r="H690" s="3">
        <v>2828831407740</v>
      </c>
      <c r="I690" s="3">
        <v>4392177325662</v>
      </c>
      <c r="J690" s="3">
        <v>1325000567640</v>
      </c>
      <c r="K690" s="3">
        <v>2160082111632</v>
      </c>
      <c r="M690" s="3">
        <v>2791657523872</v>
      </c>
      <c r="N690" s="3">
        <v>161110243908</v>
      </c>
      <c r="O690" s="3">
        <v>2864355280894</v>
      </c>
      <c r="P690">
        <f t="shared" si="166"/>
        <v>4.1091007920990972</v>
      </c>
      <c r="Q690">
        <f t="shared" si="167"/>
        <v>0</v>
      </c>
      <c r="R690" t="str">
        <f t="shared" si="158"/>
        <v>Safe</v>
      </c>
      <c r="S690">
        <f t="shared" si="168"/>
        <v>0.27549638045761715</v>
      </c>
      <c r="T690">
        <f t="shared" si="169"/>
        <v>0.16899027056583327</v>
      </c>
      <c r="U690">
        <f t="shared" si="170"/>
        <v>5.6546247790177501E-2</v>
      </c>
      <c r="V690">
        <f t="shared" si="171"/>
        <v>1.3056623515262089</v>
      </c>
      <c r="X690" s="13">
        <f t="shared" si="159"/>
        <v>2.5673287768021376</v>
      </c>
      <c r="Y690" s="10"/>
      <c r="Z690" s="10"/>
      <c r="AB690" s="10" t="str">
        <f t="shared" si="160"/>
        <v>Non-Distress</v>
      </c>
      <c r="AC690" s="10">
        <f t="shared" si="161"/>
        <v>0</v>
      </c>
      <c r="AE690" s="10">
        <f t="shared" si="162"/>
        <v>0</v>
      </c>
      <c r="AG690" s="13">
        <f t="shared" si="163"/>
        <v>0.5</v>
      </c>
      <c r="AH690" s="13">
        <f t="shared" si="164"/>
        <v>0.5</v>
      </c>
      <c r="AI690" s="10">
        <f t="shared" si="165"/>
        <v>0.25</v>
      </c>
    </row>
    <row r="691" spans="1:35" x14ac:dyDescent="0.3">
      <c r="A691" t="s">
        <v>187</v>
      </c>
      <c r="B691">
        <v>2023</v>
      </c>
      <c r="C691" s="3">
        <v>387061102436</v>
      </c>
      <c r="D691" s="3">
        <v>252053304854</v>
      </c>
      <c r="E691" s="3">
        <v>7662921147367</v>
      </c>
      <c r="F691" s="3">
        <v>4754603272806</v>
      </c>
      <c r="G691" s="3">
        <v>3351060580598</v>
      </c>
      <c r="H691" s="3">
        <v>2554032095944</v>
      </c>
      <c r="I691" s="3">
        <v>4227306921870</v>
      </c>
      <c r="J691" s="3">
        <v>1148023933477</v>
      </c>
      <c r="K691" s="3">
        <v>2200571176862</v>
      </c>
      <c r="M691" s="3">
        <v>2186033911377</v>
      </c>
      <c r="N691" s="3">
        <v>97009870837</v>
      </c>
      <c r="O691" s="3">
        <v>3076543564152</v>
      </c>
      <c r="P691">
        <f t="shared" si="166"/>
        <v>4.036232955488023</v>
      </c>
      <c r="Q691">
        <f t="shared" si="167"/>
        <v>0</v>
      </c>
      <c r="R691" t="str">
        <f t="shared" si="158"/>
        <v>Safe</v>
      </c>
      <c r="S691">
        <f t="shared" si="168"/>
        <v>0.28717131946713587</v>
      </c>
      <c r="T691">
        <f t="shared" si="169"/>
        <v>0.14981544392786347</v>
      </c>
      <c r="U691">
        <f t="shared" si="170"/>
        <v>5.0510907654190758E-2</v>
      </c>
      <c r="V691">
        <f t="shared" si="171"/>
        <v>1.2614832887072525</v>
      </c>
      <c r="X691" s="13">
        <f t="shared" si="159"/>
        <v>2.544745032598303</v>
      </c>
      <c r="Y691" s="10"/>
      <c r="Z691" s="10"/>
      <c r="AB691" s="10" t="str">
        <f t="shared" si="160"/>
        <v>Non-Distress</v>
      </c>
      <c r="AC691" s="10">
        <f t="shared" si="161"/>
        <v>0</v>
      </c>
      <c r="AE691" s="10">
        <f t="shared" si="162"/>
        <v>0</v>
      </c>
      <c r="AG691" s="13">
        <f t="shared" si="163"/>
        <v>0.5</v>
      </c>
      <c r="AH691" s="13">
        <f t="shared" si="164"/>
        <v>0.5</v>
      </c>
      <c r="AI691" s="10">
        <f t="shared" si="165"/>
        <v>0.25</v>
      </c>
    </row>
    <row r="692" spans="1:35" x14ac:dyDescent="0.3">
      <c r="A692" t="s">
        <v>187</v>
      </c>
      <c r="B692">
        <v>2022</v>
      </c>
      <c r="C692" s="3">
        <v>485106893126</v>
      </c>
      <c r="D692" s="3">
        <v>251276962749</v>
      </c>
      <c r="E692" s="3">
        <v>6956345266753</v>
      </c>
      <c r="F692" s="3">
        <v>4441755337832</v>
      </c>
      <c r="G692" s="3">
        <v>3195737865490</v>
      </c>
      <c r="H692" s="3">
        <v>1826133223912</v>
      </c>
      <c r="I692" s="3">
        <v>3750426758838</v>
      </c>
      <c r="J692" s="3">
        <v>1029733872011</v>
      </c>
      <c r="K692" s="3">
        <v>2615622113920</v>
      </c>
      <c r="M692" s="3">
        <v>4526699532441</v>
      </c>
      <c r="N692" s="3">
        <v>177561573286</v>
      </c>
      <c r="O692" s="3">
        <v>2977580473731</v>
      </c>
      <c r="P692">
        <f t="shared" si="166"/>
        <v>4.6500406851994303</v>
      </c>
      <c r="Q692">
        <f t="shared" si="167"/>
        <v>0</v>
      </c>
      <c r="R692" t="str">
        <f t="shared" si="158"/>
        <v>Safe</v>
      </c>
      <c r="S692">
        <f t="shared" si="168"/>
        <v>0.37600521734035336</v>
      </c>
      <c r="T692">
        <f t="shared" si="169"/>
        <v>0.14802799926169377</v>
      </c>
      <c r="U692">
        <f t="shared" si="170"/>
        <v>6.9735884940114887E-2</v>
      </c>
      <c r="V692">
        <f t="shared" si="171"/>
        <v>1.1735714619581135</v>
      </c>
      <c r="X692" s="13">
        <f t="shared" si="159"/>
        <v>3.1710562368491684</v>
      </c>
      <c r="Y692" s="10"/>
      <c r="Z692" s="10"/>
      <c r="AB692" s="10" t="str">
        <f t="shared" si="160"/>
        <v>Non-Distress</v>
      </c>
      <c r="AC692" s="10">
        <f t="shared" si="161"/>
        <v>0</v>
      </c>
      <c r="AE692" s="10">
        <f t="shared" si="162"/>
        <v>0</v>
      </c>
      <c r="AG692" s="13">
        <f t="shared" si="163"/>
        <v>0.5</v>
      </c>
      <c r="AH692" s="13">
        <f t="shared" si="164"/>
        <v>0.5</v>
      </c>
      <c r="AI692" s="10">
        <f t="shared" si="165"/>
        <v>0.25</v>
      </c>
    </row>
    <row r="693" spans="1:35" x14ac:dyDescent="0.3">
      <c r="A693" t="s">
        <v>188</v>
      </c>
      <c r="B693">
        <v>2025</v>
      </c>
      <c r="C693" s="3">
        <v>39562097182</v>
      </c>
      <c r="D693" s="3">
        <v>19701240597</v>
      </c>
      <c r="E693" s="3">
        <v>6290468416823</v>
      </c>
      <c r="F693" s="3">
        <v>3167862534344</v>
      </c>
      <c r="G693" s="3">
        <v>2604456185536</v>
      </c>
      <c r="H693" s="3">
        <v>2429046692700</v>
      </c>
      <c r="I693" s="3">
        <v>3627761326942</v>
      </c>
      <c r="J693" s="3">
        <v>1395812501272</v>
      </c>
      <c r="K693" s="3">
        <v>738815841644</v>
      </c>
      <c r="M693" s="3">
        <v>3585862255135</v>
      </c>
      <c r="N693" s="3">
        <v>40019501701</v>
      </c>
      <c r="O693" s="3">
        <v>212688009920</v>
      </c>
      <c r="P693">
        <f t="shared" si="166"/>
        <v>2.9986586260288872</v>
      </c>
      <c r="Q693">
        <f t="shared" si="167"/>
        <v>0</v>
      </c>
      <c r="R693" t="str">
        <f t="shared" si="158"/>
        <v>Safe</v>
      </c>
      <c r="S693">
        <f t="shared" si="168"/>
        <v>0.11745005183845098</v>
      </c>
      <c r="T693">
        <f t="shared" si="169"/>
        <v>0.22189325321769199</v>
      </c>
      <c r="U693">
        <f t="shared" si="170"/>
        <v>6.289213228731356E-3</v>
      </c>
      <c r="V693">
        <f t="shared" si="171"/>
        <v>1.3929054929351414</v>
      </c>
      <c r="X693" s="13">
        <f t="shared" si="159"/>
        <v>1.5353898738662766</v>
      </c>
      <c r="Y693" s="10"/>
      <c r="Z693" s="10"/>
      <c r="AB693" s="10" t="str">
        <f t="shared" si="160"/>
        <v>Non-Distress</v>
      </c>
      <c r="AC693" s="10">
        <f t="shared" si="161"/>
        <v>0</v>
      </c>
      <c r="AE693" s="10">
        <f t="shared" si="162"/>
        <v>0</v>
      </c>
      <c r="AG693" s="13">
        <f t="shared" si="163"/>
        <v>0.5</v>
      </c>
      <c r="AH693" s="13">
        <f t="shared" si="164"/>
        <v>0.5</v>
      </c>
      <c r="AI693" s="10">
        <f t="shared" si="165"/>
        <v>0.25</v>
      </c>
    </row>
    <row r="694" spans="1:35" x14ac:dyDescent="0.3">
      <c r="A694" t="s">
        <v>188</v>
      </c>
      <c r="B694">
        <v>2024</v>
      </c>
      <c r="C694" s="3">
        <v>124264671940</v>
      </c>
      <c r="D694" s="3">
        <v>36783990555</v>
      </c>
      <c r="E694" s="3">
        <v>7194688328878</v>
      </c>
      <c r="F694" s="3">
        <v>3929811051041</v>
      </c>
      <c r="G694" s="3">
        <v>3507922583476</v>
      </c>
      <c r="H694" s="3">
        <v>3042007165746</v>
      </c>
      <c r="I694" s="3">
        <v>3592597196477</v>
      </c>
      <c r="J694" s="3">
        <v>1360648370807</v>
      </c>
      <c r="K694" s="3">
        <v>887803885295</v>
      </c>
      <c r="M694" s="3">
        <v>4896024340364</v>
      </c>
      <c r="N694" s="3">
        <v>65004281962</v>
      </c>
      <c r="O694" s="3">
        <v>472820084523</v>
      </c>
      <c r="P694">
        <f t="shared" si="166"/>
        <v>2.6174223435243933</v>
      </c>
      <c r="Q694">
        <f t="shared" si="167"/>
        <v>0</v>
      </c>
      <c r="R694" t="str">
        <f t="shared" si="158"/>
        <v>Safe</v>
      </c>
      <c r="S694">
        <f t="shared" si="168"/>
        <v>0.1233971292031564</v>
      </c>
      <c r="T694">
        <f t="shared" si="169"/>
        <v>0.1891184591479296</v>
      </c>
      <c r="U694">
        <f t="shared" si="170"/>
        <v>1.7271724119198764E-2</v>
      </c>
      <c r="V694">
        <f t="shared" si="171"/>
        <v>1.0241381076651628</v>
      </c>
      <c r="X694" s="13">
        <f t="shared" si="159"/>
        <v>1.5015992772183717</v>
      </c>
      <c r="Y694" s="10"/>
      <c r="Z694" s="10"/>
      <c r="AB694" s="10" t="str">
        <f t="shared" si="160"/>
        <v>Non-Distress</v>
      </c>
      <c r="AC694" s="10">
        <f t="shared" si="161"/>
        <v>0</v>
      </c>
      <c r="AE694" s="10">
        <f t="shared" si="162"/>
        <v>0</v>
      </c>
      <c r="AG694" s="13">
        <f t="shared" si="163"/>
        <v>0.5</v>
      </c>
      <c r="AH694" s="13">
        <f t="shared" si="164"/>
        <v>0.5</v>
      </c>
      <c r="AI694" s="10">
        <f t="shared" si="165"/>
        <v>0.25</v>
      </c>
    </row>
    <row r="695" spans="1:35" x14ac:dyDescent="0.3">
      <c r="A695" t="s">
        <v>188</v>
      </c>
      <c r="B695">
        <v>2023</v>
      </c>
      <c r="C695" s="3">
        <v>105797296728</v>
      </c>
      <c r="D695" s="3">
        <v>62964280517</v>
      </c>
      <c r="E695" s="3">
        <v>7631670664176</v>
      </c>
      <c r="F695" s="3">
        <v>4384893375262</v>
      </c>
      <c r="G695" s="3">
        <v>4005560677656</v>
      </c>
      <c r="H695" s="3">
        <v>3727677856740</v>
      </c>
      <c r="I695" s="3">
        <v>3531121411666</v>
      </c>
      <c r="J695" s="3">
        <v>1299172585996</v>
      </c>
      <c r="K695" s="3">
        <v>657215518522</v>
      </c>
      <c r="M695" s="3">
        <v>4203170642940</v>
      </c>
      <c r="N695" s="3">
        <v>34126442456</v>
      </c>
      <c r="O695" s="3">
        <v>384098570040</v>
      </c>
      <c r="P695">
        <f t="shared" si="166"/>
        <v>2.1386820821643688</v>
      </c>
      <c r="Q695">
        <f t="shared" si="167"/>
        <v>0</v>
      </c>
      <c r="R695" t="str">
        <f t="shared" si="158"/>
        <v>Grey Area</v>
      </c>
      <c r="S695">
        <f t="shared" si="168"/>
        <v>8.6116860572489115E-2</v>
      </c>
      <c r="T695">
        <f t="shared" si="169"/>
        <v>0.17023436193263367</v>
      </c>
      <c r="U695">
        <f t="shared" si="170"/>
        <v>1.3862927448458372E-2</v>
      </c>
      <c r="V695">
        <f t="shared" si="171"/>
        <v>0.88155484233791825</v>
      </c>
      <c r="X695" s="13">
        <f t="shared" si="159"/>
        <v>1.1892345274614129</v>
      </c>
      <c r="Y695" s="10"/>
      <c r="Z695" s="10"/>
      <c r="AB695" s="10" t="str">
        <f t="shared" si="160"/>
        <v>Non-Distress</v>
      </c>
      <c r="AC695" s="10">
        <f t="shared" si="161"/>
        <v>0</v>
      </c>
      <c r="AE695" s="10">
        <f t="shared" si="162"/>
        <v>0</v>
      </c>
      <c r="AG695" s="13">
        <f t="shared" si="163"/>
        <v>0.5</v>
      </c>
      <c r="AH695" s="13">
        <f t="shared" si="164"/>
        <v>0.5</v>
      </c>
      <c r="AI695" s="10">
        <f t="shared" si="165"/>
        <v>0.25</v>
      </c>
    </row>
    <row r="696" spans="1:35" x14ac:dyDescent="0.3">
      <c r="A696" t="s">
        <v>188</v>
      </c>
      <c r="B696">
        <v>2022</v>
      </c>
      <c r="C696" s="3">
        <v>335105046843</v>
      </c>
      <c r="D696" s="3">
        <v>85598954647</v>
      </c>
      <c r="E696" s="3">
        <v>9447528704261</v>
      </c>
      <c r="F696" s="3">
        <v>6149560721473</v>
      </c>
      <c r="G696" s="3">
        <v>5809708177850</v>
      </c>
      <c r="H696" s="3">
        <v>5472902652071</v>
      </c>
      <c r="I696" s="3">
        <v>3528497152040</v>
      </c>
      <c r="J696" s="3">
        <v>1296548326370</v>
      </c>
      <c r="K696" s="3">
        <v>676658069402</v>
      </c>
      <c r="M696" s="3">
        <v>6003788032167</v>
      </c>
      <c r="N696" s="3">
        <v>162916060757</v>
      </c>
      <c r="O696" s="3">
        <v>1431898574766</v>
      </c>
      <c r="P696">
        <f t="shared" si="166"/>
        <v>1.7933086637526352</v>
      </c>
      <c r="Q696">
        <f t="shared" si="167"/>
        <v>0</v>
      </c>
      <c r="R696" t="str">
        <f t="shared" si="158"/>
        <v>Grey Area</v>
      </c>
      <c r="S696">
        <f t="shared" si="168"/>
        <v>7.162275877466405E-2</v>
      </c>
      <c r="T696">
        <f t="shared" si="169"/>
        <v>0.13723677026620032</v>
      </c>
      <c r="U696">
        <f t="shared" si="170"/>
        <v>3.5470127409283424E-2</v>
      </c>
      <c r="V696">
        <f t="shared" si="171"/>
        <v>0.60734498945965854</v>
      </c>
      <c r="X696" s="13">
        <f t="shared" si="159"/>
        <v>1.0852354505888471</v>
      </c>
      <c r="Y696" s="10"/>
      <c r="Z696" s="10"/>
      <c r="AB696" s="10" t="str">
        <f t="shared" si="160"/>
        <v>Non-Distress</v>
      </c>
      <c r="AC696" s="10">
        <f t="shared" si="161"/>
        <v>0</v>
      </c>
      <c r="AE696" s="10">
        <f t="shared" si="162"/>
        <v>0</v>
      </c>
      <c r="AG696" s="13">
        <f t="shared" si="163"/>
        <v>0.5</v>
      </c>
      <c r="AH696" s="13">
        <f t="shared" si="164"/>
        <v>0.5</v>
      </c>
      <c r="AI696" s="10">
        <f t="shared" si="165"/>
        <v>0.25</v>
      </c>
    </row>
    <row r="697" spans="1:35" x14ac:dyDescent="0.3">
      <c r="A697" t="s">
        <v>189</v>
      </c>
      <c r="B697">
        <v>2025</v>
      </c>
      <c r="C697" s="3">
        <v>7956444766</v>
      </c>
      <c r="D697" s="3">
        <v>2352146808</v>
      </c>
      <c r="E697" s="3">
        <v>263022631306</v>
      </c>
      <c r="F697" s="3">
        <v>158545055611</v>
      </c>
      <c r="G697" s="3">
        <v>133068799606</v>
      </c>
      <c r="H697" s="3">
        <v>78822140208</v>
      </c>
      <c r="I697" s="3">
        <v>129953831700</v>
      </c>
      <c r="J697" s="3">
        <v>18489927983</v>
      </c>
      <c r="K697" s="3">
        <v>79722915403</v>
      </c>
      <c r="M697" s="3">
        <v>362403523127</v>
      </c>
      <c r="N697" s="3">
        <v>5501207273</v>
      </c>
      <c r="O697" s="3">
        <v>59678317492</v>
      </c>
      <c r="P697">
        <f t="shared" si="166"/>
        <v>3.4462269960865402</v>
      </c>
      <c r="Q697">
        <f t="shared" si="167"/>
        <v>0</v>
      </c>
      <c r="R697" t="str">
        <f t="shared" si="158"/>
        <v>Safe</v>
      </c>
      <c r="S697">
        <f t="shared" si="168"/>
        <v>0.30310287372287187</v>
      </c>
      <c r="T697">
        <f t="shared" si="169"/>
        <v>7.0297859508100108E-2</v>
      </c>
      <c r="U697">
        <f t="shared" si="170"/>
        <v>3.0250038662047632E-2</v>
      </c>
      <c r="V697">
        <f t="shared" si="171"/>
        <v>0.97659129777060416</v>
      </c>
      <c r="X697" s="13">
        <f t="shared" si="159"/>
        <v>2.2712430791444418</v>
      </c>
      <c r="Y697" s="10"/>
      <c r="Z697" s="10"/>
      <c r="AB697" s="10" t="str">
        <f t="shared" si="160"/>
        <v>Non-Distress</v>
      </c>
      <c r="AC697" s="10">
        <f t="shared" si="161"/>
        <v>0</v>
      </c>
      <c r="AE697" s="10">
        <f t="shared" si="162"/>
        <v>0</v>
      </c>
      <c r="AG697" s="13">
        <f t="shared" si="163"/>
        <v>0.5</v>
      </c>
      <c r="AH697" s="13">
        <f t="shared" si="164"/>
        <v>0.5</v>
      </c>
      <c r="AI697" s="10">
        <f t="shared" si="165"/>
        <v>0.25</v>
      </c>
    </row>
    <row r="698" spans="1:35" x14ac:dyDescent="0.3">
      <c r="A698" t="s">
        <v>189</v>
      </c>
      <c r="B698">
        <v>2024</v>
      </c>
      <c r="C698" s="3">
        <v>-2551521137</v>
      </c>
      <c r="D698" s="3">
        <v>2275657108</v>
      </c>
      <c r="E698" s="3">
        <v>296772506421</v>
      </c>
      <c r="F698" s="3">
        <v>184934923959</v>
      </c>
      <c r="G698" s="3">
        <v>172624178369</v>
      </c>
      <c r="H698" s="3">
        <v>118470107579</v>
      </c>
      <c r="I698" s="3">
        <v>124148328052</v>
      </c>
      <c r="J698" s="3">
        <v>12988720710</v>
      </c>
      <c r="K698" s="3">
        <v>66464816380</v>
      </c>
      <c r="M698" s="3">
        <v>343990085234</v>
      </c>
      <c r="N698" s="3">
        <v>-4332191474</v>
      </c>
      <c r="O698" s="3">
        <v>91198143484</v>
      </c>
      <c r="P698">
        <f t="shared" si="166"/>
        <v>2.3092150818028387</v>
      </c>
      <c r="Q698">
        <f t="shared" si="167"/>
        <v>0</v>
      </c>
      <c r="R698" t="str">
        <f t="shared" si="158"/>
        <v>Grey Area</v>
      </c>
      <c r="S698">
        <f t="shared" si="168"/>
        <v>0.22395880663457868</v>
      </c>
      <c r="T698">
        <f t="shared" si="169"/>
        <v>4.3766590330892259E-2</v>
      </c>
      <c r="U698">
        <f t="shared" si="170"/>
        <v>-8.5975657508530288E-3</v>
      </c>
      <c r="V698">
        <f t="shared" si="171"/>
        <v>0.71918273109240571</v>
      </c>
      <c r="X698" s="13">
        <f t="shared" si="159"/>
        <v>1.5015820548074907</v>
      </c>
      <c r="Y698" s="10"/>
      <c r="Z698" s="10"/>
      <c r="AB698" s="10" t="str">
        <f t="shared" si="160"/>
        <v>Non-Distress</v>
      </c>
      <c r="AC698" s="10">
        <f t="shared" si="161"/>
        <v>0</v>
      </c>
      <c r="AE698" s="10">
        <f t="shared" si="162"/>
        <v>0</v>
      </c>
      <c r="AG698" s="13">
        <f t="shared" si="163"/>
        <v>0.5</v>
      </c>
      <c r="AH698" s="13">
        <f t="shared" si="164"/>
        <v>0.5</v>
      </c>
      <c r="AI698" s="10">
        <f t="shared" si="165"/>
        <v>0.25</v>
      </c>
    </row>
    <row r="699" spans="1:35" x14ac:dyDescent="0.3">
      <c r="A699" t="s">
        <v>189</v>
      </c>
      <c r="B699">
        <v>2023</v>
      </c>
      <c r="C699" s="3">
        <v>12941203453</v>
      </c>
      <c r="D699" s="3">
        <v>5074300226</v>
      </c>
      <c r="E699" s="3">
        <v>275628887613</v>
      </c>
      <c r="F699" s="3">
        <v>160866274648</v>
      </c>
      <c r="G699" s="3">
        <v>147217494838</v>
      </c>
      <c r="H699" s="3">
        <v>93418119151</v>
      </c>
      <c r="I699" s="3">
        <v>128411392775</v>
      </c>
      <c r="J699" s="3">
        <v>17320912184</v>
      </c>
      <c r="K699" s="3">
        <v>67448155497</v>
      </c>
      <c r="M699" s="3">
        <v>346497653568</v>
      </c>
      <c r="N699" s="3">
        <v>8226972253</v>
      </c>
      <c r="O699" s="3">
        <v>70221054563</v>
      </c>
      <c r="P699">
        <f t="shared" si="166"/>
        <v>3.0415206631287681</v>
      </c>
      <c r="Q699">
        <f t="shared" si="167"/>
        <v>0</v>
      </c>
      <c r="R699" t="str">
        <f t="shared" si="158"/>
        <v>Safe</v>
      </c>
      <c r="S699">
        <f t="shared" si="168"/>
        <v>0.24470640969861396</v>
      </c>
      <c r="T699">
        <f t="shared" si="169"/>
        <v>6.2841425418077482E-2</v>
      </c>
      <c r="U699">
        <f t="shared" si="170"/>
        <v>4.6951549835989072E-2</v>
      </c>
      <c r="V699">
        <f t="shared" si="171"/>
        <v>0.87225633690007787</v>
      </c>
      <c r="X699" s="13">
        <f t="shared" si="159"/>
        <v>1.966195935896929</v>
      </c>
      <c r="Y699" s="10"/>
      <c r="Z699" s="10"/>
      <c r="AB699" s="10" t="str">
        <f t="shared" si="160"/>
        <v>Non-Distress</v>
      </c>
      <c r="AC699" s="10">
        <f t="shared" si="161"/>
        <v>0</v>
      </c>
      <c r="AE699" s="10">
        <f t="shared" si="162"/>
        <v>0</v>
      </c>
      <c r="AG699" s="13">
        <f t="shared" si="163"/>
        <v>0.5</v>
      </c>
      <c r="AH699" s="13">
        <f t="shared" si="164"/>
        <v>0.5</v>
      </c>
      <c r="AI699" s="10">
        <f t="shared" si="165"/>
        <v>0.25</v>
      </c>
    </row>
    <row r="700" spans="1:35" x14ac:dyDescent="0.3">
      <c r="A700" t="s">
        <v>189</v>
      </c>
      <c r="B700">
        <v>2022</v>
      </c>
      <c r="C700" s="3">
        <v>4741152239</v>
      </c>
      <c r="D700" s="3">
        <v>6666484035</v>
      </c>
      <c r="E700" s="3">
        <v>290500335235</v>
      </c>
      <c r="F700" s="3">
        <v>168799771471</v>
      </c>
      <c r="G700" s="3">
        <v>169857852787</v>
      </c>
      <c r="H700" s="3">
        <v>117202751263</v>
      </c>
      <c r="I700" s="3">
        <v>120642482448</v>
      </c>
      <c r="J700" s="3">
        <v>11788451911</v>
      </c>
      <c r="K700" s="3">
        <v>51597020208</v>
      </c>
      <c r="M700" s="3">
        <v>377086228468</v>
      </c>
      <c r="N700" s="3">
        <v>-1411679112</v>
      </c>
      <c r="O700" s="3">
        <v>93450202864</v>
      </c>
      <c r="P700">
        <f t="shared" si="166"/>
        <v>2.1528832216756855</v>
      </c>
      <c r="Q700">
        <f t="shared" si="167"/>
        <v>0</v>
      </c>
      <c r="R700" t="str">
        <f t="shared" si="158"/>
        <v>Grey Area</v>
      </c>
      <c r="S700">
        <f t="shared" si="168"/>
        <v>0.17761432242844274</v>
      </c>
      <c r="T700">
        <f t="shared" si="169"/>
        <v>4.0579822055846308E-2</v>
      </c>
      <c r="U700">
        <f t="shared" si="170"/>
        <v>1.6320642918241899E-2</v>
      </c>
      <c r="V700">
        <f t="shared" si="171"/>
        <v>0.71025554879281583</v>
      </c>
      <c r="X700" s="13">
        <f t="shared" si="159"/>
        <v>1.3280359320987785</v>
      </c>
      <c r="Y700" s="10"/>
      <c r="Z700" s="10"/>
      <c r="AB700" s="10" t="str">
        <f t="shared" si="160"/>
        <v>Non-Distress</v>
      </c>
      <c r="AC700" s="10">
        <f t="shared" si="161"/>
        <v>0</v>
      </c>
      <c r="AE700" s="10">
        <f t="shared" si="162"/>
        <v>0</v>
      </c>
      <c r="AG700" s="13">
        <f t="shared" si="163"/>
        <v>0.5</v>
      </c>
      <c r="AH700" s="13">
        <f t="shared" si="164"/>
        <v>0.5</v>
      </c>
      <c r="AI700" s="10">
        <f t="shared" si="165"/>
        <v>0.25</v>
      </c>
    </row>
    <row r="701" spans="1:35" x14ac:dyDescent="0.3">
      <c r="A701" t="s">
        <v>190</v>
      </c>
      <c r="B701">
        <v>2025</v>
      </c>
      <c r="C701" s="3">
        <v>807775162995</v>
      </c>
      <c r="D701" s="3">
        <v>23932699555</v>
      </c>
      <c r="E701" s="3">
        <v>2896727114008</v>
      </c>
      <c r="F701" s="3">
        <v>1647368448864</v>
      </c>
      <c r="G701" s="3">
        <v>1337280604680</v>
      </c>
      <c r="H701" s="3">
        <v>518501155366</v>
      </c>
      <c r="I701" s="3">
        <v>1559282196919</v>
      </c>
      <c r="J701" s="3">
        <v>428489922866</v>
      </c>
      <c r="K701" s="3">
        <v>1128867293498</v>
      </c>
      <c r="M701" s="3">
        <v>2935842711060</v>
      </c>
      <c r="N701" s="3">
        <v>613139706181</v>
      </c>
      <c r="O701" s="3">
        <v>774505603164</v>
      </c>
      <c r="P701">
        <f t="shared" si="166"/>
        <v>6.1369219777797159</v>
      </c>
      <c r="Q701">
        <f t="shared" si="167"/>
        <v>0</v>
      </c>
      <c r="R701" t="str">
        <f t="shared" si="158"/>
        <v>Safe</v>
      </c>
      <c r="S701">
        <f t="shared" si="168"/>
        <v>0.38970439708974342</v>
      </c>
      <c r="T701">
        <f t="shared" si="169"/>
        <v>0.14792208792947992</v>
      </c>
      <c r="U701">
        <f t="shared" si="170"/>
        <v>0.27885787345613566</v>
      </c>
      <c r="V701">
        <f t="shared" si="171"/>
        <v>1.1660097300911076</v>
      </c>
      <c r="X701" s="13">
        <f t="shared" si="159"/>
        <v>4.2657061907141722</v>
      </c>
      <c r="Y701" s="10"/>
      <c r="Z701" s="10"/>
      <c r="AB701" s="10" t="str">
        <f t="shared" si="160"/>
        <v>Non-Distress</v>
      </c>
      <c r="AC701" s="10">
        <f t="shared" si="161"/>
        <v>0</v>
      </c>
      <c r="AE701" s="10">
        <f t="shared" si="162"/>
        <v>0</v>
      </c>
      <c r="AG701" s="13">
        <f t="shared" si="163"/>
        <v>0.5</v>
      </c>
      <c r="AH701" s="13">
        <f t="shared" si="164"/>
        <v>0.5</v>
      </c>
      <c r="AI701" s="10">
        <f t="shared" si="165"/>
        <v>0.25</v>
      </c>
    </row>
    <row r="702" spans="1:35" x14ac:dyDescent="0.3">
      <c r="A702" t="s">
        <v>190</v>
      </c>
      <c r="B702">
        <v>2024</v>
      </c>
      <c r="C702" s="3">
        <v>800491919756</v>
      </c>
      <c r="D702" s="3">
        <v>3258652748</v>
      </c>
      <c r="E702" s="3">
        <v>2673350670065</v>
      </c>
      <c r="F702" s="3">
        <v>1344942484426</v>
      </c>
      <c r="G702" s="3">
        <v>428424166864</v>
      </c>
      <c r="H702" s="3">
        <v>383175991693</v>
      </c>
      <c r="I702" s="3">
        <v>2244758625917</v>
      </c>
      <c r="J702" s="3">
        <v>1710640735917</v>
      </c>
      <c r="K702" s="3">
        <v>961766492733</v>
      </c>
      <c r="M702" s="3">
        <v>3042762005598</v>
      </c>
      <c r="N702" s="3">
        <v>629100029284</v>
      </c>
      <c r="O702" s="3">
        <v>430582768</v>
      </c>
      <c r="P702">
        <f t="shared" si="166"/>
        <v>11.959804907302516</v>
      </c>
      <c r="Q702">
        <f t="shared" si="167"/>
        <v>0</v>
      </c>
      <c r="R702" t="str">
        <f t="shared" si="158"/>
        <v>Safe</v>
      </c>
      <c r="S702">
        <f t="shared" si="168"/>
        <v>0.35976069413655171</v>
      </c>
      <c r="T702">
        <f t="shared" si="169"/>
        <v>0.63988639989209029</v>
      </c>
      <c r="U702">
        <f t="shared" si="170"/>
        <v>0.29943393836040849</v>
      </c>
      <c r="V702">
        <f t="shared" si="171"/>
        <v>5.2395704993681687</v>
      </c>
      <c r="X702" s="13">
        <f t="shared" si="159"/>
        <v>5.9696888498188336</v>
      </c>
      <c r="Y702" s="10"/>
      <c r="Z702" s="10"/>
      <c r="AB702" s="10" t="str">
        <f t="shared" si="160"/>
        <v>Non-Distress</v>
      </c>
      <c r="AC702" s="10">
        <f t="shared" si="161"/>
        <v>0</v>
      </c>
      <c r="AE702" s="10">
        <f t="shared" si="162"/>
        <v>0</v>
      </c>
      <c r="AG702" s="13">
        <f t="shared" si="163"/>
        <v>0.5</v>
      </c>
      <c r="AH702" s="13">
        <f t="shared" si="164"/>
        <v>0.5</v>
      </c>
      <c r="AI702" s="10">
        <f t="shared" si="165"/>
        <v>0.25</v>
      </c>
    </row>
    <row r="703" spans="1:35" x14ac:dyDescent="0.3">
      <c r="A703" t="s">
        <v>190</v>
      </c>
      <c r="B703">
        <v>2023</v>
      </c>
      <c r="C703" s="3">
        <v>719615607679</v>
      </c>
      <c r="D703" s="3">
        <v>6282700666</v>
      </c>
      <c r="E703" s="3">
        <v>2637079964329</v>
      </c>
      <c r="F703" s="3">
        <v>1373911396450</v>
      </c>
      <c r="G703" s="3">
        <v>534514160655</v>
      </c>
      <c r="H703" s="3">
        <v>461971371977</v>
      </c>
      <c r="I703" s="3">
        <v>2102413348946</v>
      </c>
      <c r="J703" s="3">
        <v>1648375748946</v>
      </c>
      <c r="K703" s="3">
        <v>911940024473</v>
      </c>
      <c r="M703" s="3">
        <v>3134978416726</v>
      </c>
      <c r="N703" s="3">
        <v>559740335234</v>
      </c>
      <c r="O703" s="3">
        <v>77308639852</v>
      </c>
      <c r="P703">
        <f t="shared" si="166"/>
        <v>10.270049561550064</v>
      </c>
      <c r="Q703">
        <f t="shared" si="167"/>
        <v>0</v>
      </c>
      <c r="R703" t="str">
        <f t="shared" si="158"/>
        <v>Safe</v>
      </c>
      <c r="S703">
        <f t="shared" si="168"/>
        <v>0.34581432372493165</v>
      </c>
      <c r="T703">
        <f t="shared" si="169"/>
        <v>0.62507613392202388</v>
      </c>
      <c r="U703">
        <f t="shared" si="170"/>
        <v>0.27288349895074376</v>
      </c>
      <c r="V703">
        <f t="shared" si="171"/>
        <v>3.9333164651235388</v>
      </c>
      <c r="X703" s="13">
        <f t="shared" si="159"/>
        <v>5.6513577912830693</v>
      </c>
      <c r="Y703" s="10"/>
      <c r="Z703" s="10"/>
      <c r="AB703" s="10" t="str">
        <f t="shared" si="160"/>
        <v>Non-Distress</v>
      </c>
      <c r="AC703" s="10">
        <f t="shared" si="161"/>
        <v>0</v>
      </c>
      <c r="AE703" s="10">
        <f t="shared" si="162"/>
        <v>0</v>
      </c>
      <c r="AG703" s="13">
        <f t="shared" si="163"/>
        <v>0.5</v>
      </c>
      <c r="AH703" s="13">
        <f t="shared" si="164"/>
        <v>0.5</v>
      </c>
      <c r="AI703" s="10">
        <f t="shared" si="165"/>
        <v>0.25</v>
      </c>
    </row>
    <row r="704" spans="1:35" x14ac:dyDescent="0.3">
      <c r="A704" t="s">
        <v>190</v>
      </c>
      <c r="B704">
        <v>2022</v>
      </c>
      <c r="C704" s="3">
        <v>529701509608</v>
      </c>
      <c r="D704" s="3">
        <v>8599443490</v>
      </c>
      <c r="E704" s="3">
        <v>2063139643989</v>
      </c>
      <c r="F704" s="3">
        <v>999339377082</v>
      </c>
      <c r="G704" s="3">
        <v>798939214220</v>
      </c>
      <c r="H704" s="3">
        <v>672291259440</v>
      </c>
      <c r="I704" s="3">
        <v>1264064589812</v>
      </c>
      <c r="J704" s="3">
        <v>1213229689812</v>
      </c>
      <c r="K704" s="3">
        <v>327048117642</v>
      </c>
      <c r="M704" s="3">
        <v>2873062753230</v>
      </c>
      <c r="N704" s="3">
        <v>404319339430</v>
      </c>
      <c r="O704" s="3">
        <v>114612394439</v>
      </c>
      <c r="P704">
        <f t="shared" si="166"/>
        <v>6.343548753737255</v>
      </c>
      <c r="Q704">
        <f t="shared" si="167"/>
        <v>0</v>
      </c>
      <c r="R704" t="str">
        <f t="shared" si="158"/>
        <v>Safe</v>
      </c>
      <c r="S704">
        <f t="shared" si="168"/>
        <v>0.15851962255432464</v>
      </c>
      <c r="T704">
        <f t="shared" si="169"/>
        <v>0.58805020462224633</v>
      </c>
      <c r="U704">
        <f t="shared" si="170"/>
        <v>0.25674534981250363</v>
      </c>
      <c r="V704">
        <f t="shared" si="171"/>
        <v>1.5821786780688933</v>
      </c>
      <c r="X704" s="13">
        <f t="shared" si="159"/>
        <v>4.2061956078305123</v>
      </c>
      <c r="Y704" s="10"/>
      <c r="Z704" s="10"/>
      <c r="AB704" s="10" t="str">
        <f t="shared" si="160"/>
        <v>Non-Distress</v>
      </c>
      <c r="AC704" s="10">
        <f t="shared" si="161"/>
        <v>0</v>
      </c>
      <c r="AE704" s="10">
        <f t="shared" si="162"/>
        <v>0</v>
      </c>
      <c r="AG704" s="13">
        <f t="shared" si="163"/>
        <v>0.5</v>
      </c>
      <c r="AH704" s="13">
        <f t="shared" si="164"/>
        <v>0.5</v>
      </c>
      <c r="AI704" s="10">
        <f t="shared" si="165"/>
        <v>0.25</v>
      </c>
    </row>
    <row r="706" spans="1:27" x14ac:dyDescent="0.3">
      <c r="A706">
        <f>COUNTA(_xlfn.UNIQUE(A2:A704))</f>
        <v>176</v>
      </c>
      <c r="S706" t="s">
        <v>241</v>
      </c>
      <c r="T706" s="10" t="s">
        <v>242</v>
      </c>
      <c r="U706" s="10" t="s">
        <v>243</v>
      </c>
      <c r="V706" s="10" t="s">
        <v>244</v>
      </c>
    </row>
    <row r="707" spans="1:27" x14ac:dyDescent="0.3">
      <c r="P707" s="7" t="s">
        <v>225</v>
      </c>
      <c r="Q707">
        <f>COUNTIF(Q2:Q704,1)</f>
        <v>131</v>
      </c>
      <c r="R707" s="8">
        <f>Q707/Q709</f>
        <v>0.1866096866096866</v>
      </c>
      <c r="S707">
        <f>AVERAGEIF(Q:Q, 1, S:S)</f>
        <v>-9.9668070950232418E-2</v>
      </c>
      <c r="T707">
        <f>AVERAGEIF(Q:Q, 1, T:T)</f>
        <v>-0.57091603322493012</v>
      </c>
      <c r="U707">
        <f>AVERAGEIF(Q:Q, 1, U:U)</f>
        <v>1.8458803043307273E-3</v>
      </c>
      <c r="V707">
        <f>AVERAGEIF(Q:Q, 1, V:V)</f>
        <v>0.49572380009873213</v>
      </c>
    </row>
    <row r="708" spans="1:27" x14ac:dyDescent="0.3">
      <c r="P708" s="7" t="s">
        <v>226</v>
      </c>
      <c r="Q708">
        <f>COUNTIF(Q2:Q704,0)</f>
        <v>571</v>
      </c>
      <c r="R708" s="8">
        <f>Q708/Q709</f>
        <v>0.81339031339031342</v>
      </c>
      <c r="S708">
        <f>AVERAGEIF(Q:Q, 0, S:S)</f>
        <v>0.27024438019018771</v>
      </c>
      <c r="T708">
        <f>AVERAGEIF(Q:Q, 0, T:T)</f>
        <v>0.28955853993269987</v>
      </c>
      <c r="U708">
        <f>AVERAGEIF(Q:Q, 0, U:U)</f>
        <v>0.10331781905422685</v>
      </c>
      <c r="V708">
        <f>AVERAGEIF(Q:Q, 0, V:V)</f>
        <v>2.755628148321712</v>
      </c>
    </row>
    <row r="709" spans="1:27" x14ac:dyDescent="0.3">
      <c r="P709" s="7" t="s">
        <v>227</v>
      </c>
      <c r="Q709">
        <f xml:space="preserve"> Q707 + Q708</f>
        <v>702</v>
      </c>
    </row>
    <row r="710" spans="1:27" x14ac:dyDescent="0.3">
      <c r="B710" t="s">
        <v>247</v>
      </c>
      <c r="G710" s="3" t="s">
        <v>193</v>
      </c>
      <c r="L710" t="s">
        <v>256</v>
      </c>
    </row>
    <row r="711" spans="1:27" x14ac:dyDescent="0.3">
      <c r="B711" s="11" t="s">
        <v>194</v>
      </c>
      <c r="C711" s="11" t="s">
        <v>195</v>
      </c>
      <c r="D711" s="11" t="s">
        <v>196</v>
      </c>
      <c r="E711" s="11" t="s">
        <v>210</v>
      </c>
      <c r="G711" s="11" t="s">
        <v>194</v>
      </c>
      <c r="H711" s="11" t="s">
        <v>195</v>
      </c>
      <c r="I711" s="11" t="s">
        <v>196</v>
      </c>
      <c r="J711" s="11" t="s">
        <v>210</v>
      </c>
      <c r="L711" t="e">
        <f>AVERAGEIF(G712, 0, W2:W703)</f>
        <v>#DIV/0!</v>
      </c>
      <c r="R711" t="s">
        <v>245</v>
      </c>
      <c r="S711">
        <f>S708-S707</f>
        <v>0.36991245114042015</v>
      </c>
      <c r="T711">
        <f>T708-T707</f>
        <v>0.86047457315762998</v>
      </c>
      <c r="U711">
        <f>U708-U707</f>
        <v>0.10147193874989613</v>
      </c>
      <c r="V711">
        <f>V708-V707</f>
        <v>2.2599043482229799</v>
      </c>
    </row>
    <row r="712" spans="1:27" x14ac:dyDescent="0.3">
      <c r="B712" s="10">
        <v>0.24632722231555729</v>
      </c>
      <c r="C712" s="10">
        <v>0.68605282103400056</v>
      </c>
      <c r="D712" s="10">
        <v>8.7414719150708337E-2</v>
      </c>
      <c r="E712" s="10">
        <v>8.1524075349458549</v>
      </c>
      <c r="G712" s="10">
        <v>0.1320086155463869</v>
      </c>
      <c r="H712" s="10">
        <v>-1.039878111754982</v>
      </c>
      <c r="I712" s="10">
        <v>-1.7697983303093811E-2</v>
      </c>
      <c r="J712" s="10">
        <v>2.823290625679348</v>
      </c>
    </row>
    <row r="713" spans="1:27" x14ac:dyDescent="0.3">
      <c r="B713" s="10">
        <v>0.18045859746520229</v>
      </c>
      <c r="C713" s="10">
        <v>0.61269701466230342</v>
      </c>
      <c r="D713" s="10">
        <v>6.8136132718721154E-2</v>
      </c>
      <c r="E713" s="10">
        <v>4.0495900405693774</v>
      </c>
      <c r="G713" s="10">
        <v>0.12979803663609091</v>
      </c>
      <c r="H713" s="10">
        <v>-1.0003520541037541</v>
      </c>
      <c r="I713" s="10">
        <v>-6.9635826964771136E-2</v>
      </c>
      <c r="J713" s="10">
        <v>2.9502835841128858</v>
      </c>
      <c r="V713" s="12" t="s">
        <v>253</v>
      </c>
    </row>
    <row r="714" spans="1:27" x14ac:dyDescent="0.3">
      <c r="B714" s="10">
        <v>0.11218310127942829</v>
      </c>
      <c r="C714" s="10">
        <v>0.5902585650408616</v>
      </c>
      <c r="D714" s="10">
        <v>6.0799356089456781E-2</v>
      </c>
      <c r="E714" s="10">
        <v>3.5056073520792288</v>
      </c>
      <c r="G714" s="10">
        <v>-6.5269266527615694E-2</v>
      </c>
      <c r="H714" s="10">
        <v>-1.305607352763148</v>
      </c>
      <c r="I714" s="10">
        <v>6.2046116501370173E-2</v>
      </c>
      <c r="J714" s="10">
        <v>1.2109444793918791</v>
      </c>
      <c r="Q714" s="7" t="s">
        <v>246</v>
      </c>
      <c r="R714" s="12" t="s">
        <v>248</v>
      </c>
      <c r="S714" s="12" t="s">
        <v>249</v>
      </c>
      <c r="T714" s="12" t="s">
        <v>250</v>
      </c>
      <c r="U714" s="12" t="s">
        <v>251</v>
      </c>
      <c r="W714" s="7" t="s">
        <v>252</v>
      </c>
      <c r="X714" s="12" t="s">
        <v>248</v>
      </c>
      <c r="Y714" s="12" t="s">
        <v>249</v>
      </c>
      <c r="Z714" s="12" t="s">
        <v>250</v>
      </c>
      <c r="AA714" s="12" t="s">
        <v>251</v>
      </c>
    </row>
    <row r="715" spans="1:27" x14ac:dyDescent="0.3">
      <c r="B715" s="10">
        <v>0.1824885279462716</v>
      </c>
      <c r="C715" s="10">
        <v>0.57190309251422422</v>
      </c>
      <c r="D715" s="10">
        <v>9.4961390581804583E-2</v>
      </c>
      <c r="E715" s="10">
        <v>3.095014086971688</v>
      </c>
      <c r="G715" s="10">
        <v>1.8272330529098268E-2</v>
      </c>
      <c r="H715" s="10">
        <v>-1.448288133625772</v>
      </c>
      <c r="I715" s="10">
        <v>6.8096887645277507E-2</v>
      </c>
      <c r="J715" s="10">
        <v>1.141042706479281</v>
      </c>
      <c r="Q715" s="7" t="s">
        <v>248</v>
      </c>
      <c r="R715">
        <f>_xlfn.COVARIANCE.S(B712:B1282, B712:B1282 )</f>
        <v>3.8419170831607896E-2</v>
      </c>
      <c r="S715">
        <f>_xlfn.COVARIANCE.S(B712:B1282, C712:C1282 )</f>
        <v>1.3439923080892207E-2</v>
      </c>
      <c r="T715">
        <f>_xlfn.COVARIANCE.S(B712:B1282, D712:D1282 )</f>
        <v>1.0622383035095342E-3</v>
      </c>
      <c r="U715">
        <f>_xlfn.COVARIANCE.S(B712:B1282, E712:E1282 )</f>
        <v>0.27940329299962896</v>
      </c>
      <c r="W715" s="7" t="s">
        <v>248</v>
      </c>
      <c r="X715">
        <f>_xlfn.COVARIANCE.S(G712:G842, G712:G842 )</f>
        <v>8.3712163640647402E-2</v>
      </c>
      <c r="Y715">
        <f>_xlfn.COVARIANCE.S(G712:G842, H712:H842 )</f>
        <v>4.6127775022323035E-2</v>
      </c>
      <c r="Z715">
        <f>_xlfn.COVARIANCE.S(G712:G842, I712:I842 )</f>
        <v>5.8240793327367594E-3</v>
      </c>
      <c r="AA715">
        <f>_xlfn.COVARIANCE.S(G712:G842, J712:J842 )</f>
        <v>6.8588675610785133E-2</v>
      </c>
    </row>
    <row r="716" spans="1:27" x14ac:dyDescent="0.3">
      <c r="B716" s="10">
        <v>0.43644986901689958</v>
      </c>
      <c r="C716" s="10">
        <v>0.60983764484287495</v>
      </c>
      <c r="D716" s="10">
        <v>0.26261712332586401</v>
      </c>
      <c r="E716" s="10">
        <v>5.282202444030573</v>
      </c>
      <c r="G716" s="10">
        <v>-8.8236565974992492E-2</v>
      </c>
      <c r="H716" s="10">
        <v>-1.6001841077100369</v>
      </c>
      <c r="I716" s="10">
        <v>4.2504772962653051E-2</v>
      </c>
      <c r="J716" s="10">
        <v>1.099506013794417</v>
      </c>
      <c r="Q716" s="7" t="s">
        <v>249</v>
      </c>
      <c r="R716">
        <f>_xlfn.COVARIANCE.S(C712:C1282, B712:B1282 )</f>
        <v>1.3439923080892207E-2</v>
      </c>
      <c r="S716">
        <f>_xlfn.COVARIANCE.S(C712:C1282, C712:C1282 )</f>
        <v>7.1953824935716656E-2</v>
      </c>
      <c r="T716">
        <f>_xlfn.COVARIANCE.S(C712:C1282, D712:D1282 )</f>
        <v>9.3141843243721191E-3</v>
      </c>
      <c r="U716">
        <f>_xlfn.COVARIANCE.S(C712:C1282, E712:E1282 )</f>
        <v>0.15117681721655726</v>
      </c>
      <c r="W716" s="7" t="s">
        <v>249</v>
      </c>
      <c r="X716">
        <f>_xlfn.COVARIANCE.S(H712:H842, G712:G842 )</f>
        <v>4.6127775022323035E-2</v>
      </c>
      <c r="Y716">
        <f>_xlfn.COVARIANCE.S(H712:H842, H712:H842 )</f>
        <v>0.82050093430813065</v>
      </c>
      <c r="Z716">
        <f>_xlfn.COVARIANCE.S(H712:H842, I712:I842 )</f>
        <v>8.6807825304235729E-3</v>
      </c>
      <c r="AA716">
        <f>_xlfn.COVARIANCE.S(H712:H842, J712:J842 )</f>
        <v>-3.0192504411622047E-3</v>
      </c>
    </row>
    <row r="717" spans="1:27" x14ac:dyDescent="0.3">
      <c r="B717" s="10">
        <v>0.4330409948703573</v>
      </c>
      <c r="C717" s="10">
        <v>0.53202225984602913</v>
      </c>
      <c r="D717" s="10">
        <v>0.24760963990160459</v>
      </c>
      <c r="E717" s="10">
        <v>5.152007536960534</v>
      </c>
      <c r="G717" s="10">
        <v>-0.1472592876502313</v>
      </c>
      <c r="H717" s="10">
        <v>-1.648058696306842</v>
      </c>
      <c r="I717" s="10">
        <v>-1.505790237358666E-2</v>
      </c>
      <c r="J717" s="10">
        <v>0.74306263585025689</v>
      </c>
      <c r="Q717" s="7" t="s">
        <v>250</v>
      </c>
      <c r="R717">
        <f>_xlfn.COVARIANCE.S(D712:D1282,B712:B1282 )</f>
        <v>1.0622383035095342E-3</v>
      </c>
      <c r="S717">
        <f>_xlfn.COVARIANCE.S(D712:D1282,C712:C1282 )</f>
        <v>9.3141843243721191E-3</v>
      </c>
      <c r="T717">
        <f>_xlfn.COVARIANCE.S(D712:D1282,D712:D1282 )</f>
        <v>7.5769573118312228E-3</v>
      </c>
      <c r="U717">
        <f>_xlfn.COVARIANCE.S(D712:D1282,E712:E1282 )</f>
        <v>-2.6466778989519169E-3</v>
      </c>
      <c r="W717" s="7" t="s">
        <v>250</v>
      </c>
      <c r="X717">
        <f>_xlfn.COVARIANCE.S(I712:I842, G712:G842 )</f>
        <v>5.8240793327367594E-3</v>
      </c>
      <c r="Y717">
        <f>_xlfn.COVARIANCE.S(I712:I842, H712:H842 )</f>
        <v>8.6807825304235729E-3</v>
      </c>
      <c r="Z717">
        <f>_xlfn.COVARIANCE.S(I712:I842, I712:I842 )</f>
        <v>3.2997802606207487E-2</v>
      </c>
      <c r="AA717">
        <f>_xlfn.COVARIANCE.S(I712:I842, J712:J842 )</f>
        <v>4.3877254465802401E-3</v>
      </c>
    </row>
    <row r="718" spans="1:27" x14ac:dyDescent="0.3">
      <c r="B718" s="10">
        <v>0.44662576216368638</v>
      </c>
      <c r="C718" s="10">
        <v>0.43517975888915211</v>
      </c>
      <c r="D718" s="10">
        <v>0.24162734955509879</v>
      </c>
      <c r="E718" s="10">
        <v>4.8675705031881904</v>
      </c>
      <c r="G718" s="10">
        <v>-1.07645618860803E-2</v>
      </c>
      <c r="H718" s="10">
        <v>-0.409898308911821</v>
      </c>
      <c r="I718" s="10">
        <v>-4.3412940914119208E-2</v>
      </c>
      <c r="J718" s="10">
        <v>0.66666913001186545</v>
      </c>
      <c r="Q718" s="7" t="s">
        <v>251</v>
      </c>
      <c r="R718">
        <f>_xlfn.COVARIANCE.S(E712:E1282,B712:B1282 )</f>
        <v>0.27940329299962896</v>
      </c>
      <c r="S718">
        <f>_xlfn.COVARIANCE.S(E712:E1282,C712:C1282 )</f>
        <v>0.15117681721655726</v>
      </c>
      <c r="T718">
        <f>_xlfn.COVARIANCE.S(E712:E1282,D712:D1282 )</f>
        <v>-2.6466778989519169E-3</v>
      </c>
      <c r="U718">
        <f>_xlfn.COVARIANCE.S(E712:E1282,E712:E1282 )</f>
        <v>11.256070131559033</v>
      </c>
      <c r="W718" s="7" t="s">
        <v>251</v>
      </c>
      <c r="X718">
        <f>_xlfn.COVARIANCE.S(J712:J842, G712:G842 )</f>
        <v>6.8588675610785133E-2</v>
      </c>
      <c r="Y718">
        <f>_xlfn.COVARIANCE.S(J712:J842, H712:H842 )</f>
        <v>-3.0192504411622047E-3</v>
      </c>
      <c r="Z718">
        <f>_xlfn.COVARIANCE.S(J712:J842, I712:I842 )</f>
        <v>4.3877254465802401E-3</v>
      </c>
      <c r="AA718">
        <f>_xlfn.COVARIANCE.S(J712:J842, J712:J842 )</f>
        <v>0.32440776677290012</v>
      </c>
    </row>
    <row r="719" spans="1:27" x14ac:dyDescent="0.3">
      <c r="B719" s="10">
        <v>0.34066974480761208</v>
      </c>
      <c r="C719" s="10">
        <v>0.31091188406290299</v>
      </c>
      <c r="D719" s="10">
        <v>0.28241011386852799</v>
      </c>
      <c r="E719" s="10">
        <v>4.2955854620815712</v>
      </c>
      <c r="G719" s="10">
        <v>-3.313581069781725E-2</v>
      </c>
      <c r="H719" s="10">
        <v>-0.230168638625528</v>
      </c>
      <c r="I719" s="10">
        <v>-2.8703002731723239E-2</v>
      </c>
      <c r="J719" s="10">
        <v>0.83925351083787514</v>
      </c>
    </row>
    <row r="720" spans="1:27" x14ac:dyDescent="0.3">
      <c r="B720" s="10">
        <v>0.17531211385736301</v>
      </c>
      <c r="C720" s="10">
        <v>-0.91554533523659465</v>
      </c>
      <c r="D720" s="10">
        <v>-0.1196787867872226</v>
      </c>
      <c r="E720" s="10">
        <v>3.8516346156461889</v>
      </c>
      <c r="G720" s="10">
        <v>-4.6833776614817163E-2</v>
      </c>
      <c r="H720" s="10">
        <v>-0.15218348467908011</v>
      </c>
      <c r="I720" s="10">
        <v>-0.13946283459960901</v>
      </c>
      <c r="J720" s="10">
        <v>0.93522701243106032</v>
      </c>
    </row>
    <row r="721" spans="2:23" x14ac:dyDescent="0.3">
      <c r="B721" s="10">
        <v>0.21343050253623</v>
      </c>
      <c r="C721" s="10">
        <v>-0.73369654575237175</v>
      </c>
      <c r="D721" s="10">
        <v>-0.15392958667670201</v>
      </c>
      <c r="E721" s="10">
        <v>5.4331468061164534</v>
      </c>
      <c r="G721" s="10">
        <v>-0.19081615194584839</v>
      </c>
      <c r="H721" s="10">
        <v>-2.0381911056023529</v>
      </c>
      <c r="I721" s="10">
        <v>5.4859425435219891E-2</v>
      </c>
      <c r="J721" s="10">
        <v>0.2068816942957496</v>
      </c>
      <c r="T721" t="s">
        <v>255</v>
      </c>
    </row>
    <row r="722" spans="2:23" x14ac:dyDescent="0.3">
      <c r="B722" s="10">
        <v>0.12069891821701741</v>
      </c>
      <c r="C722" s="10">
        <v>0.102358432298282</v>
      </c>
      <c r="D722" s="10">
        <v>4.9198636585814179E-2</v>
      </c>
      <c r="E722" s="10">
        <v>0.81431441935328608</v>
      </c>
      <c r="G722" s="10">
        <v>-0.246576683895146</v>
      </c>
      <c r="H722" s="10">
        <v>-2.1127667900189642</v>
      </c>
      <c r="I722" s="10">
        <v>1.0293116218430011E-5</v>
      </c>
      <c r="J722" s="10">
        <v>0.122071007557341</v>
      </c>
      <c r="T722">
        <f>(570 * R715 + 130 *X715) / 700</f>
        <v>4.6830726639000946E-2</v>
      </c>
      <c r="U722" s="10">
        <f t="shared" ref="U722:W725" si="172">(570 * S715 + 130 *Y715) / 700</f>
        <v>1.9510524155729361E-2</v>
      </c>
      <c r="V722" s="10">
        <f t="shared" si="172"/>
        <v>1.9465802089374477E-3</v>
      </c>
      <c r="W722" s="10">
        <f t="shared" si="172"/>
        <v>0.2402520069131294</v>
      </c>
    </row>
    <row r="723" spans="2:23" x14ac:dyDescent="0.3">
      <c r="B723" s="10">
        <v>0.13064545041744821</v>
      </c>
      <c r="C723" s="10">
        <v>0.1047807139997389</v>
      </c>
      <c r="D723" s="10">
        <v>5.3619872620058122E-2</v>
      </c>
      <c r="E723" s="10">
        <v>0.87503277758498776</v>
      </c>
      <c r="G723" s="10">
        <v>-0.27483143339905308</v>
      </c>
      <c r="H723" s="10">
        <v>-2.1605547416515059</v>
      </c>
      <c r="I723" s="10">
        <v>-1.210875503515626E-2</v>
      </c>
      <c r="J723" s="10">
        <v>0.13586182644835151</v>
      </c>
      <c r="T723" s="10">
        <f t="shared" ref="T723:T725" si="173">(570 * R716 + 130 *X716) / 700</f>
        <v>1.9510524155729361E-2</v>
      </c>
      <c r="U723" s="10">
        <f t="shared" si="172"/>
        <v>0.21096971667630782</v>
      </c>
      <c r="V723" s="10">
        <f t="shared" si="172"/>
        <v>9.1965525626388177E-3</v>
      </c>
      <c r="W723" s="10">
        <f t="shared" si="172"/>
        <v>0.12254040465155222</v>
      </c>
    </row>
    <row r="724" spans="2:23" x14ac:dyDescent="0.3">
      <c r="B724" s="10">
        <v>8.9224994001481706E-2</v>
      </c>
      <c r="C724" s="10">
        <v>9.8997930046312022E-2</v>
      </c>
      <c r="D724" s="10">
        <v>6.4716542278364847E-2</v>
      </c>
      <c r="E724" s="10">
        <v>0.89444500005283056</v>
      </c>
      <c r="G724" s="10">
        <v>-1.4707465563703661</v>
      </c>
      <c r="H724" s="10">
        <v>-2.056747126493935</v>
      </c>
      <c r="I724" s="10">
        <v>-6.0270671407224238E-2</v>
      </c>
      <c r="J724" s="10">
        <v>-0.55033648746030095</v>
      </c>
      <c r="T724" s="10">
        <f t="shared" si="173"/>
        <v>1.9465802089374477E-3</v>
      </c>
      <c r="U724" s="10">
        <f>(570 * S717 + 130 *Y717) / 700</f>
        <v>9.1965525626388177E-3</v>
      </c>
      <c r="V724" s="10">
        <f t="shared" si="172"/>
        <v>1.2297971437929673E-2</v>
      </c>
      <c r="W724" s="10">
        <f t="shared" si="172"/>
        <v>-1.3402887062102307E-3</v>
      </c>
    </row>
    <row r="725" spans="2:23" x14ac:dyDescent="0.3">
      <c r="B725" s="10">
        <v>2.0772740882567149E-2</v>
      </c>
      <c r="C725" s="10">
        <v>7.874489942396895E-2</v>
      </c>
      <c r="D725" s="10">
        <v>5.9445483700908332E-2</v>
      </c>
      <c r="E725" s="10">
        <v>0.78622890302543214</v>
      </c>
      <c r="G725" s="10">
        <v>-1.097735374486555E-2</v>
      </c>
      <c r="H725" s="10">
        <v>9.9349865355348482E-2</v>
      </c>
      <c r="I725" s="10">
        <v>8.4696014193426199E-3</v>
      </c>
      <c r="J725" s="10">
        <v>0.69204805591105889</v>
      </c>
      <c r="T725" s="10">
        <f t="shared" si="173"/>
        <v>0.2402520069131294</v>
      </c>
      <c r="U725" s="10">
        <f t="shared" si="172"/>
        <v>0.12254040465155222</v>
      </c>
      <c r="V725" s="10">
        <f t="shared" si="172"/>
        <v>-1.3402887062102307E-3</v>
      </c>
      <c r="W725" s="10">
        <f t="shared" si="172"/>
        <v>9.2259042638130371</v>
      </c>
    </row>
    <row r="726" spans="2:23" x14ac:dyDescent="0.3">
      <c r="B726" s="10">
        <v>4.5332824492034247E-2</v>
      </c>
      <c r="C726" s="10">
        <v>0.20315478628728259</v>
      </c>
      <c r="D726" s="10">
        <v>2.7015740044614951E-2</v>
      </c>
      <c r="E726" s="10">
        <v>0.95522632812324504</v>
      </c>
      <c r="G726" s="10">
        <v>-0.28934778721463239</v>
      </c>
      <c r="H726" s="10">
        <v>0.1271005285732637</v>
      </c>
      <c r="I726" s="10">
        <v>6.5178652685997651E-2</v>
      </c>
      <c r="J726" s="10">
        <v>0.78285895708772246</v>
      </c>
    </row>
    <row r="727" spans="2:23" x14ac:dyDescent="0.3">
      <c r="B727" s="10">
        <v>6.011796694146454E-2</v>
      </c>
      <c r="C727" s="10">
        <v>0.2190709199207464</v>
      </c>
      <c r="D727" s="10">
        <v>3.304952345386139E-2</v>
      </c>
      <c r="E727" s="10">
        <v>1.0709275715972959</v>
      </c>
      <c r="G727" s="10">
        <v>-0.16976856718809691</v>
      </c>
      <c r="H727" s="10">
        <v>-0.31676834800897208</v>
      </c>
      <c r="I727" s="10">
        <v>-1.605585361071156E-2</v>
      </c>
      <c r="J727" s="10">
        <v>3.2073996731455223E-2</v>
      </c>
    </row>
    <row r="728" spans="2:23" x14ac:dyDescent="0.3">
      <c r="B728" s="10">
        <v>5.3705217078755627E-2</v>
      </c>
      <c r="C728" s="10">
        <v>0.2152264117624958</v>
      </c>
      <c r="D728" s="10">
        <v>8.7692023303836252E-3</v>
      </c>
      <c r="E728" s="10">
        <v>0.97198980249526989</v>
      </c>
      <c r="G728" s="10">
        <v>0.32159187533601041</v>
      </c>
      <c r="H728" s="10">
        <v>-0.25688120792785851</v>
      </c>
      <c r="I728" s="10">
        <v>-5.2288987654207232E-2</v>
      </c>
      <c r="J728" s="10">
        <v>8.8294231568641218E-2</v>
      </c>
      <c r="T728" t="s">
        <v>254</v>
      </c>
    </row>
    <row r="729" spans="2:23" x14ac:dyDescent="0.3">
      <c r="B729" s="10">
        <v>7.4120955137214603E-2</v>
      </c>
      <c r="C729" s="10">
        <v>0.2123704669294724</v>
      </c>
      <c r="D729" s="10">
        <v>9.0430938421285953E-2</v>
      </c>
      <c r="E729" s="10">
        <v>0.9462720711536674</v>
      </c>
      <c r="G729" s="10">
        <v>0.33847695102200731</v>
      </c>
      <c r="H729" s="10">
        <v>-0.17497907528945819</v>
      </c>
      <c r="I729" s="10">
        <v>-0.16392563531709151</v>
      </c>
      <c r="J729" s="10">
        <v>0.17739542224143101</v>
      </c>
      <c r="T729">
        <f t="array" ref="T729:T732">MMULT(MINVERSE(T722:W725), TRANSPOSE(S711:V711))</f>
        <v>6.1119542900792574</v>
      </c>
    </row>
    <row r="730" spans="2:23" x14ac:dyDescent="0.3">
      <c r="B730" s="10">
        <v>0.20476063595092761</v>
      </c>
      <c r="C730" s="10">
        <v>0.27724499395286728</v>
      </c>
      <c r="D730" s="10">
        <v>9.178392632044842E-2</v>
      </c>
      <c r="E730" s="10">
        <v>0.58017101652437808</v>
      </c>
      <c r="G730" s="10">
        <v>1.170850103658907E-2</v>
      </c>
      <c r="H730" s="10">
        <v>-0.10984151961524841</v>
      </c>
      <c r="I730" s="10">
        <v>9.5812312196351751E-2</v>
      </c>
      <c r="J730" s="10">
        <v>0.19767479287531309</v>
      </c>
      <c r="S730" s="10"/>
      <c r="T730" s="10">
        <v>3.2776082040126</v>
      </c>
    </row>
    <row r="731" spans="2:23" x14ac:dyDescent="0.3">
      <c r="B731" s="10">
        <v>0.22785152768834421</v>
      </c>
      <c r="C731" s="10">
        <v>0.29138189711108609</v>
      </c>
      <c r="D731" s="10">
        <v>8.7507560517875546E-2</v>
      </c>
      <c r="E731" s="10">
        <v>0.62551957616091602</v>
      </c>
      <c r="G731" s="10">
        <v>-4.6855524843946811E-4</v>
      </c>
      <c r="H731" s="10">
        <v>-0.17721409762570819</v>
      </c>
      <c r="I731" s="10">
        <v>8.0330539303934467E-2</v>
      </c>
      <c r="J731" s="10">
        <v>0.13495519149772389</v>
      </c>
      <c r="S731" s="10"/>
      <c r="T731" s="10">
        <v>4.8373352974880008</v>
      </c>
    </row>
    <row r="732" spans="2:23" x14ac:dyDescent="0.3">
      <c r="B732" s="10">
        <v>0.18443254519950031</v>
      </c>
      <c r="C732" s="10">
        <v>0.31003169563692379</v>
      </c>
      <c r="D732" s="10">
        <v>0.12331915475202659</v>
      </c>
      <c r="E732" s="10">
        <v>0.69293044642080093</v>
      </c>
      <c r="G732" s="10">
        <v>-0.27517316545287918</v>
      </c>
      <c r="H732" s="10">
        <v>-0.71295958015340133</v>
      </c>
      <c r="I732" s="10">
        <v>0.1003212638762776</v>
      </c>
      <c r="J732" s="10">
        <v>0.25666074554429408</v>
      </c>
      <c r="S732" s="10"/>
      <c r="T732" s="10">
        <v>4.2959372089207581E-2</v>
      </c>
    </row>
    <row r="733" spans="2:23" x14ac:dyDescent="0.3">
      <c r="B733" s="10">
        <v>0.16775299437747121</v>
      </c>
      <c r="C733" s="10">
        <v>0.33435838537038998</v>
      </c>
      <c r="D733" s="10">
        <v>0.11332475762193971</v>
      </c>
      <c r="E733" s="10">
        <v>0.78165902941423537</v>
      </c>
      <c r="G733" s="10">
        <v>-0.42309335583907881</v>
      </c>
      <c r="H733" s="10">
        <v>-0.89254964469174713</v>
      </c>
      <c r="I733" s="10">
        <v>-0.19624118086012909</v>
      </c>
      <c r="J733" s="10">
        <v>-0.30142327405300112</v>
      </c>
    </row>
    <row r="734" spans="2:23" x14ac:dyDescent="0.3">
      <c r="B734" s="10">
        <v>8.3366098513486628E-2</v>
      </c>
      <c r="C734" s="10">
        <v>0.17265378256924199</v>
      </c>
      <c r="D734" s="10">
        <v>4.4922857431046487E-2</v>
      </c>
      <c r="E734" s="10">
        <v>1.016965331113042</v>
      </c>
      <c r="G734" s="10">
        <v>-1.0094589673957811E-2</v>
      </c>
      <c r="H734" s="10">
        <v>-0.13464557526404439</v>
      </c>
      <c r="I734" s="10">
        <v>3.4892503568176761E-2</v>
      </c>
      <c r="J734" s="10">
        <v>0.73158583538835464</v>
      </c>
    </row>
    <row r="735" spans="2:23" x14ac:dyDescent="0.3">
      <c r="B735" s="10">
        <v>8.7894846626991902E-2</v>
      </c>
      <c r="C735" s="10">
        <v>0.16061734650697071</v>
      </c>
      <c r="D735" s="10">
        <v>1.698594517760052E-2</v>
      </c>
      <c r="E735" s="10">
        <v>0.99968129537563022</v>
      </c>
      <c r="G735" s="10">
        <v>2.811742851716497E-2</v>
      </c>
      <c r="H735" s="10">
        <v>-0.19835801718369259</v>
      </c>
      <c r="I735" s="10">
        <v>4.2671084954851576E-3</v>
      </c>
      <c r="J735" s="10">
        <v>0.73656004212269766</v>
      </c>
    </row>
    <row r="736" spans="2:23" x14ac:dyDescent="0.3">
      <c r="B736" s="10">
        <v>0.1123523034356107</v>
      </c>
      <c r="C736" s="10">
        <v>0.19327752999370629</v>
      </c>
      <c r="D736" s="10">
        <v>2.6639063105972589E-2</v>
      </c>
      <c r="E736" s="10">
        <v>0.85321004899880493</v>
      </c>
      <c r="G736" s="10">
        <v>1.161995073045243E-2</v>
      </c>
      <c r="H736" s="10">
        <v>-0.221098472578594</v>
      </c>
      <c r="I736" s="10">
        <v>-1.9132014820304369E-2</v>
      </c>
      <c r="J736" s="10">
        <v>0.54418632148346491</v>
      </c>
    </row>
    <row r="737" spans="2:10" x14ac:dyDescent="0.3">
      <c r="B737" s="10">
        <v>0.13137579501189281</v>
      </c>
      <c r="C737" s="10">
        <v>0.2172920760845472</v>
      </c>
      <c r="D737" s="10">
        <v>6.3977302185610693E-2</v>
      </c>
      <c r="E737" s="10">
        <v>0.94440567086444027</v>
      </c>
      <c r="G737" s="10">
        <v>-6.517826318758313E-2</v>
      </c>
      <c r="H737" s="10">
        <v>-0.18774222681601349</v>
      </c>
      <c r="I737" s="10">
        <v>-4.6962209284277058E-2</v>
      </c>
      <c r="J737" s="10">
        <v>0.57852014831905507</v>
      </c>
    </row>
    <row r="738" spans="2:10" x14ac:dyDescent="0.3">
      <c r="B738" s="10">
        <v>0.13299390717039181</v>
      </c>
      <c r="C738" s="10">
        <v>0.59571933649701581</v>
      </c>
      <c r="D738" s="10">
        <v>3.1802835559157423E-2</v>
      </c>
      <c r="E738" s="10">
        <v>1.952975702235354</v>
      </c>
      <c r="G738" s="10">
        <v>1.150119917711478E-2</v>
      </c>
      <c r="H738" s="10">
        <v>-0.56081239913505543</v>
      </c>
      <c r="I738" s="10">
        <v>-0.1436996031526375</v>
      </c>
      <c r="J738" s="10">
        <v>8.7930543318640517E-2</v>
      </c>
    </row>
    <row r="739" spans="2:10" x14ac:dyDescent="0.3">
      <c r="B739" s="10">
        <v>8.6032637261354711E-2</v>
      </c>
      <c r="C739" s="10">
        <v>0.55406249492887771</v>
      </c>
      <c r="D739" s="10">
        <v>5.7989159419030233E-2</v>
      </c>
      <c r="E739" s="10">
        <v>1.61747803609758</v>
      </c>
      <c r="G739" s="10">
        <v>2.4117059019923229E-2</v>
      </c>
      <c r="H739" s="10">
        <v>-0.40597351959489902</v>
      </c>
      <c r="I739" s="10">
        <v>-0.1214828581111945</v>
      </c>
      <c r="J739" s="10">
        <v>0.1347783740510172</v>
      </c>
    </row>
    <row r="740" spans="2:10" x14ac:dyDescent="0.3">
      <c r="B740" s="10">
        <v>0.1137987250195449</v>
      </c>
      <c r="C740" s="10">
        <v>0.50344262854595279</v>
      </c>
      <c r="D740" s="10">
        <v>0.11990605098428619</v>
      </c>
      <c r="E740" s="10">
        <v>1.30086870043409</v>
      </c>
      <c r="G740" s="10">
        <v>1.064781961680724E-2</v>
      </c>
      <c r="H740" s="10">
        <v>-0.21761397486924941</v>
      </c>
      <c r="I740" s="10">
        <v>-5.4580347986962529E-3</v>
      </c>
      <c r="J740" s="10">
        <v>0.37534072286998449</v>
      </c>
    </row>
    <row r="741" spans="2:10" x14ac:dyDescent="0.3">
      <c r="B741" s="10">
        <v>5.4466471662836233E-2</v>
      </c>
      <c r="C741" s="10">
        <v>0.43602494870434949</v>
      </c>
      <c r="D741" s="10">
        <v>8.8471068181696422E-2</v>
      </c>
      <c r="E741" s="10">
        <v>0.99301292885765013</v>
      </c>
      <c r="G741" s="10">
        <v>-3.6669003485301527E-2</v>
      </c>
      <c r="H741" s="10">
        <v>-0.18610114482015591</v>
      </c>
      <c r="I741" s="10">
        <v>-1.0629941219292109E-2</v>
      </c>
      <c r="J741" s="10">
        <v>0.40927529611136437</v>
      </c>
    </row>
    <row r="742" spans="2:10" x14ac:dyDescent="0.3">
      <c r="B742" s="10">
        <v>5.9650214149707073E-2</v>
      </c>
      <c r="C742" s="10">
        <v>-4.3415675526771023E-2</v>
      </c>
      <c r="D742" s="10">
        <v>6.6762790731700744E-3</v>
      </c>
      <c r="E742" s="10">
        <v>1.1614344983235321</v>
      </c>
      <c r="G742" s="10">
        <v>-8.432806120192804E-2</v>
      </c>
      <c r="H742" s="10">
        <v>-0.36437680262181671</v>
      </c>
      <c r="I742" s="10">
        <v>0.11803324439989581</v>
      </c>
      <c r="J742" s="10">
        <v>0.37944685813937262</v>
      </c>
    </row>
    <row r="743" spans="2:10" x14ac:dyDescent="0.3">
      <c r="B743" s="10">
        <v>5.3400851583162968E-2</v>
      </c>
      <c r="C743" s="10">
        <v>0.52321030975804705</v>
      </c>
      <c r="D743" s="10">
        <v>-6.7065526600583167E-2</v>
      </c>
      <c r="E743" s="10">
        <v>2.5060889848195109</v>
      </c>
      <c r="G743" s="10">
        <v>-9.2706123307447735E-2</v>
      </c>
      <c r="H743" s="10">
        <v>-0.4155110379625867</v>
      </c>
      <c r="I743" s="10">
        <v>9.6514633902299071E-2</v>
      </c>
      <c r="J743" s="10">
        <v>0.33108630535074141</v>
      </c>
    </row>
    <row r="744" spans="2:10" x14ac:dyDescent="0.3">
      <c r="B744" s="10">
        <v>2.7085042379171701E-2</v>
      </c>
      <c r="C744" s="10">
        <v>0.45729747757062322</v>
      </c>
      <c r="D744" s="10">
        <v>6.3248397333655837E-2</v>
      </c>
      <c r="E744" s="10">
        <v>1.58361377341279</v>
      </c>
      <c r="G744" s="10">
        <v>-0.21731956859668231</v>
      </c>
      <c r="H744" s="10">
        <v>-0.42518571690900292</v>
      </c>
      <c r="I744" s="10">
        <v>4.3205633421089587E-2</v>
      </c>
      <c r="J744" s="10">
        <v>0.27306380412314368</v>
      </c>
    </row>
    <row r="745" spans="2:10" x14ac:dyDescent="0.3">
      <c r="B745" s="10">
        <v>4.8878607298989884E-3</v>
      </c>
      <c r="C745" s="10">
        <v>0.43397315723510133</v>
      </c>
      <c r="D745" s="10">
        <v>4.4640497693187717E-2</v>
      </c>
      <c r="E745" s="10">
        <v>1.5867369931212389</v>
      </c>
      <c r="G745" s="10">
        <v>-0.12357463876341181</v>
      </c>
      <c r="H745" s="10">
        <v>-0.36870642025307182</v>
      </c>
      <c r="I745" s="10">
        <v>3.8178787077553789E-2</v>
      </c>
      <c r="J745" s="10">
        <v>0.19887634320087871</v>
      </c>
    </row>
    <row r="746" spans="2:10" x14ac:dyDescent="0.3">
      <c r="B746" s="10">
        <v>3.2961141125858399E-2</v>
      </c>
      <c r="C746" s="10">
        <v>0.53764562183044795</v>
      </c>
      <c r="D746" s="10">
        <v>6.9837957706072359E-2</v>
      </c>
      <c r="E746" s="10">
        <v>2.163158907562627</v>
      </c>
      <c r="G746" s="10">
        <v>-0.20864078971620781</v>
      </c>
      <c r="H746" s="10">
        <v>-0.22872854201465889</v>
      </c>
      <c r="I746" s="10">
        <v>2.9309945633767778E-2</v>
      </c>
      <c r="J746" s="10">
        <v>0.191022862422943</v>
      </c>
    </row>
    <row r="747" spans="2:10" x14ac:dyDescent="0.3">
      <c r="B747" s="10">
        <v>0.33438068855953162</v>
      </c>
      <c r="C747" s="10">
        <v>0.42140934363590121</v>
      </c>
      <c r="D747" s="10">
        <v>1.7749022927443289E-2</v>
      </c>
      <c r="E747" s="10">
        <v>2.9153269529182899</v>
      </c>
      <c r="G747" s="10">
        <v>-0.31235718543612417</v>
      </c>
      <c r="H747" s="10">
        <v>-0.21204456317189049</v>
      </c>
      <c r="I747" s="10">
        <v>6.9626155875687282E-3</v>
      </c>
      <c r="J747" s="10">
        <v>0.20282062471453721</v>
      </c>
    </row>
    <row r="748" spans="2:10" x14ac:dyDescent="0.3">
      <c r="B748" s="10">
        <v>0.34440344445269611</v>
      </c>
      <c r="C748" s="10">
        <v>0.4149629356551599</v>
      </c>
      <c r="D748" s="10">
        <v>5.2373100010810129E-2</v>
      </c>
      <c r="E748" s="10">
        <v>2.8393582647064761</v>
      </c>
      <c r="G748" s="10">
        <v>-0.2282456923552616</v>
      </c>
      <c r="H748" s="10">
        <v>-0.16238207830882451</v>
      </c>
      <c r="I748" s="10">
        <v>6.1930106420232937E-2</v>
      </c>
      <c r="J748" s="10">
        <v>0.26044002589625198</v>
      </c>
    </row>
    <row r="749" spans="2:10" x14ac:dyDescent="0.3">
      <c r="B749" s="10">
        <v>0.2872884056131666</v>
      </c>
      <c r="C749" s="10">
        <v>0.37393821578558362</v>
      </c>
      <c r="D749" s="10">
        <v>0.1426607307488206</v>
      </c>
      <c r="E749" s="10">
        <v>2.1317812386990802</v>
      </c>
      <c r="G749" s="10">
        <v>-0.26862574475046641</v>
      </c>
      <c r="H749" s="10">
        <v>-0.16921641637742099</v>
      </c>
      <c r="I749" s="10">
        <v>2.7519307661183118E-2</v>
      </c>
      <c r="J749" s="10">
        <v>0.24351107101934849</v>
      </c>
    </row>
    <row r="750" spans="2:10" x14ac:dyDescent="0.3">
      <c r="B750" s="10">
        <v>0.21045341536952711</v>
      </c>
      <c r="C750" s="10">
        <v>0.28408152483656263</v>
      </c>
      <c r="D750" s="10">
        <v>0.14051978651099961</v>
      </c>
      <c r="E750" s="10">
        <v>1.4718852051752369</v>
      </c>
      <c r="G750" s="10">
        <v>3.6418952209356391E-2</v>
      </c>
      <c r="H750" s="10">
        <v>-0.35754709870429718</v>
      </c>
      <c r="I750" s="10">
        <v>0.10762995407207809</v>
      </c>
      <c r="J750" s="10">
        <v>1.105535720226724</v>
      </c>
    </row>
    <row r="751" spans="2:10" x14ac:dyDescent="0.3">
      <c r="B751" s="10">
        <v>0.23897443275444821</v>
      </c>
      <c r="C751" s="10">
        <v>0.68739558148302726</v>
      </c>
      <c r="D751" s="10">
        <v>0.184105749572121</v>
      </c>
      <c r="E751" s="10">
        <v>1.998346831477539</v>
      </c>
      <c r="G751" s="10">
        <v>9.5797681023619356E-3</v>
      </c>
      <c r="H751" s="10">
        <v>-0.4474547221941807</v>
      </c>
      <c r="I751" s="10">
        <v>9.431922510121421E-2</v>
      </c>
      <c r="J751" s="10">
        <v>1.1365302915857951</v>
      </c>
    </row>
    <row r="752" spans="2:10" x14ac:dyDescent="0.3">
      <c r="B752" s="10">
        <v>0.29620664652005918</v>
      </c>
      <c r="C752" s="10">
        <v>0.71080297337267417</v>
      </c>
      <c r="D752" s="10">
        <v>0.21002742461570301</v>
      </c>
      <c r="E752" s="10">
        <v>2.3521202467208591</v>
      </c>
      <c r="G752" s="10">
        <v>2.1280456126871228E-2</v>
      </c>
      <c r="H752" s="10">
        <v>-0.4859951478471452</v>
      </c>
      <c r="I752" s="10">
        <v>0.1051056701113627</v>
      </c>
      <c r="J752" s="10">
        <v>0.99419315696895361</v>
      </c>
    </row>
    <row r="753" spans="2:10" x14ac:dyDescent="0.3">
      <c r="B753" s="10">
        <v>0.35177596513062198</v>
      </c>
      <c r="C753" s="10">
        <v>0.67759516388981333</v>
      </c>
      <c r="D753" s="10">
        <v>0.22280625545240659</v>
      </c>
      <c r="E753" s="10">
        <v>2.3822467324963741</v>
      </c>
      <c r="G753" s="10">
        <v>2.6467655983834319E-2</v>
      </c>
      <c r="H753" s="10">
        <v>-0.54850984168691308</v>
      </c>
      <c r="I753" s="10">
        <v>0.1017200398552066</v>
      </c>
      <c r="J753" s="10">
        <v>0.87053113375074109</v>
      </c>
    </row>
    <row r="754" spans="2:10" x14ac:dyDescent="0.3">
      <c r="B754" s="10">
        <v>0.35512848811937442</v>
      </c>
      <c r="C754" s="10">
        <v>0.67202194524196346</v>
      </c>
      <c r="D754" s="10">
        <v>0.29061492914310988</v>
      </c>
      <c r="E754" s="10">
        <v>2.4193168590041521</v>
      </c>
      <c r="G754" s="10">
        <v>0.36276833242913331</v>
      </c>
      <c r="H754" s="10">
        <v>-0.8964825962849432</v>
      </c>
      <c r="I754" s="10">
        <v>-1.435490382585535E-2</v>
      </c>
      <c r="J754" s="10">
        <v>0.33354407801981578</v>
      </c>
    </row>
    <row r="755" spans="2:10" x14ac:dyDescent="0.3">
      <c r="B755" s="10">
        <v>0.24101368801430209</v>
      </c>
      <c r="C755" s="10">
        <v>0.51704754960087296</v>
      </c>
      <c r="D755" s="10">
        <v>0.1183741896424126</v>
      </c>
      <c r="E755" s="10">
        <v>2.7760868376529371</v>
      </c>
      <c r="G755" s="10">
        <v>0.34863916065133849</v>
      </c>
      <c r="H755" s="10">
        <v>-0.80810055930391222</v>
      </c>
      <c r="I755" s="10">
        <v>-1.278344213179667E-2</v>
      </c>
      <c r="J755" s="10">
        <v>0.35143150221099317</v>
      </c>
    </row>
    <row r="756" spans="2:10" x14ac:dyDescent="0.3">
      <c r="B756" s="10">
        <v>0.209328018644587</v>
      </c>
      <c r="C756" s="10">
        <v>0.49362744244916962</v>
      </c>
      <c r="D756" s="10">
        <v>0.1203105960251675</v>
      </c>
      <c r="E756" s="10">
        <v>2.641042806052452</v>
      </c>
      <c r="G756" s="10">
        <v>0.36206465154893902</v>
      </c>
      <c r="H756" s="10">
        <v>-0.76108753717693634</v>
      </c>
      <c r="I756" s="10">
        <v>-3.9169419115273112E-4</v>
      </c>
      <c r="J756" s="10">
        <v>0.39108401660136433</v>
      </c>
    </row>
    <row r="757" spans="2:10" x14ac:dyDescent="0.3">
      <c r="B757" s="10">
        <v>0.18463952788968041</v>
      </c>
      <c r="C757" s="10">
        <v>0.47614584845401092</v>
      </c>
      <c r="D757" s="10">
        <v>0.1199120401663322</v>
      </c>
      <c r="E757" s="10">
        <v>2.6281231280745412</v>
      </c>
      <c r="G757" s="10">
        <v>9.9687081650626397E-2</v>
      </c>
      <c r="H757" s="10">
        <v>-0.79484268712531836</v>
      </c>
      <c r="I757" s="10">
        <v>-1.8324269286480531E-2</v>
      </c>
      <c r="J757" s="10">
        <v>0.32039321448459501</v>
      </c>
    </row>
    <row r="758" spans="2:10" x14ac:dyDescent="0.3">
      <c r="B758" s="10">
        <v>0.1713381178527747</v>
      </c>
      <c r="C758" s="10">
        <v>0.43899699917840368</v>
      </c>
      <c r="D758" s="10">
        <v>9.5075707858120459E-2</v>
      </c>
      <c r="E758" s="10">
        <v>2.181695838306188</v>
      </c>
      <c r="G758" s="10">
        <v>0.24348468618701261</v>
      </c>
      <c r="H758" s="10">
        <v>-0.65318096780570889</v>
      </c>
      <c r="I758" s="10">
        <v>1.7276679988337269E-2</v>
      </c>
      <c r="J758" s="10">
        <v>0.45924444881475118</v>
      </c>
    </row>
    <row r="759" spans="2:10" x14ac:dyDescent="0.3">
      <c r="B759" s="10">
        <v>0.57418065549725428</v>
      </c>
      <c r="C759" s="10">
        <v>0.17633960368911961</v>
      </c>
      <c r="D759" s="10">
        <v>0.1965235941499294</v>
      </c>
      <c r="E759" s="10">
        <v>6.1763106682943096</v>
      </c>
      <c r="G759" s="10">
        <v>0.2095661995449638</v>
      </c>
      <c r="H759" s="10">
        <v>-0.61919188668741543</v>
      </c>
      <c r="I759" s="10">
        <v>9.7833223901316445E-3</v>
      </c>
      <c r="J759" s="10">
        <v>0.49631608452622672</v>
      </c>
    </row>
    <row r="760" spans="2:10" x14ac:dyDescent="0.3">
      <c r="B760" s="10">
        <v>0.64567336966225852</v>
      </c>
      <c r="C760" s="10">
        <v>0.1380689315363248</v>
      </c>
      <c r="D760" s="10">
        <v>0.1872468747104121</v>
      </c>
      <c r="E760" s="10">
        <v>6.7353066101273882</v>
      </c>
      <c r="G760" s="10">
        <v>0.158340780493258</v>
      </c>
      <c r="H760" s="10">
        <v>-0.58217878528763023</v>
      </c>
      <c r="I760" s="10">
        <v>-7.2516548159135816E-2</v>
      </c>
      <c r="J760" s="10">
        <v>0.55930573082868773</v>
      </c>
    </row>
    <row r="761" spans="2:10" x14ac:dyDescent="0.3">
      <c r="B761" s="10">
        <v>0.69272687431265034</v>
      </c>
      <c r="C761" s="10">
        <v>0.10844268019654719</v>
      </c>
      <c r="D761" s="10">
        <v>0.17876084211435009</v>
      </c>
      <c r="E761" s="10">
        <v>7.9601629227826942</v>
      </c>
      <c r="G761" s="10">
        <v>0.1285499709291881</v>
      </c>
      <c r="H761" s="10">
        <v>-0.41072581524142932</v>
      </c>
      <c r="I761" s="10">
        <v>-3.5464475340919843E-2</v>
      </c>
      <c r="J761" s="10">
        <v>0.74016038849978205</v>
      </c>
    </row>
    <row r="762" spans="2:10" x14ac:dyDescent="0.3">
      <c r="B762" s="10">
        <v>0.7050098210528013</v>
      </c>
      <c r="C762" s="10">
        <v>8.6339831962611246E-2</v>
      </c>
      <c r="D762" s="10">
        <v>0.16231376924760491</v>
      </c>
      <c r="E762" s="10">
        <v>7.862155028149818</v>
      </c>
      <c r="G762" s="10">
        <v>-9.1955390058908057E-2</v>
      </c>
      <c r="H762" s="10">
        <v>-3.2475996565836447E-2</v>
      </c>
      <c r="I762" s="10">
        <v>5.4689356083921351E-2</v>
      </c>
      <c r="J762" s="10">
        <v>0.84619859730996616</v>
      </c>
    </row>
    <row r="763" spans="2:10" x14ac:dyDescent="0.3">
      <c r="B763" s="10">
        <v>-8.7199810027447453E-3</v>
      </c>
      <c r="C763" s="10">
        <v>0.1082528759178744</v>
      </c>
      <c r="D763" s="10">
        <v>2.82397898001767E-2</v>
      </c>
      <c r="E763" s="10">
        <v>0.79882381612836206</v>
      </c>
      <c r="G763" s="10">
        <v>0.1223564603047127</v>
      </c>
      <c r="H763" s="10">
        <v>-0.6251731322089924</v>
      </c>
      <c r="I763" s="10">
        <v>1.6056193768404389E-2</v>
      </c>
      <c r="J763" s="10">
        <v>1.4790129517593891</v>
      </c>
    </row>
    <row r="764" spans="2:10" x14ac:dyDescent="0.3">
      <c r="B764" s="10">
        <v>-8.9492360011438787E-2</v>
      </c>
      <c r="C764" s="10">
        <v>0.1206268391207877</v>
      </c>
      <c r="D764" s="10">
        <v>3.9101754193520202E-2</v>
      </c>
      <c r="E764" s="10">
        <v>1.295061725295211</v>
      </c>
      <c r="G764" s="10">
        <v>0.10097953234433089</v>
      </c>
      <c r="H764" s="10">
        <v>-0.68803809429697249</v>
      </c>
      <c r="I764" s="10">
        <v>-6.8635201403214052E-2</v>
      </c>
      <c r="J764" s="10">
        <v>1.5548554192132149</v>
      </c>
    </row>
    <row r="765" spans="2:10" x14ac:dyDescent="0.3">
      <c r="B765" s="10">
        <v>0.13958322586250621</v>
      </c>
      <c r="C765" s="10">
        <v>0.21594124898605871</v>
      </c>
      <c r="D765" s="10">
        <v>0.1785504839269571</v>
      </c>
      <c r="E765" s="10">
        <v>0.76919145044000403</v>
      </c>
      <c r="G765" s="10">
        <v>0.13719275195708111</v>
      </c>
      <c r="H765" s="10">
        <v>-0.5639623364537143</v>
      </c>
      <c r="I765" s="10">
        <v>-6.0436853342092298E-3</v>
      </c>
      <c r="J765" s="10">
        <v>1.4117017481270071</v>
      </c>
    </row>
    <row r="766" spans="2:10" x14ac:dyDescent="0.3">
      <c r="B766" s="10">
        <v>0.39274720796189322</v>
      </c>
      <c r="C766" s="10">
        <v>0.20134577800489531</v>
      </c>
      <c r="D766" s="10">
        <v>0.14050375374014909</v>
      </c>
      <c r="E766" s="10">
        <v>1.1371269332465721</v>
      </c>
      <c r="G766" s="10">
        <v>0.21052522057599471</v>
      </c>
      <c r="H766" s="10">
        <v>-0.53333610787414687</v>
      </c>
      <c r="I766" s="10">
        <v>1.685013317795905E-2</v>
      </c>
      <c r="J766" s="10">
        <v>1.266749277158199</v>
      </c>
    </row>
    <row r="767" spans="2:10" x14ac:dyDescent="0.3">
      <c r="B767" s="10">
        <v>0.42507503075588188</v>
      </c>
      <c r="C767" s="10">
        <v>0.14997615988623339</v>
      </c>
      <c r="D767" s="10">
        <v>0.10633620156225081</v>
      </c>
      <c r="E767" s="10">
        <v>1.205127659854391</v>
      </c>
      <c r="G767" s="10">
        <v>-1.639422620027384E-3</v>
      </c>
      <c r="H767" s="10">
        <v>-0.64337720995763437</v>
      </c>
      <c r="I767" s="10">
        <v>7.4962070321028182E-2</v>
      </c>
      <c r="J767" s="10">
        <v>0.1637800012448507</v>
      </c>
    </row>
    <row r="768" spans="2:10" x14ac:dyDescent="0.3">
      <c r="B768" s="10">
        <v>0.31732929345406391</v>
      </c>
      <c r="C768" s="10">
        <v>-0.17510782788724111</v>
      </c>
      <c r="D768" s="10">
        <v>2.315966349771581E-2</v>
      </c>
      <c r="E768" s="10">
        <v>0.18047644448314881</v>
      </c>
      <c r="G768" s="10">
        <v>-7.395871932359932E-2</v>
      </c>
      <c r="H768" s="10">
        <v>-1.311734382210207</v>
      </c>
      <c r="I768" s="10">
        <v>0.1057639769444285</v>
      </c>
      <c r="J768" s="10">
        <v>-0.37810358017377738</v>
      </c>
    </row>
    <row r="769" spans="2:10" x14ac:dyDescent="0.3">
      <c r="B769" s="10">
        <v>0.65695627098549714</v>
      </c>
      <c r="C769" s="10">
        <v>0.8101998878633474</v>
      </c>
      <c r="D769" s="10">
        <v>6.5209122017090143E-2</v>
      </c>
      <c r="E769" s="10">
        <v>14.33150751253457</v>
      </c>
      <c r="G769" s="10">
        <v>-7.3556099434741395E-2</v>
      </c>
      <c r="H769" s="10">
        <v>-1.2974794939783081</v>
      </c>
      <c r="I769" s="10">
        <v>9.6326776035656272E-2</v>
      </c>
      <c r="J769" s="10">
        <v>-0.40899680228672469</v>
      </c>
    </row>
    <row r="770" spans="2:10" x14ac:dyDescent="0.3">
      <c r="B770" s="10">
        <v>0.65499023394778255</v>
      </c>
      <c r="C770" s="10">
        <v>0.80426954909425674</v>
      </c>
      <c r="D770" s="10">
        <v>6.4716776231528217E-2</v>
      </c>
      <c r="E770" s="10">
        <v>13.879901177511741</v>
      </c>
      <c r="G770" s="10">
        <v>-0.1225255799365129</v>
      </c>
      <c r="H770" s="10">
        <v>-1.5465407542046099</v>
      </c>
      <c r="I770" s="10">
        <v>7.0627103130504881E-2</v>
      </c>
      <c r="J770" s="10">
        <v>-0.45915460900310628</v>
      </c>
    </row>
    <row r="771" spans="2:10" x14ac:dyDescent="0.3">
      <c r="B771" s="10">
        <v>0.65193627589176328</v>
      </c>
      <c r="C771" s="10">
        <v>0.76404498413560851</v>
      </c>
      <c r="D771" s="10">
        <v>0.1881621909775438</v>
      </c>
      <c r="E771" s="10">
        <v>7.5710092194654646</v>
      </c>
      <c r="G771" s="10">
        <v>-9.8905335270157824E-2</v>
      </c>
      <c r="H771" s="10">
        <v>-0.34238178314378731</v>
      </c>
      <c r="I771" s="10">
        <v>7.1813820313298388E-2</v>
      </c>
      <c r="J771" s="10">
        <v>1.2307225327590949</v>
      </c>
    </row>
    <row r="772" spans="2:10" x14ac:dyDescent="0.3">
      <c r="B772" s="10">
        <v>0.7015582259511195</v>
      </c>
      <c r="C772" s="10">
        <v>0.75790834196114854</v>
      </c>
      <c r="D772" s="10">
        <v>0.18911056827468031</v>
      </c>
      <c r="E772" s="10">
        <v>8.4651626317557351</v>
      </c>
      <c r="G772" s="10">
        <v>-9.6779571643480819E-2</v>
      </c>
      <c r="H772" s="10">
        <v>-0.4772143729827627</v>
      </c>
      <c r="I772" s="10">
        <v>4.9767279958505009E-2</v>
      </c>
      <c r="J772" s="10">
        <v>1.087133226778106</v>
      </c>
    </row>
    <row r="773" spans="2:10" x14ac:dyDescent="0.3">
      <c r="B773" s="10">
        <v>-5.5155291508539393E-2</v>
      </c>
      <c r="C773" s="10">
        <v>0.15222045047047381</v>
      </c>
      <c r="D773" s="10">
        <v>7.3299031359973302E-2</v>
      </c>
      <c r="E773" s="10">
        <v>1.2214363929511569</v>
      </c>
      <c r="G773" s="10">
        <v>0.10714521763761679</v>
      </c>
      <c r="H773" s="10">
        <v>-0.55201822301954495</v>
      </c>
      <c r="I773" s="10">
        <v>2.0973940137852889E-2</v>
      </c>
      <c r="J773" s="10">
        <v>1.181716930125231</v>
      </c>
    </row>
    <row r="774" spans="2:10" x14ac:dyDescent="0.3">
      <c r="B774" s="10">
        <v>-8.6474494810945657E-2</v>
      </c>
      <c r="C774" s="10">
        <v>0.13778990588220069</v>
      </c>
      <c r="D774" s="10">
        <v>0.1280966214810754</v>
      </c>
      <c r="E774" s="10">
        <v>1.3901211646496761</v>
      </c>
      <c r="G774" s="10">
        <v>4.8205588523745409E-4</v>
      </c>
      <c r="H774" s="10">
        <v>-0.57182094899496727</v>
      </c>
      <c r="I774" s="10">
        <v>6.6925099466805124E-2</v>
      </c>
      <c r="J774" s="10">
        <v>1.2399861569063151</v>
      </c>
    </row>
    <row r="775" spans="2:10" x14ac:dyDescent="0.3">
      <c r="B775" s="10">
        <v>4.811397113407204E-3</v>
      </c>
      <c r="C775" s="10">
        <v>7.612236151471595E-2</v>
      </c>
      <c r="D775" s="10">
        <v>0.14955908501553691</v>
      </c>
      <c r="E775" s="10">
        <v>0.96008316993924914</v>
      </c>
      <c r="G775" s="10">
        <v>-0.12332532950674591</v>
      </c>
      <c r="H775" s="10">
        <v>-0.72947984482434081</v>
      </c>
      <c r="I775" s="10">
        <v>-5.5416514382358513E-2</v>
      </c>
      <c r="J775" s="10">
        <v>1.3078073627242339</v>
      </c>
    </row>
    <row r="776" spans="2:10" x14ac:dyDescent="0.3">
      <c r="B776" s="10">
        <v>-0.1219629168628262</v>
      </c>
      <c r="C776" s="10">
        <v>0.25573550797471389</v>
      </c>
      <c r="D776" s="10">
        <v>9.9180844285137557E-2</v>
      </c>
      <c r="E776" s="10">
        <v>0.56959666043801693</v>
      </c>
      <c r="G776" s="10">
        <v>-0.12329577549252289</v>
      </c>
      <c r="H776" s="10">
        <v>-0.65003054966792273</v>
      </c>
      <c r="I776" s="10">
        <v>-4.764273984387795E-2</v>
      </c>
      <c r="J776" s="10">
        <v>1.5663379567689371</v>
      </c>
    </row>
    <row r="777" spans="2:10" x14ac:dyDescent="0.3">
      <c r="B777" s="10">
        <v>0.38340917171967448</v>
      </c>
      <c r="C777" s="10">
        <v>0.1854145543335394</v>
      </c>
      <c r="D777" s="10">
        <v>5.2930435709463937E-2</v>
      </c>
      <c r="E777" s="10">
        <v>1.126032740017189</v>
      </c>
      <c r="G777" s="10">
        <v>-0.111595390881469</v>
      </c>
      <c r="H777" s="10">
        <v>-0.55995223919669102</v>
      </c>
      <c r="I777" s="10">
        <v>1.892830648268546E-2</v>
      </c>
      <c r="J777" s="10">
        <v>1.706059614457758</v>
      </c>
    </row>
    <row r="778" spans="2:10" x14ac:dyDescent="0.3">
      <c r="B778" s="10">
        <v>0.3074336612580198</v>
      </c>
      <c r="C778" s="10">
        <v>0.16193372144552171</v>
      </c>
      <c r="D778" s="10">
        <v>2.7791507112745199E-2</v>
      </c>
      <c r="E778" s="10">
        <v>0.87858261547001693</v>
      </c>
      <c r="G778" s="10">
        <v>-0.2184306002066484</v>
      </c>
      <c r="H778" s="10">
        <v>-0.55456855009658923</v>
      </c>
      <c r="I778" s="10">
        <v>-1.376258855910999E-2</v>
      </c>
      <c r="J778" s="10">
        <v>1.558257712498462</v>
      </c>
    </row>
    <row r="779" spans="2:10" x14ac:dyDescent="0.3">
      <c r="B779" s="10">
        <v>0.40217852206211241</v>
      </c>
      <c r="C779" s="10">
        <v>0.17793509666202759</v>
      </c>
      <c r="D779" s="10">
        <v>0.1507296482629501</v>
      </c>
      <c r="E779" s="10">
        <v>1.1405440929536219</v>
      </c>
      <c r="G779" s="10">
        <v>-0.2027458861051683</v>
      </c>
      <c r="H779" s="10">
        <v>-0.23139114881290329</v>
      </c>
      <c r="I779" s="10">
        <v>-3.1642644916804623E-2</v>
      </c>
      <c r="J779" s="10">
        <v>8.1178901849167595E-2</v>
      </c>
    </row>
    <row r="780" spans="2:10" x14ac:dyDescent="0.3">
      <c r="B780" s="10">
        <v>0.39123465821017489</v>
      </c>
      <c r="C780" s="10">
        <v>6.5732793849735252E-2</v>
      </c>
      <c r="D780" s="10">
        <v>0.27900508207262198</v>
      </c>
      <c r="E780" s="10">
        <v>0.77390156429842738</v>
      </c>
      <c r="G780" s="10">
        <v>-0.1149497072614111</v>
      </c>
      <c r="H780" s="10">
        <v>-0.13178620648981071</v>
      </c>
      <c r="I780" s="10">
        <v>-1.328533629008022E-2</v>
      </c>
      <c r="J780" s="10">
        <v>0.18761967337352439</v>
      </c>
    </row>
    <row r="781" spans="2:10" x14ac:dyDescent="0.3">
      <c r="B781" s="10">
        <v>0.19418856800779721</v>
      </c>
      <c r="C781" s="10">
        <v>0.25776754854091111</v>
      </c>
      <c r="D781" s="10">
        <v>0.13228766274240969</v>
      </c>
      <c r="E781" s="10">
        <v>1.579625097778959</v>
      </c>
      <c r="G781" s="10">
        <v>-3.1981723145381058E-2</v>
      </c>
      <c r="H781" s="10">
        <v>-4.6438905869086021E-2</v>
      </c>
      <c r="I781" s="10">
        <v>1.936971701551966E-2</v>
      </c>
      <c r="J781" s="10">
        <v>0.22771048216672149</v>
      </c>
    </row>
    <row r="782" spans="2:10" x14ac:dyDescent="0.3">
      <c r="B782" s="10">
        <v>0.25076337290445588</v>
      </c>
      <c r="C782" s="10">
        <v>0.2014519443189477</v>
      </c>
      <c r="D782" s="10">
        <v>0.11049300925665689</v>
      </c>
      <c r="E782" s="10">
        <v>1.7213904555288539</v>
      </c>
      <c r="G782" s="10">
        <v>1.3994107864090299E-3</v>
      </c>
      <c r="H782" s="10">
        <v>-5.8165100436990431E-3</v>
      </c>
      <c r="I782" s="10">
        <v>-2.4655259031677038E-2</v>
      </c>
      <c r="J782" s="10">
        <v>0.2366018968703493</v>
      </c>
    </row>
    <row r="783" spans="2:10" x14ac:dyDescent="0.3">
      <c r="B783" s="10">
        <v>0.25014220440346091</v>
      </c>
      <c r="C783" s="10">
        <v>0.2030223854875946</v>
      </c>
      <c r="D783" s="10">
        <v>0.1089625354003507</v>
      </c>
      <c r="E783" s="10">
        <v>1.871039138830727</v>
      </c>
      <c r="G783" s="10">
        <v>1.649362764193489E-3</v>
      </c>
      <c r="H783" s="10">
        <v>-0.47147926518122801</v>
      </c>
      <c r="I783" s="10">
        <v>4.1454922347642129E-2</v>
      </c>
      <c r="J783" s="10">
        <v>0.5155077651033414</v>
      </c>
    </row>
    <row r="784" spans="2:10" x14ac:dyDescent="0.3">
      <c r="B784" s="10">
        <v>0.1949146478675057</v>
      </c>
      <c r="C784" s="10">
        <v>0.1934197566411533</v>
      </c>
      <c r="D784" s="10">
        <v>7.4297780304856342E-2</v>
      </c>
      <c r="E784" s="10">
        <v>1.3824556048426879</v>
      </c>
      <c r="G784" s="10">
        <v>-4.3057808102638486E-3</v>
      </c>
      <c r="H784" s="10">
        <v>-0.4751038765910261</v>
      </c>
      <c r="I784" s="10">
        <v>-2.4160722848095549E-3</v>
      </c>
      <c r="J784" s="10">
        <v>0.5430166806838258</v>
      </c>
    </row>
    <row r="785" spans="2:10" x14ac:dyDescent="0.3">
      <c r="B785" s="10">
        <v>0.24779902858140351</v>
      </c>
      <c r="C785" s="10">
        <v>0.25722299624504141</v>
      </c>
      <c r="D785" s="10">
        <v>3.3713237940164718E-3</v>
      </c>
      <c r="E785" s="10">
        <v>4.5253776483890604</v>
      </c>
      <c r="G785" s="10">
        <v>-9.0052894897029487E-2</v>
      </c>
      <c r="H785" s="10">
        <v>-0.44976909649260471</v>
      </c>
      <c r="I785" s="10">
        <v>-1.497150611832165E-2</v>
      </c>
      <c r="J785" s="10">
        <v>0.3639089427117726</v>
      </c>
    </row>
    <row r="786" spans="2:10" x14ac:dyDescent="0.3">
      <c r="B786" s="10">
        <v>0.20909391699089161</v>
      </c>
      <c r="C786" s="10">
        <v>0.2464042403427483</v>
      </c>
      <c r="D786" s="10">
        <v>7.0255293818570513E-2</v>
      </c>
      <c r="E786" s="10">
        <v>3.205991394429045</v>
      </c>
      <c r="G786" s="10">
        <v>-0.10956123271736851</v>
      </c>
      <c r="H786" s="10">
        <v>-0.37384762042911951</v>
      </c>
      <c r="I786" s="10">
        <v>-1.4455084096137929E-2</v>
      </c>
      <c r="J786" s="10">
        <v>3.1335681811713811E-2</v>
      </c>
    </row>
    <row r="787" spans="2:10" x14ac:dyDescent="0.3">
      <c r="B787" s="10">
        <v>0.2033707012806848</v>
      </c>
      <c r="C787" s="10">
        <v>0.2390622985821097</v>
      </c>
      <c r="D787" s="10">
        <v>8.4418773922251111E-2</v>
      </c>
      <c r="E787" s="10">
        <v>2.9224669644407362</v>
      </c>
      <c r="G787" s="10">
        <v>-1.492047742156725E-2</v>
      </c>
      <c r="H787" s="10">
        <v>2.6011913736738088E-2</v>
      </c>
      <c r="I787" s="10">
        <v>7.5146154173893268E-2</v>
      </c>
      <c r="J787" s="10">
        <v>0.29338974438206961</v>
      </c>
    </row>
    <row r="788" spans="2:10" x14ac:dyDescent="0.3">
      <c r="B788" s="10">
        <v>0.25934986204015609</v>
      </c>
      <c r="C788" s="10">
        <v>0.23085311587608651</v>
      </c>
      <c r="D788" s="10">
        <v>0.15942529287156609</v>
      </c>
      <c r="E788" s="10">
        <v>3.0584146171382902</v>
      </c>
      <c r="G788" s="10">
        <v>-5.0518090728810167E-2</v>
      </c>
      <c r="H788" s="10">
        <v>1.3180687582762759E-3</v>
      </c>
      <c r="I788" s="10">
        <v>5.700834752442567E-2</v>
      </c>
      <c r="J788" s="10">
        <v>0.26226778409549462</v>
      </c>
    </row>
    <row r="789" spans="2:10" x14ac:dyDescent="0.3">
      <c r="B789" s="10">
        <v>0.20569040507834541</v>
      </c>
      <c r="C789" s="10">
        <v>4.8995312740679517E-2</v>
      </c>
      <c r="D789" s="10">
        <v>0.1148790272878028</v>
      </c>
      <c r="E789" s="10">
        <v>0.1983993213755128</v>
      </c>
      <c r="G789" s="10">
        <v>-0.17800432910085071</v>
      </c>
      <c r="H789" s="10">
        <v>0.10620328520053179</v>
      </c>
      <c r="I789" s="10">
        <v>6.4382140504215396E-2</v>
      </c>
      <c r="J789" s="10">
        <v>0.63965932432360439</v>
      </c>
    </row>
    <row r="790" spans="2:10" x14ac:dyDescent="0.3">
      <c r="B790" s="10">
        <v>0.19554269976427391</v>
      </c>
      <c r="C790" s="10">
        <v>3.4272661433626228E-2</v>
      </c>
      <c r="D790" s="10">
        <v>5.2496619056860233E-2</v>
      </c>
      <c r="E790" s="10">
        <v>0.27233154477231658</v>
      </c>
      <c r="G790" s="10">
        <v>-0.13705189628917991</v>
      </c>
      <c r="H790" s="10">
        <v>8.8313944313939186E-2</v>
      </c>
      <c r="I790" s="10">
        <v>5.5748574711309541E-2</v>
      </c>
      <c r="J790" s="10">
        <v>0.57736312978185544</v>
      </c>
    </row>
    <row r="791" spans="2:10" x14ac:dyDescent="0.3">
      <c r="B791" s="10">
        <v>0.2450673746308499</v>
      </c>
      <c r="C791" s="10">
        <v>3.0518738252076471E-2</v>
      </c>
      <c r="D791" s="10">
        <v>5.1633324682802371E-2</v>
      </c>
      <c r="E791" s="10">
        <v>0.27964003731861792</v>
      </c>
      <c r="G791" s="10">
        <v>-7.898788914947219E-2</v>
      </c>
      <c r="H791" s="10">
        <v>6.8997604186878753E-2</v>
      </c>
      <c r="I791" s="10">
        <v>6.0752091738299777E-2</v>
      </c>
      <c r="J791" s="10">
        <v>0.51028547866255414</v>
      </c>
    </row>
    <row r="792" spans="2:10" x14ac:dyDescent="0.3">
      <c r="B792" s="10">
        <v>0.2270150668439686</v>
      </c>
      <c r="C792" s="10">
        <v>3.1752912495699191E-2</v>
      </c>
      <c r="D792" s="10">
        <v>3.7550979893069547E-2</v>
      </c>
      <c r="E792" s="10">
        <v>0.28589358233642892</v>
      </c>
      <c r="G792" s="10">
        <v>-5.2853855354012769E-2</v>
      </c>
      <c r="H792" s="10">
        <v>3.8348500671391061E-2</v>
      </c>
      <c r="I792" s="10">
        <v>-0.15960203146194241</v>
      </c>
      <c r="J792" s="10">
        <v>0.46635187772424808</v>
      </c>
    </row>
    <row r="793" spans="2:10" x14ac:dyDescent="0.3">
      <c r="B793" s="10">
        <v>0.26457060229580809</v>
      </c>
      <c r="C793" s="10">
        <v>0.15685345849889171</v>
      </c>
      <c r="D793" s="10">
        <v>7.0458331991297751E-2</v>
      </c>
      <c r="E793" s="10">
        <v>0.64397299655400564</v>
      </c>
      <c r="G793" s="10">
        <v>-7.7611537728689534E-2</v>
      </c>
      <c r="H793" s="10">
        <v>-0.78000103405400145</v>
      </c>
      <c r="I793" s="10">
        <v>0.22252697488948089</v>
      </c>
      <c r="J793" s="10">
        <v>0.33030813055309399</v>
      </c>
    </row>
    <row r="794" spans="2:10" x14ac:dyDescent="0.3">
      <c r="B794" s="10">
        <v>0.1823350784160695</v>
      </c>
      <c r="C794" s="10">
        <v>0.1514357700305291</v>
      </c>
      <c r="D794" s="10">
        <v>5.8306879388086652E-2</v>
      </c>
      <c r="E794" s="10">
        <v>0.67700191146821775</v>
      </c>
      <c r="G794" s="10">
        <v>-0.54350179782050534</v>
      </c>
      <c r="H794" s="10">
        <v>-0.85444528738872449</v>
      </c>
      <c r="I794" s="10">
        <v>3.8101772393989391E-3</v>
      </c>
      <c r="J794" s="10">
        <v>0.15977829036204691</v>
      </c>
    </row>
    <row r="795" spans="2:10" x14ac:dyDescent="0.3">
      <c r="B795" s="10">
        <v>0.13716920795012749</v>
      </c>
      <c r="C795" s="10">
        <v>0.167557933870738</v>
      </c>
      <c r="D795" s="10">
        <v>7.4482412948195326E-2</v>
      </c>
      <c r="E795" s="10">
        <v>0.84478257940166501</v>
      </c>
      <c r="G795" s="10">
        <v>-0.52314992090731782</v>
      </c>
      <c r="H795" s="10">
        <v>-0.81634212402195849</v>
      </c>
      <c r="I795" s="10">
        <v>7.3645518075494461E-3</v>
      </c>
      <c r="J795" s="10">
        <v>0.22437965165610441</v>
      </c>
    </row>
    <row r="796" spans="2:10" x14ac:dyDescent="0.3">
      <c r="B796" s="10">
        <v>0.12362953582482759</v>
      </c>
      <c r="C796" s="10">
        <v>0.1648801333227882</v>
      </c>
      <c r="D796" s="10">
        <v>7.048286027669709E-2</v>
      </c>
      <c r="E796" s="10">
        <v>0.77055374999855375</v>
      </c>
      <c r="G796" s="10">
        <v>-0.41964512144759392</v>
      </c>
      <c r="H796" s="10">
        <v>-0.69208084658841895</v>
      </c>
      <c r="I796" s="10">
        <v>0.11944976559194601</v>
      </c>
      <c r="J796" s="10">
        <v>0.22773931661920541</v>
      </c>
    </row>
    <row r="797" spans="2:10" x14ac:dyDescent="0.3">
      <c r="B797" s="10">
        <v>0.36159795037211151</v>
      </c>
      <c r="C797" s="10">
        <v>0.14385669485208169</v>
      </c>
      <c r="D797" s="10">
        <v>7.9023506974525967E-2</v>
      </c>
      <c r="E797" s="10">
        <v>5.9962380552406032</v>
      </c>
      <c r="G797" s="10">
        <v>-0.27984873941566307</v>
      </c>
      <c r="H797" s="10">
        <v>-4.8570502091965839E-2</v>
      </c>
      <c r="I797" s="10">
        <v>1.036294704238583E-2</v>
      </c>
      <c r="J797" s="10">
        <v>0.14970538989368859</v>
      </c>
    </row>
    <row r="798" spans="2:10" x14ac:dyDescent="0.3">
      <c r="B798" s="10">
        <v>0.3498496440437005</v>
      </c>
      <c r="C798" s="10">
        <v>8.9653343008662859E-2</v>
      </c>
      <c r="D798" s="10">
        <v>0.1099591341420201</v>
      </c>
      <c r="E798" s="10">
        <v>6.3091384781280411</v>
      </c>
      <c r="G798" s="10">
        <v>-0.24357162045044731</v>
      </c>
      <c r="H798" s="10">
        <v>-2.7705851036716841E-2</v>
      </c>
      <c r="I798" s="10">
        <v>2.9388342442816219E-2</v>
      </c>
      <c r="J798" s="10">
        <v>0.17224149015695989</v>
      </c>
    </row>
    <row r="799" spans="2:10" x14ac:dyDescent="0.3">
      <c r="B799" s="10">
        <v>0.38931975962355869</v>
      </c>
      <c r="C799" s="10">
        <v>0.11704179189756871</v>
      </c>
      <c r="D799" s="10">
        <v>0.1378721059549127</v>
      </c>
      <c r="E799" s="10">
        <v>7.0002264432798684</v>
      </c>
      <c r="G799" s="10">
        <v>-9.9782674647378014E-2</v>
      </c>
      <c r="H799" s="10">
        <v>-2.399430073390452E-2</v>
      </c>
      <c r="I799" s="10">
        <v>-1.7277349622153621E-2</v>
      </c>
      <c r="J799" s="10">
        <v>0.2132636194607811</v>
      </c>
    </row>
    <row r="800" spans="2:10" x14ac:dyDescent="0.3">
      <c r="B800" s="10">
        <v>0.65155256975668274</v>
      </c>
      <c r="C800" s="10">
        <v>0.1162202943817944</v>
      </c>
      <c r="D800" s="10">
        <v>0.14724570712744081</v>
      </c>
      <c r="E800" s="10">
        <v>7.0614297522426641</v>
      </c>
      <c r="G800" s="10">
        <v>2.7236657828943939E-2</v>
      </c>
      <c r="H800" s="10">
        <v>3.432294077115941E-2</v>
      </c>
      <c r="I800" s="10">
        <v>3.4735905439802588E-2</v>
      </c>
      <c r="J800" s="10">
        <v>0.31670200028724949</v>
      </c>
    </row>
    <row r="801" spans="2:10" x14ac:dyDescent="0.3">
      <c r="B801" s="10">
        <v>0.1275380578141703</v>
      </c>
      <c r="C801" s="10">
        <v>7.2798819956413768E-2</v>
      </c>
      <c r="D801" s="10">
        <v>7.4127437519033154E-2</v>
      </c>
      <c r="E801" s="10">
        <v>0.36931875808684428</v>
      </c>
      <c r="G801" s="10">
        <v>-1.1589963690872739E-2</v>
      </c>
      <c r="H801" s="10">
        <v>-0.1040062120470974</v>
      </c>
      <c r="I801" s="10">
        <v>5.9305278532676253E-2</v>
      </c>
      <c r="J801" s="10">
        <v>0.40640574783105582</v>
      </c>
    </row>
    <row r="802" spans="2:10" x14ac:dyDescent="0.3">
      <c r="B802" s="10">
        <v>0.24868777823779581</v>
      </c>
      <c r="C802" s="10">
        <v>4.5976507974751439E-2</v>
      </c>
      <c r="D802" s="10">
        <v>5.3495222624757789E-2</v>
      </c>
      <c r="E802" s="10">
        <v>0.29999743115256761</v>
      </c>
      <c r="G802" s="10">
        <v>-2.1085120321943191E-3</v>
      </c>
      <c r="H802" s="10">
        <v>-0.125977950415565</v>
      </c>
      <c r="I802" s="10">
        <v>0.10176445313087989</v>
      </c>
      <c r="J802" s="10">
        <v>0.26198546406355638</v>
      </c>
    </row>
    <row r="803" spans="2:10" x14ac:dyDescent="0.3">
      <c r="B803" s="10">
        <v>0.29203052261960599</v>
      </c>
      <c r="C803" s="10">
        <v>4.9665443935395882E-2</v>
      </c>
      <c r="D803" s="10">
        <v>6.7302569949591745E-2</v>
      </c>
      <c r="E803" s="10">
        <v>0.26280557450132191</v>
      </c>
      <c r="G803" s="10">
        <v>-0.91874888754496042</v>
      </c>
      <c r="H803" s="10">
        <v>8.3926383393305853E-3</v>
      </c>
      <c r="I803" s="10">
        <v>1.0747919431429869E-2</v>
      </c>
      <c r="J803" s="10">
        <v>3.6406460908189928E-2</v>
      </c>
    </row>
    <row r="804" spans="2:10" x14ac:dyDescent="0.3">
      <c r="B804" s="10">
        <v>0.17665913680051551</v>
      </c>
      <c r="C804" s="10">
        <v>2.3657488441953471E-2</v>
      </c>
      <c r="D804" s="10">
        <v>0.1198427536131106</v>
      </c>
      <c r="E804" s="10">
        <v>0.34193989301714228</v>
      </c>
      <c r="G804" s="10">
        <v>-0.36048422178213613</v>
      </c>
      <c r="H804" s="10">
        <v>-0.14966211296529419</v>
      </c>
      <c r="I804" s="10">
        <v>9.0266551418833357E-2</v>
      </c>
      <c r="J804" s="10">
        <v>0.1517927409003757</v>
      </c>
    </row>
    <row r="805" spans="2:10" x14ac:dyDescent="0.3">
      <c r="B805" s="10">
        <v>0.71469136117621535</v>
      </c>
      <c r="C805" s="10">
        <v>0.70045705485812448</v>
      </c>
      <c r="D805" s="10">
        <v>0.1105773921108153</v>
      </c>
      <c r="E805" s="10">
        <v>4.2474474807194369</v>
      </c>
      <c r="G805" s="10">
        <v>-0.68884722188714242</v>
      </c>
      <c r="H805" s="10">
        <v>-1.1931513969865799</v>
      </c>
      <c r="I805" s="10">
        <v>-1.7199247020465289</v>
      </c>
      <c r="J805" s="10">
        <v>-0.27369705131626859</v>
      </c>
    </row>
    <row r="806" spans="2:10" x14ac:dyDescent="0.3">
      <c r="B806" s="10">
        <v>0.68720081673203004</v>
      </c>
      <c r="C806" s="10">
        <v>0.68622626158078992</v>
      </c>
      <c r="D806" s="10">
        <v>0.17323550814838229</v>
      </c>
      <c r="E806" s="10">
        <v>4.0059359016235074</v>
      </c>
      <c r="G806" s="10">
        <v>-2.2259718113296849E-2</v>
      </c>
      <c r="H806" s="10">
        <v>-0.26347645740810438</v>
      </c>
      <c r="I806" s="10">
        <v>-0.20828196883795139</v>
      </c>
      <c r="J806" s="10">
        <v>0.36623343665536001</v>
      </c>
    </row>
    <row r="807" spans="2:10" x14ac:dyDescent="0.3">
      <c r="B807" s="10">
        <v>0.72063976291105858</v>
      </c>
      <c r="C807" s="10">
        <v>0.72450826701912474</v>
      </c>
      <c r="D807" s="10">
        <v>0.1034402268851959</v>
      </c>
      <c r="E807" s="10">
        <v>6.5358064945576491</v>
      </c>
      <c r="G807" s="10">
        <v>-3.6076392914333268E-2</v>
      </c>
      <c r="H807" s="10">
        <v>0.1096177716964654</v>
      </c>
      <c r="I807" s="10">
        <v>2.5342180146328691E-2</v>
      </c>
      <c r="J807" s="10">
        <v>0.45866515904496902</v>
      </c>
    </row>
    <row r="808" spans="2:10" x14ac:dyDescent="0.3">
      <c r="B808" s="10">
        <v>0.72453611683294517</v>
      </c>
      <c r="C808" s="10">
        <v>0.7439533296919365</v>
      </c>
      <c r="D808" s="10">
        <v>0.1650356552339351</v>
      </c>
      <c r="E808" s="10">
        <v>9.213032803135313</v>
      </c>
      <c r="G808" s="10">
        <v>0.22244225153094219</v>
      </c>
      <c r="H808" s="10">
        <v>-0.79484886471321714</v>
      </c>
      <c r="I808" s="10">
        <v>-0.19103782243195791</v>
      </c>
      <c r="J808" s="10">
        <v>1.84158463073873</v>
      </c>
    </row>
    <row r="809" spans="2:10" x14ac:dyDescent="0.3">
      <c r="B809" s="10">
        <v>0.39087620770366421</v>
      </c>
      <c r="C809" s="10">
        <v>5.3452827569219027E-2</v>
      </c>
      <c r="D809" s="10">
        <v>6.1660772322794863E-2</v>
      </c>
      <c r="E809" s="10">
        <v>2.2053353913105962</v>
      </c>
      <c r="G809" s="10">
        <v>5.9487931202473712E-2</v>
      </c>
      <c r="H809" s="10">
        <v>-0.32284409854667828</v>
      </c>
      <c r="I809" s="10">
        <v>-5.3232182297714328E-2</v>
      </c>
      <c r="J809" s="10">
        <v>0.86183927191101495</v>
      </c>
    </row>
    <row r="810" spans="2:10" x14ac:dyDescent="0.3">
      <c r="B810" s="10">
        <v>0.48385266848198999</v>
      </c>
      <c r="C810" s="10">
        <v>3.5541756339152263E-2</v>
      </c>
      <c r="D810" s="10">
        <v>5.4807863245356407E-2</v>
      </c>
      <c r="E810" s="10">
        <v>2.6016973413074651</v>
      </c>
      <c r="G810" s="10">
        <v>4.0723283117973942E-2</v>
      </c>
      <c r="H810" s="10">
        <v>-6.2688098571855477E-2</v>
      </c>
      <c r="I810" s="10">
        <v>-3.1417873013186243E-2</v>
      </c>
      <c r="J810" s="10">
        <v>0.13256075917433269</v>
      </c>
    </row>
    <row r="811" spans="2:10" x14ac:dyDescent="0.3">
      <c r="B811" s="10">
        <v>7.1180438490110687E-2</v>
      </c>
      <c r="C811" s="10">
        <v>3.4838588606301707E-2</v>
      </c>
      <c r="D811" s="10">
        <v>7.1216666112965663E-2</v>
      </c>
      <c r="E811" s="10">
        <v>0.65810350418515828</v>
      </c>
      <c r="G811" s="10">
        <v>5.7610144443010131E-2</v>
      </c>
      <c r="H811" s="10">
        <v>-7.7092571535498349E-3</v>
      </c>
      <c r="I811" s="10">
        <v>-1.737133748095632E-2</v>
      </c>
      <c r="J811" s="10">
        <v>0.21786222980639469</v>
      </c>
    </row>
    <row r="812" spans="2:10" x14ac:dyDescent="0.3">
      <c r="B812" s="10">
        <v>0.1235569487969367</v>
      </c>
      <c r="C812" s="10">
        <v>0.35879100851369827</v>
      </c>
      <c r="D812" s="10">
        <v>9.9168329345982589E-2</v>
      </c>
      <c r="E812" s="10">
        <v>0.65376050249749673</v>
      </c>
      <c r="G812" s="10">
        <v>0.37211019184604338</v>
      </c>
      <c r="H812" s="10">
        <v>-0.42266230714705533</v>
      </c>
      <c r="I812" s="10">
        <v>-0.15298138050871521</v>
      </c>
      <c r="J812" s="10">
        <v>0.165248937394363</v>
      </c>
    </row>
    <row r="813" spans="2:10" x14ac:dyDescent="0.3">
      <c r="B813" s="10">
        <v>6.0486028009588931E-2</v>
      </c>
      <c r="C813" s="10">
        <v>0.56249223891859323</v>
      </c>
      <c r="D813" s="10">
        <v>0.1731735630922549</v>
      </c>
      <c r="E813" s="10">
        <v>3.182553987849956</v>
      </c>
      <c r="G813" s="10">
        <v>-0.1342182834068166</v>
      </c>
      <c r="H813" s="10">
        <v>-0.27863636042184059</v>
      </c>
      <c r="I813" s="10">
        <v>-3.0195977742202441E-2</v>
      </c>
      <c r="J813" s="10">
        <v>-6.6157639218643663E-2</v>
      </c>
    </row>
    <row r="814" spans="2:10" x14ac:dyDescent="0.3">
      <c r="B814" s="10">
        <v>2.9052029180210149E-2</v>
      </c>
      <c r="C814" s="10">
        <v>0.51709454675600752</v>
      </c>
      <c r="D814" s="10">
        <v>0.2384827837511436</v>
      </c>
      <c r="E814" s="10">
        <v>2.5550515680318822</v>
      </c>
      <c r="G814" s="10">
        <v>0.121383335038451</v>
      </c>
      <c r="H814" s="10">
        <v>-0.19450721885102551</v>
      </c>
      <c r="I814" s="10">
        <v>4.8160429776605666E-3</v>
      </c>
      <c r="J814" s="10">
        <v>6.1112140403209517E-3</v>
      </c>
    </row>
    <row r="815" spans="2:10" x14ac:dyDescent="0.3">
      <c r="B815" s="10">
        <v>3.9679238165374053E-2</v>
      </c>
      <c r="C815" s="10">
        <v>0.42363616344474048</v>
      </c>
      <c r="D815" s="10">
        <v>0.18857118900750999</v>
      </c>
      <c r="E815" s="10">
        <v>1.878323099786114</v>
      </c>
      <c r="G815" s="10">
        <v>0.14476505434871881</v>
      </c>
      <c r="H815" s="10">
        <v>-0.13621075875383851</v>
      </c>
      <c r="I815" s="10">
        <v>1.0858195183079829E-3</v>
      </c>
      <c r="J815" s="10">
        <v>5.5148299816334838E-2</v>
      </c>
    </row>
    <row r="816" spans="2:10" x14ac:dyDescent="0.3">
      <c r="B816" s="10">
        <v>2.6234583437438262E-2</v>
      </c>
      <c r="C816" s="10">
        <v>0.38354733957537118</v>
      </c>
      <c r="D816" s="10">
        <v>0.14847513420137479</v>
      </c>
      <c r="E816" s="10">
        <v>2.0807146459046382</v>
      </c>
      <c r="G816" s="10">
        <v>2.1907250187858399E-2</v>
      </c>
      <c r="H816" s="10">
        <v>5.4007072278988849E-2</v>
      </c>
      <c r="I816" s="10">
        <v>9.0812034891809071E-2</v>
      </c>
      <c r="J816" s="10">
        <v>0.1124592879857135</v>
      </c>
    </row>
    <row r="817" spans="2:10" x14ac:dyDescent="0.3">
      <c r="B817" s="10">
        <v>0.60041743580279083</v>
      </c>
      <c r="C817" s="10">
        <v>0.61590835831583346</v>
      </c>
      <c r="D817" s="10">
        <v>0.1037951823557938</v>
      </c>
      <c r="E817" s="10">
        <v>2.388788062212527</v>
      </c>
      <c r="G817" s="10">
        <v>-2.8401776063078771E-2</v>
      </c>
      <c r="H817" s="10">
        <v>5.0658079938475688E-2</v>
      </c>
      <c r="I817" s="10">
        <v>8.3837414884617878E-2</v>
      </c>
      <c r="J817" s="10">
        <v>8.4580851919471942E-2</v>
      </c>
    </row>
    <row r="818" spans="2:10" x14ac:dyDescent="0.3">
      <c r="B818" s="10">
        <v>0.5959647897206134</v>
      </c>
      <c r="C818" s="10">
        <v>0.62381271875978128</v>
      </c>
      <c r="D818" s="10">
        <v>9.2726078503286707E-2</v>
      </c>
      <c r="E818" s="10">
        <v>2.5101953873293672</v>
      </c>
      <c r="G818" s="10">
        <v>-0.108492774624755</v>
      </c>
      <c r="H818" s="10">
        <v>4.014503569556846E-2</v>
      </c>
      <c r="I818" s="10">
        <v>7.3396521455272437E-2</v>
      </c>
      <c r="J818" s="10">
        <v>6.3153332581176599E-2</v>
      </c>
    </row>
    <row r="819" spans="2:10" x14ac:dyDescent="0.3">
      <c r="B819" s="10">
        <v>0.580146013022522</v>
      </c>
      <c r="C819" s="10">
        <v>0.62478993802833516</v>
      </c>
      <c r="D819" s="10">
        <v>8.9237049049454356E-2</v>
      </c>
      <c r="E819" s="10">
        <v>2.516873887243797</v>
      </c>
      <c r="G819" s="10">
        <v>-0.72254891614103789</v>
      </c>
      <c r="H819" s="10">
        <v>-4.9879885756247563E-2</v>
      </c>
      <c r="I819" s="10">
        <v>4.6384212317721798E-3</v>
      </c>
      <c r="J819" s="10">
        <v>-0.33835076201287062</v>
      </c>
    </row>
    <row r="820" spans="2:10" x14ac:dyDescent="0.3">
      <c r="B820" s="10">
        <v>0.51928798116836195</v>
      </c>
      <c r="C820" s="10">
        <v>0.59679427876444546</v>
      </c>
      <c r="D820" s="10">
        <v>5.6663299423019363E-2</v>
      </c>
      <c r="E820" s="10">
        <v>2.1965014523133628</v>
      </c>
      <c r="G820" s="10">
        <v>-1.2795657883619931</v>
      </c>
      <c r="H820" s="10">
        <v>-4.342344137668163E-2</v>
      </c>
      <c r="I820" s="10">
        <v>3.7473676093442383E-2</v>
      </c>
      <c r="J820" s="10">
        <v>-0.49574412461293538</v>
      </c>
    </row>
    <row r="821" spans="2:10" x14ac:dyDescent="0.3">
      <c r="B821" s="10">
        <v>0.26428456209995249</v>
      </c>
      <c r="C821" s="10">
        <v>0.33883756713933522</v>
      </c>
      <c r="D821" s="10">
        <v>0.29293273768325678</v>
      </c>
      <c r="E821" s="10">
        <v>3.467876506016399</v>
      </c>
      <c r="G821" s="10">
        <v>-1.484282058745346</v>
      </c>
      <c r="H821" s="10">
        <v>-7.8793692588366836E-3</v>
      </c>
      <c r="I821" s="10">
        <v>2.4086215093516241E-2</v>
      </c>
      <c r="J821" s="10">
        <v>-0.56551472260698266</v>
      </c>
    </row>
    <row r="822" spans="2:10" x14ac:dyDescent="0.3">
      <c r="B822" s="10">
        <v>0.36676505642202212</v>
      </c>
      <c r="C822" s="10">
        <v>0.35759196862238019</v>
      </c>
      <c r="D822" s="10">
        <v>0.23254379410249881</v>
      </c>
      <c r="E822" s="10">
        <v>4.690750390955265</v>
      </c>
      <c r="G822" s="10">
        <v>0.11233166480575441</v>
      </c>
      <c r="H822" s="10">
        <v>-0.23577995667532861</v>
      </c>
      <c r="I822" s="10">
        <v>3.9637258940260392E-2</v>
      </c>
      <c r="J822" s="10">
        <v>0.75133310723041935</v>
      </c>
    </row>
    <row r="823" spans="2:10" x14ac:dyDescent="0.3">
      <c r="B823" s="10">
        <v>0.49361311007162478</v>
      </c>
      <c r="C823" s="10">
        <v>0.3006260805349108</v>
      </c>
      <c r="D823" s="10">
        <v>0.22239588514425651</v>
      </c>
      <c r="E823" s="10">
        <v>5.374081548290456</v>
      </c>
      <c r="G823" s="10">
        <v>1.0290123789227491E-2</v>
      </c>
      <c r="H823" s="10">
        <v>-0.22736300992211561</v>
      </c>
      <c r="I823" s="10">
        <v>2.6981281591641731E-2</v>
      </c>
      <c r="J823" s="10">
        <v>0.62842435451514445</v>
      </c>
    </row>
    <row r="824" spans="2:10" x14ac:dyDescent="0.3">
      <c r="B824" s="10">
        <v>0.49963435509832399</v>
      </c>
      <c r="C824" s="10">
        <v>0.2306681829159711</v>
      </c>
      <c r="D824" s="10">
        <v>0.21667983502513399</v>
      </c>
      <c r="E824" s="10">
        <v>5.4494107795576623</v>
      </c>
      <c r="G824" s="10">
        <v>5.2682470757779057E-2</v>
      </c>
      <c r="H824" s="10">
        <v>-0.21715352657390541</v>
      </c>
      <c r="I824" s="10">
        <v>8.4273181143456697E-3</v>
      </c>
      <c r="J824" s="10">
        <v>0.57126816323520824</v>
      </c>
    </row>
    <row r="825" spans="2:10" x14ac:dyDescent="0.3">
      <c r="B825" s="10">
        <v>0.37048544873220818</v>
      </c>
      <c r="C825" s="10">
        <v>0.74064561044719757</v>
      </c>
      <c r="D825" s="10">
        <v>0.1790640373624969</v>
      </c>
      <c r="E825" s="10">
        <v>2.915926538513415</v>
      </c>
      <c r="G825" s="10">
        <v>-9.2301087388057118E-2</v>
      </c>
      <c r="H825" s="10">
        <v>-0.23146830694132481</v>
      </c>
      <c r="I825" s="10">
        <v>-4.5616142157137031E-2</v>
      </c>
      <c r="J825" s="10">
        <v>0.30534101239637979</v>
      </c>
    </row>
    <row r="826" spans="2:10" x14ac:dyDescent="0.3">
      <c r="B826" s="10">
        <v>0.29796263232922809</v>
      </c>
      <c r="C826" s="10">
        <v>0.70346773854315159</v>
      </c>
      <c r="D826" s="10">
        <v>0.13862721132948519</v>
      </c>
      <c r="E826" s="10">
        <v>2.4215141674847969</v>
      </c>
      <c r="G826" s="10">
        <v>0.13945685754138151</v>
      </c>
      <c r="H826" s="10">
        <v>-0.46375433413190448</v>
      </c>
      <c r="I826" s="10">
        <v>1.9552738401563928E-3</v>
      </c>
      <c r="J826" s="10">
        <v>1.213988970399545</v>
      </c>
    </row>
    <row r="827" spans="2:10" x14ac:dyDescent="0.3">
      <c r="B827" s="10">
        <v>0.17575897956593481</v>
      </c>
      <c r="C827" s="10">
        <v>0.65511598504300628</v>
      </c>
      <c r="D827" s="10">
        <v>8.8829092914954069E-2</v>
      </c>
      <c r="E827" s="10">
        <v>1.9374849824724381</v>
      </c>
      <c r="G827" s="10">
        <v>0.15802736589409561</v>
      </c>
      <c r="H827" s="10">
        <v>-0.38016761338786559</v>
      </c>
      <c r="I827" s="10">
        <v>-2.461339594467989E-2</v>
      </c>
      <c r="J827" s="10">
        <v>1.2366823025949449</v>
      </c>
    </row>
    <row r="828" spans="2:10" x14ac:dyDescent="0.3">
      <c r="B828" s="10">
        <v>0.19210626401199871</v>
      </c>
      <c r="C828" s="10">
        <v>0.65596517928519815</v>
      </c>
      <c r="D828" s="10">
        <v>9.7977202861556464E-2</v>
      </c>
      <c r="E828" s="10">
        <v>1.9459932600762511</v>
      </c>
      <c r="G828" s="10">
        <v>-5.6737680053742717E-2</v>
      </c>
      <c r="H828" s="10">
        <v>-2.2258965257191861</v>
      </c>
      <c r="I828" s="10">
        <v>0.34647642990381949</v>
      </c>
      <c r="J828" s="10">
        <v>-0.47758912462979031</v>
      </c>
    </row>
    <row r="829" spans="2:10" x14ac:dyDescent="0.3">
      <c r="B829" s="10">
        <v>6.6922871678363235E-2</v>
      </c>
      <c r="C829" s="10">
        <v>0.63132030977681586</v>
      </c>
      <c r="D829" s="10">
        <v>0.16482558001334069</v>
      </c>
      <c r="E829" s="10">
        <v>1.390348387495675</v>
      </c>
      <c r="G829" s="10">
        <v>-0.3377662862789908</v>
      </c>
      <c r="H829" s="10">
        <v>-5.4395764740321102</v>
      </c>
      <c r="I829" s="10">
        <v>-7.5764420488780918E-2</v>
      </c>
      <c r="J829" s="10">
        <v>0.41295194630574988</v>
      </c>
    </row>
    <row r="830" spans="2:10" x14ac:dyDescent="0.3">
      <c r="B830" s="10">
        <v>9.4399639376476607E-2</v>
      </c>
      <c r="C830" s="10">
        <v>0.59812981216123906</v>
      </c>
      <c r="D830" s="10">
        <v>0.1514417836775015</v>
      </c>
      <c r="E830" s="10">
        <v>1.3629726071776389</v>
      </c>
      <c r="G830" s="10">
        <v>-0.28688982404358282</v>
      </c>
      <c r="H830" s="10">
        <v>-5.3641739912711479</v>
      </c>
      <c r="I830" s="10">
        <v>-0.1450771705376695</v>
      </c>
      <c r="J830" s="10">
        <v>0.56236876170862693</v>
      </c>
    </row>
    <row r="831" spans="2:10" x14ac:dyDescent="0.3">
      <c r="B831" s="10">
        <v>7.394563223620472E-2</v>
      </c>
      <c r="C831" s="10">
        <v>0.63199386788019496</v>
      </c>
      <c r="D831" s="10">
        <v>0.13251290498566171</v>
      </c>
      <c r="E831" s="10">
        <v>1.532469277931134</v>
      </c>
      <c r="G831" s="10">
        <v>-0.59604276796628741</v>
      </c>
      <c r="H831" s="10">
        <v>-4.4233796231955758</v>
      </c>
      <c r="I831" s="10">
        <v>-0.28479025042491263</v>
      </c>
      <c r="J831" s="10">
        <v>0.20346230538987309</v>
      </c>
    </row>
    <row r="832" spans="2:10" x14ac:dyDescent="0.3">
      <c r="B832" s="10">
        <v>0.13691879139974819</v>
      </c>
      <c r="C832" s="10">
        <v>0.55311964974022143</v>
      </c>
      <c r="D832" s="10">
        <v>0.20720741733501111</v>
      </c>
      <c r="E832" s="10">
        <v>1.104288926508056</v>
      </c>
      <c r="G832" s="10">
        <v>-0.2710777525122387</v>
      </c>
      <c r="H832" s="10">
        <v>-3.5815607398650999</v>
      </c>
      <c r="I832" s="10">
        <v>0.65616418860035342</v>
      </c>
      <c r="J832" s="10">
        <v>0.56799511511923584</v>
      </c>
    </row>
    <row r="833" spans="2:10" x14ac:dyDescent="0.3">
      <c r="B833" s="10">
        <v>9.6166404973044933E-2</v>
      </c>
      <c r="C833" s="10">
        <v>4.915064025231472E-2</v>
      </c>
      <c r="D833" s="10">
        <v>9.3574957590785421E-2</v>
      </c>
      <c r="E833" s="10">
        <v>0.36101006176863532</v>
      </c>
      <c r="G833" s="10">
        <v>-3.1643056914141862E-2</v>
      </c>
      <c r="H833" s="10">
        <v>-1.282189544342812E-2</v>
      </c>
      <c r="I833" s="10">
        <v>4.7739000047534307E-2</v>
      </c>
      <c r="J833" s="10">
        <v>0.41569957271284141</v>
      </c>
    </row>
    <row r="834" spans="2:10" x14ac:dyDescent="0.3">
      <c r="B834" s="10">
        <v>1.7720348146618499E-2</v>
      </c>
      <c r="C834" s="10">
        <v>2.989640882316863E-2</v>
      </c>
      <c r="D834" s="10">
        <v>9.6720603439478581E-2</v>
      </c>
      <c r="E834" s="10">
        <v>0.35628851373505838</v>
      </c>
      <c r="G834" s="10">
        <v>-0.1506121524256499</v>
      </c>
      <c r="H834" s="10">
        <v>-1.6051296537482551E-2</v>
      </c>
      <c r="I834" s="10">
        <v>1.9832201971361801E-2</v>
      </c>
      <c r="J834" s="10">
        <v>0.40197477272462701</v>
      </c>
    </row>
    <row r="835" spans="2:10" x14ac:dyDescent="0.3">
      <c r="B835" s="10">
        <v>9.3314194079144458E-2</v>
      </c>
      <c r="C835" s="10">
        <v>9.7540779379189035E-2</v>
      </c>
      <c r="D835" s="10">
        <v>4.7632860182211322E-2</v>
      </c>
      <c r="E835" s="10">
        <v>0.36880245929529559</v>
      </c>
      <c r="G835" s="10">
        <v>-9.8680550913416654E-2</v>
      </c>
      <c r="H835" s="10">
        <v>2.9867338162503062E-3</v>
      </c>
      <c r="I835" s="10">
        <v>4.5145328737257837E-2</v>
      </c>
      <c r="J835" s="10">
        <v>0.45697429980803478</v>
      </c>
    </row>
    <row r="836" spans="2:10" x14ac:dyDescent="0.3">
      <c r="B836" s="10">
        <v>0.15066120799009289</v>
      </c>
      <c r="C836" s="10">
        <v>0.10197634340181939</v>
      </c>
      <c r="D836" s="10">
        <v>8.7037712431696168E-2</v>
      </c>
      <c r="E836" s="10">
        <v>0.31558932371815612</v>
      </c>
      <c r="G836" s="10">
        <v>-2.3535620207572511E-2</v>
      </c>
      <c r="H836" s="10">
        <v>9.7757888176000021E-3</v>
      </c>
      <c r="I836" s="10">
        <v>4.8655337861223683E-2</v>
      </c>
      <c r="J836" s="10">
        <v>0.41043050750538429</v>
      </c>
    </row>
    <row r="837" spans="2:10" x14ac:dyDescent="0.3">
      <c r="B837" s="10">
        <v>0.50957669399307248</v>
      </c>
      <c r="C837" s="10">
        <v>0.63957674267533005</v>
      </c>
      <c r="D837" s="10">
        <v>0.16829660439868591</v>
      </c>
      <c r="E837" s="10">
        <v>2.0417783849234281</v>
      </c>
      <c r="G837" s="10">
        <v>-0.40817483521794418</v>
      </c>
      <c r="H837" s="10">
        <v>0.1222537180932925</v>
      </c>
      <c r="I837" s="10">
        <v>0.238275678439655</v>
      </c>
      <c r="J837" s="10">
        <v>0.15465770564544909</v>
      </c>
    </row>
    <row r="838" spans="2:10" x14ac:dyDescent="0.3">
      <c r="B838" s="10">
        <v>0.51051597889177924</v>
      </c>
      <c r="C838" s="10">
        <v>0.65545435212208214</v>
      </c>
      <c r="D838" s="10">
        <v>0.1676920965732675</v>
      </c>
      <c r="E838" s="10">
        <v>2.227599290109346</v>
      </c>
      <c r="G838" s="10">
        <v>-0.1105677676068951</v>
      </c>
      <c r="H838" s="10">
        <v>-7.8829127557713444E-2</v>
      </c>
      <c r="I838" s="10">
        <v>7.9852454969237249E-2</v>
      </c>
      <c r="J838" s="10">
        <v>0.24039444609346661</v>
      </c>
    </row>
    <row r="839" spans="2:10" x14ac:dyDescent="0.3">
      <c r="B839" s="10">
        <v>0.54203426461978954</v>
      </c>
      <c r="C839" s="10">
        <v>0.68391660767921048</v>
      </c>
      <c r="D839" s="10">
        <v>0.2139709336793654</v>
      </c>
      <c r="E839" s="10">
        <v>2.522172549155786</v>
      </c>
      <c r="G839" s="10">
        <v>1.5269244733620809E-2</v>
      </c>
      <c r="H839" s="10">
        <v>-5.8051055228519437E-2</v>
      </c>
      <c r="I839" s="10">
        <v>-1.9306965443624102E-2</v>
      </c>
      <c r="J839" s="10">
        <v>0.49800559228125629</v>
      </c>
    </row>
    <row r="840" spans="2:10" x14ac:dyDescent="0.3">
      <c r="B840" s="10">
        <v>0.69619654624197902</v>
      </c>
      <c r="C840" s="10">
        <v>0.73628847293509148</v>
      </c>
      <c r="D840" s="10">
        <v>0.20637610581812321</v>
      </c>
      <c r="E840" s="10">
        <v>3.2554696542352848</v>
      </c>
      <c r="G840" s="10">
        <v>-0.1157187158628247</v>
      </c>
      <c r="H840" s="10">
        <v>-2.1894719632788079E-2</v>
      </c>
      <c r="I840" s="10">
        <v>-3.9698346393887571E-2</v>
      </c>
      <c r="J840" s="10">
        <v>0.55635042824620973</v>
      </c>
    </row>
    <row r="841" spans="2:10" x14ac:dyDescent="0.3">
      <c r="B841" s="10">
        <v>0.38086941021223641</v>
      </c>
      <c r="C841" s="10">
        <v>0.47518231239315317</v>
      </c>
      <c r="D841" s="10">
        <v>6.6070523674299719E-2</v>
      </c>
      <c r="E841" s="10">
        <v>3.7691974099557628</v>
      </c>
      <c r="G841" s="10">
        <v>-6.5792985038445911E-2</v>
      </c>
      <c r="H841" s="10">
        <v>2.760032583769487E-2</v>
      </c>
      <c r="I841" s="10">
        <v>-6.453084587091551E-2</v>
      </c>
      <c r="J841" s="10">
        <v>0.65258141979306461</v>
      </c>
    </row>
    <row r="842" spans="2:10" x14ac:dyDescent="0.3">
      <c r="B842" s="10">
        <v>0.40706411615841809</v>
      </c>
      <c r="C842" s="10">
        <v>0.49074844219875891</v>
      </c>
      <c r="D842" s="10">
        <v>6.2746039224608863E-2</v>
      </c>
      <c r="E842" s="10">
        <v>4.941790668549868</v>
      </c>
      <c r="G842" s="10">
        <v>-0.1154620691918158</v>
      </c>
      <c r="H842" s="10">
        <v>0.1063050922310414</v>
      </c>
      <c r="I842" s="10">
        <v>2.5341090984652179E-2</v>
      </c>
      <c r="J842" s="10">
        <v>0.78855807607315864</v>
      </c>
    </row>
    <row r="843" spans="2:10" x14ac:dyDescent="0.3">
      <c r="B843" s="10">
        <v>0.41512499162815619</v>
      </c>
      <c r="C843" s="10">
        <v>0.46728171812559999</v>
      </c>
      <c r="D843" s="10">
        <v>5.9876403679146303E-2</v>
      </c>
      <c r="E843" s="10">
        <v>4.3459863625605548</v>
      </c>
    </row>
    <row r="844" spans="2:10" x14ac:dyDescent="0.3">
      <c r="B844" s="10">
        <v>0.43085446877330252</v>
      </c>
      <c r="C844" s="10">
        <v>0.45265899393410902</v>
      </c>
      <c r="D844" s="10">
        <v>7.330244681205246E-2</v>
      </c>
      <c r="E844" s="10">
        <v>3.6741529684022529</v>
      </c>
    </row>
    <row r="845" spans="2:10" x14ac:dyDescent="0.3">
      <c r="B845" s="10">
        <v>0.22181163036602289</v>
      </c>
      <c r="C845" s="10">
        <v>0.46855607010004879</v>
      </c>
      <c r="D845" s="10">
        <v>0.20134924037697211</v>
      </c>
      <c r="E845" s="10">
        <v>2.0542571929977749</v>
      </c>
    </row>
    <row r="846" spans="2:10" x14ac:dyDescent="0.3">
      <c r="B846" s="10">
        <v>0.20072518807203449</v>
      </c>
      <c r="C846" s="10">
        <v>0.40609713095822031</v>
      </c>
      <c r="D846" s="10">
        <v>0.20306682182526101</v>
      </c>
      <c r="E846" s="10">
        <v>1.694490775586446</v>
      </c>
    </row>
    <row r="847" spans="2:10" x14ac:dyDescent="0.3">
      <c r="B847" s="10">
        <v>0.16809519112863189</v>
      </c>
      <c r="C847" s="10">
        <v>0.33554653442222049</v>
      </c>
      <c r="D847" s="10">
        <v>0.2392481602685205</v>
      </c>
      <c r="E847" s="10">
        <v>1.4042881289568561</v>
      </c>
    </row>
    <row r="848" spans="2:10" x14ac:dyDescent="0.3">
      <c r="B848" s="10">
        <v>0.1137167931259986</v>
      </c>
      <c r="C848" s="10">
        <v>0.23216955287473029</v>
      </c>
      <c r="D848" s="10">
        <v>0.20033166870303001</v>
      </c>
      <c r="E848" s="10">
        <v>1.0852639495898031</v>
      </c>
    </row>
    <row r="849" spans="2:5" x14ac:dyDescent="0.3">
      <c r="B849" s="10">
        <v>4.6236983456391129E-2</v>
      </c>
      <c r="C849" s="10">
        <v>0.45566797349589572</v>
      </c>
      <c r="D849" s="10">
        <v>0.16484070450257801</v>
      </c>
      <c r="E849" s="10">
        <v>1.9216884046836411</v>
      </c>
    </row>
    <row r="850" spans="2:5" x14ac:dyDescent="0.3">
      <c r="B850" s="10">
        <v>2.1071401004892139E-2</v>
      </c>
      <c r="C850" s="10">
        <v>0.36978182694463541</v>
      </c>
      <c r="D850" s="10">
        <v>0.1207387877707493</v>
      </c>
      <c r="E850" s="10">
        <v>1.293859523644459</v>
      </c>
    </row>
    <row r="851" spans="2:5" x14ac:dyDescent="0.3">
      <c r="B851" s="10">
        <v>2.0440988837007251E-4</v>
      </c>
      <c r="C851" s="10">
        <v>0.34018163119709027</v>
      </c>
      <c r="D851" s="10">
        <v>9.651484539949183E-2</v>
      </c>
      <c r="E851" s="10">
        <v>1.1957865781296091</v>
      </c>
    </row>
    <row r="852" spans="2:5" x14ac:dyDescent="0.3">
      <c r="B852" s="10">
        <v>1.3506342843490841E-2</v>
      </c>
      <c r="C852" s="10">
        <v>0.32216156964254422</v>
      </c>
      <c r="D852" s="10">
        <v>0.12855899980393601</v>
      </c>
      <c r="E852" s="10">
        <v>1.1163438440180471</v>
      </c>
    </row>
    <row r="853" spans="2:5" x14ac:dyDescent="0.3">
      <c r="B853" s="10">
        <v>0.41893029347501098</v>
      </c>
      <c r="C853" s="10">
        <v>0.49026922959969038</v>
      </c>
      <c r="D853" s="10">
        <v>9.3700309409391933E-2</v>
      </c>
      <c r="E853" s="10">
        <v>1.700089338422772</v>
      </c>
    </row>
    <row r="854" spans="2:5" x14ac:dyDescent="0.3">
      <c r="B854" s="10">
        <v>0.44240830600602621</v>
      </c>
      <c r="C854" s="10">
        <v>0.51318819571066021</v>
      </c>
      <c r="D854" s="10">
        <v>9.7064759261721617E-2</v>
      </c>
      <c r="E854" s="10">
        <v>2.0334569154001998</v>
      </c>
    </row>
    <row r="855" spans="2:5" x14ac:dyDescent="0.3">
      <c r="B855" s="10">
        <v>0.45865483323599338</v>
      </c>
      <c r="C855" s="10">
        <v>0.52595405683055896</v>
      </c>
      <c r="D855" s="10">
        <v>9.3873854799409656E-2</v>
      </c>
      <c r="E855" s="10">
        <v>2.2022026092123901</v>
      </c>
    </row>
    <row r="856" spans="2:5" x14ac:dyDescent="0.3">
      <c r="B856" s="10">
        <v>0.48061858084482367</v>
      </c>
      <c r="C856" s="10">
        <v>0.52921770585778916</v>
      </c>
      <c r="D856" s="10">
        <v>0.1001644572228394</v>
      </c>
      <c r="E856" s="10">
        <v>2.31804584750008</v>
      </c>
    </row>
    <row r="857" spans="2:5" x14ac:dyDescent="0.3">
      <c r="B857" s="10">
        <v>0.28549872585333458</v>
      </c>
      <c r="C857" s="10">
        <v>0.43603037480522638</v>
      </c>
      <c r="D857" s="10">
        <v>0.111389172347078</v>
      </c>
      <c r="E857" s="10">
        <v>7.0988603251490243</v>
      </c>
    </row>
    <row r="858" spans="2:5" x14ac:dyDescent="0.3">
      <c r="B858" s="10">
        <v>0.18145397086586551</v>
      </c>
      <c r="C858" s="10">
        <v>0.35926778806106591</v>
      </c>
      <c r="D858" s="10">
        <v>0.11933818753277289</v>
      </c>
      <c r="E858" s="10">
        <v>2.9799720586965508</v>
      </c>
    </row>
    <row r="859" spans="2:5" x14ac:dyDescent="0.3">
      <c r="B859" s="10">
        <v>7.7990460363849601E-2</v>
      </c>
      <c r="C859" s="10">
        <v>0.29772959565397239</v>
      </c>
      <c r="D859" s="10">
        <v>0.1071339515558651</v>
      </c>
      <c r="E859" s="10">
        <v>1.9183974418109959</v>
      </c>
    </row>
    <row r="860" spans="2:5" x14ac:dyDescent="0.3">
      <c r="B860" s="10">
        <v>0.18132553676045979</v>
      </c>
      <c r="C860" s="10">
        <v>0.26635561389317108</v>
      </c>
      <c r="D860" s="10">
        <v>0.36198064859429319</v>
      </c>
      <c r="E860" s="10">
        <v>1.1518462566068599</v>
      </c>
    </row>
    <row r="861" spans="2:5" x14ac:dyDescent="0.3">
      <c r="B861" s="10">
        <v>0.38888728694427371</v>
      </c>
      <c r="C861" s="10">
        <v>3.7359865767995999E-2</v>
      </c>
      <c r="D861" s="10">
        <v>4.1420097564954898E-3</v>
      </c>
      <c r="E861" s="10">
        <v>8.5036476979953139</v>
      </c>
    </row>
    <row r="862" spans="2:5" x14ac:dyDescent="0.3">
      <c r="B862" s="10">
        <v>0.43201848189064168</v>
      </c>
      <c r="C862" s="10">
        <v>6.6756123899256711E-2</v>
      </c>
      <c r="D862" s="10">
        <v>5.3802802383052267E-2</v>
      </c>
      <c r="E862" s="10">
        <v>9.6480740797588833</v>
      </c>
    </row>
    <row r="863" spans="2:5" x14ac:dyDescent="0.3">
      <c r="B863" s="10">
        <v>0.29229134871317269</v>
      </c>
      <c r="C863" s="10">
        <v>0.17851953986631269</v>
      </c>
      <c r="D863" s="10">
        <v>4.6109411956335208E-2</v>
      </c>
      <c r="E863" s="10">
        <v>12.412976185858319</v>
      </c>
    </row>
    <row r="864" spans="2:5" x14ac:dyDescent="0.3">
      <c r="B864" s="10">
        <v>0.57518659904882696</v>
      </c>
      <c r="C864" s="10">
        <v>0.12630515892366201</v>
      </c>
      <c r="D864" s="10">
        <v>0.1217543955800023</v>
      </c>
      <c r="E864" s="10">
        <v>6.3749179635742452</v>
      </c>
    </row>
    <row r="865" spans="2:5" x14ac:dyDescent="0.3">
      <c r="B865" s="10">
        <v>-5.6081618274215567E-2</v>
      </c>
      <c r="C865" s="10">
        <v>0.1291682812224256</v>
      </c>
      <c r="D865" s="10">
        <v>0.17579324987551481</v>
      </c>
      <c r="E865" s="10">
        <v>0.58010938379232957</v>
      </c>
    </row>
    <row r="866" spans="2:5" x14ac:dyDescent="0.3">
      <c r="B866" s="10">
        <v>-7.1382956628417787E-2</v>
      </c>
      <c r="C866" s="10">
        <v>2.9724835881574239E-2</v>
      </c>
      <c r="D866" s="10">
        <v>0.1148510227196456</v>
      </c>
      <c r="E866" s="10">
        <v>0.7386321620416455</v>
      </c>
    </row>
    <row r="867" spans="2:5" x14ac:dyDescent="0.3">
      <c r="B867" s="10">
        <v>-2.8291579925045069E-2</v>
      </c>
      <c r="C867" s="10">
        <v>-5.0321129262692547E-2</v>
      </c>
      <c r="D867" s="10">
        <v>0.13484327461474341</v>
      </c>
      <c r="E867" s="10">
        <v>0.78541710484640248</v>
      </c>
    </row>
    <row r="868" spans="2:5" x14ac:dyDescent="0.3">
      <c r="B868" s="10">
        <v>-7.9371036275147182E-3</v>
      </c>
      <c r="C868" s="10">
        <v>9.3379400450870509E-2</v>
      </c>
      <c r="D868" s="10">
        <v>4.8784064045249292E-2</v>
      </c>
      <c r="E868" s="10">
        <v>0.67627710631731108</v>
      </c>
    </row>
    <row r="869" spans="2:5" x14ac:dyDescent="0.3">
      <c r="B869" s="10">
        <v>4.1135841939340979E-2</v>
      </c>
      <c r="C869" s="10">
        <v>0.1002711937284602</v>
      </c>
      <c r="D869" s="10">
        <v>6.6428431311057634E-2</v>
      </c>
      <c r="E869" s="10">
        <v>0.96922213874596541</v>
      </c>
    </row>
    <row r="870" spans="2:5" x14ac:dyDescent="0.3">
      <c r="B870" s="10">
        <v>9.3295358832152508E-3</v>
      </c>
      <c r="C870" s="10">
        <v>0.13006835841529829</v>
      </c>
      <c r="D870" s="10">
        <v>0.1386300718314718</v>
      </c>
      <c r="E870" s="10">
        <v>1.3350101569409361</v>
      </c>
    </row>
    <row r="871" spans="2:5" x14ac:dyDescent="0.3">
      <c r="B871" s="10">
        <v>-5.8405131475673257E-2</v>
      </c>
      <c r="C871" s="10">
        <v>3.6469467044036363E-2</v>
      </c>
      <c r="D871" s="10">
        <v>0.17478639139462759</v>
      </c>
      <c r="E871" s="10">
        <v>1.012649661848064</v>
      </c>
    </row>
    <row r="872" spans="2:5" x14ac:dyDescent="0.3">
      <c r="B872" s="10">
        <v>8.3532358849794805E-2</v>
      </c>
      <c r="C872" s="10">
        <v>0.25110032983289171</v>
      </c>
      <c r="D872" s="10">
        <v>5.2333102569735487E-2</v>
      </c>
      <c r="E872" s="10">
        <v>0.60283368481617727</v>
      </c>
    </row>
    <row r="873" spans="2:5" x14ac:dyDescent="0.3">
      <c r="B873" s="10">
        <v>6.0913396381715043E-2</v>
      </c>
      <c r="C873" s="10">
        <v>0.2354094896642753</v>
      </c>
      <c r="D873" s="10">
        <v>6.216912818161982E-2</v>
      </c>
      <c r="E873" s="10">
        <v>0.56409470314032562</v>
      </c>
    </row>
    <row r="874" spans="2:5" x14ac:dyDescent="0.3">
      <c r="B874" s="10">
        <v>1.5058375205411119E-2</v>
      </c>
      <c r="C874" s="10">
        <v>0.23201069258342269</v>
      </c>
      <c r="D874" s="10">
        <v>5.6795521942949227E-2</v>
      </c>
      <c r="E874" s="10">
        <v>0.5862670909023161</v>
      </c>
    </row>
    <row r="875" spans="2:5" x14ac:dyDescent="0.3">
      <c r="B875" s="10">
        <v>2.4458997409300938E-3</v>
      </c>
      <c r="C875" s="10">
        <v>0.21208323388045519</v>
      </c>
      <c r="D875" s="10">
        <v>4.4420980188521787E-2</v>
      </c>
      <c r="E875" s="10">
        <v>0.56851470667393189</v>
      </c>
    </row>
    <row r="876" spans="2:5" x14ac:dyDescent="0.3">
      <c r="B876" s="10">
        <v>0.38156384418558892</v>
      </c>
      <c r="C876" s="10">
        <v>0.81573422712721011</v>
      </c>
      <c r="D876" s="10">
        <v>3.7630495638414738E-2</v>
      </c>
      <c r="E876" s="10">
        <v>4.9340447807144274</v>
      </c>
    </row>
    <row r="877" spans="2:5" x14ac:dyDescent="0.3">
      <c r="B877" s="10">
        <v>0.31512737405484831</v>
      </c>
      <c r="C877" s="10">
        <v>0.7150302999992606</v>
      </c>
      <c r="D877" s="10">
        <v>2.2409656517439591E-2</v>
      </c>
      <c r="E877" s="10">
        <v>2.689370114736835</v>
      </c>
    </row>
    <row r="878" spans="2:5" x14ac:dyDescent="0.3">
      <c r="B878" s="10">
        <v>0.2658575467738129</v>
      </c>
      <c r="C878" s="10">
        <v>0.64553678445891172</v>
      </c>
      <c r="D878" s="10">
        <v>8.0470868279885407E-2</v>
      </c>
      <c r="E878" s="10">
        <v>1.9267699928897</v>
      </c>
    </row>
    <row r="879" spans="2:5" x14ac:dyDescent="0.3">
      <c r="B879" s="10">
        <v>0.29719217759791361</v>
      </c>
      <c r="C879" s="10">
        <v>0.63992612142434768</v>
      </c>
      <c r="D879" s="10">
        <v>4.4137426517104839E-2</v>
      </c>
      <c r="E879" s="10">
        <v>1.884148714231324</v>
      </c>
    </row>
    <row r="880" spans="2:5" x14ac:dyDescent="0.3">
      <c r="B880" s="10">
        <v>0.19927044174751549</v>
      </c>
      <c r="C880" s="10">
        <v>0.3509118528011318</v>
      </c>
      <c r="D880" s="10">
        <v>-6.1401103358302657E-2</v>
      </c>
      <c r="E880" s="10">
        <v>9.1871725683708529</v>
      </c>
    </row>
    <row r="881" spans="2:5" x14ac:dyDescent="0.3">
      <c r="B881" s="10">
        <v>0.2141013914723181</v>
      </c>
      <c r="C881" s="10">
        <v>0.36723275604744271</v>
      </c>
      <c r="D881" s="10">
        <v>2.9539446506530929E-2</v>
      </c>
      <c r="E881" s="10">
        <v>6.7560227698351341</v>
      </c>
    </row>
    <row r="882" spans="2:5" x14ac:dyDescent="0.3">
      <c r="B882" s="10">
        <v>0.1128091523613506</v>
      </c>
      <c r="C882" s="10">
        <v>0.13742502841061169</v>
      </c>
      <c r="D882" s="10">
        <v>1.5758608591023592E-2</v>
      </c>
      <c r="E882" s="10">
        <v>2.7737471552427939</v>
      </c>
    </row>
    <row r="883" spans="2:5" x14ac:dyDescent="0.3">
      <c r="B883" s="10">
        <v>0.10232880213594189</v>
      </c>
      <c r="C883" s="10">
        <v>0.11174589443762201</v>
      </c>
      <c r="D883" s="10">
        <v>7.1986356189611522E-2</v>
      </c>
      <c r="E883" s="10">
        <v>2.1210487160975031</v>
      </c>
    </row>
    <row r="884" spans="2:5" x14ac:dyDescent="0.3">
      <c r="B884" s="10">
        <v>0.16052925388141739</v>
      </c>
      <c r="C884" s="10">
        <v>0.37596840184422559</v>
      </c>
      <c r="D884" s="10">
        <v>9.4256141362016363E-2</v>
      </c>
      <c r="E884" s="10">
        <v>0.93267941814366717</v>
      </c>
    </row>
    <row r="885" spans="2:5" x14ac:dyDescent="0.3">
      <c r="B885" s="10">
        <v>6.3632776113436818E-2</v>
      </c>
      <c r="C885" s="10">
        <v>0.34544205212146939</v>
      </c>
      <c r="D885" s="10">
        <v>0.1072224617219814</v>
      </c>
      <c r="E885" s="10">
        <v>0.85139223808227349</v>
      </c>
    </row>
    <row r="886" spans="2:5" x14ac:dyDescent="0.3">
      <c r="B886" s="10">
        <v>0.20642933623978149</v>
      </c>
      <c r="C886" s="10">
        <v>0.32229908528458812</v>
      </c>
      <c r="D886" s="10">
        <v>0.1142780849946389</v>
      </c>
      <c r="E886" s="10">
        <v>0.78614765760198646</v>
      </c>
    </row>
    <row r="887" spans="2:5" x14ac:dyDescent="0.3">
      <c r="B887" s="10">
        <v>0.18713324328991801</v>
      </c>
      <c r="C887" s="10">
        <v>0.25943993935216281</v>
      </c>
      <c r="D887" s="10">
        <v>2.0739942738782449E-2</v>
      </c>
      <c r="E887" s="10">
        <v>0.61388983198699065</v>
      </c>
    </row>
    <row r="888" spans="2:5" x14ac:dyDescent="0.3">
      <c r="B888" s="10">
        <v>0.1200708952551035</v>
      </c>
      <c r="C888" s="10">
        <v>0.27819932594271563</v>
      </c>
      <c r="D888" s="10">
        <v>0.1188768855791774</v>
      </c>
      <c r="E888" s="10">
        <v>0.79494805311390604</v>
      </c>
    </row>
    <row r="889" spans="2:5" x14ac:dyDescent="0.3">
      <c r="B889" s="10">
        <v>0.1159584727970959</v>
      </c>
      <c r="C889" s="10">
        <v>0.26805495237089211</v>
      </c>
      <c r="D889" s="10">
        <v>0.12359027787635921</v>
      </c>
      <c r="E889" s="10">
        <v>0.82093451099655823</v>
      </c>
    </row>
    <row r="890" spans="2:5" x14ac:dyDescent="0.3">
      <c r="B890" s="10">
        <v>0.19558701178398011</v>
      </c>
      <c r="C890" s="10">
        <v>0.26530550729557623</v>
      </c>
      <c r="D890" s="10">
        <v>0.1277541552301211</v>
      </c>
      <c r="E890" s="10">
        <v>0.97591554394203517</v>
      </c>
    </row>
    <row r="891" spans="2:5" x14ac:dyDescent="0.3">
      <c r="B891" s="10">
        <v>0.18550041990746921</v>
      </c>
      <c r="C891" s="10">
        <v>0.2203055850511316</v>
      </c>
      <c r="D891" s="10">
        <v>0.1134013825515621</v>
      </c>
      <c r="E891" s="10">
        <v>0.71650095008073345</v>
      </c>
    </row>
    <row r="892" spans="2:5" x14ac:dyDescent="0.3">
      <c r="B892" s="10">
        <v>0.30514209625783939</v>
      </c>
      <c r="C892" s="10">
        <v>0.12706593891313911</v>
      </c>
      <c r="D892" s="10">
        <v>0.18334899975392979</v>
      </c>
      <c r="E892" s="10">
        <v>1.221397199383691</v>
      </c>
    </row>
    <row r="893" spans="2:5" x14ac:dyDescent="0.3">
      <c r="B893" s="10">
        <v>0.27349141490258022</v>
      </c>
      <c r="C893" s="10">
        <v>0.12051946791776851</v>
      </c>
      <c r="D893" s="10">
        <v>0.16049002936156331</v>
      </c>
      <c r="E893" s="10">
        <v>1.093395617437446</v>
      </c>
    </row>
    <row r="894" spans="2:5" x14ac:dyDescent="0.3">
      <c r="B894" s="10">
        <v>0.303045773300959</v>
      </c>
      <c r="C894" s="10">
        <v>0.14592323154723541</v>
      </c>
      <c r="D894" s="10">
        <v>0.1868518271588262</v>
      </c>
      <c r="E894" s="10">
        <v>1.173833630212135</v>
      </c>
    </row>
    <row r="895" spans="2:5" x14ac:dyDescent="0.3">
      <c r="B895" s="10">
        <v>0.30695979804841272</v>
      </c>
      <c r="C895" s="10">
        <v>0.11627612262414409</v>
      </c>
      <c r="D895" s="10">
        <v>0.15140646889320011</v>
      </c>
      <c r="E895" s="10">
        <v>1.0583594797035141</v>
      </c>
    </row>
    <row r="896" spans="2:5" x14ac:dyDescent="0.3">
      <c r="B896" s="10">
        <v>0.26985559405913612</v>
      </c>
      <c r="C896" s="10">
        <v>0.2010101530938628</v>
      </c>
      <c r="D896" s="10">
        <v>-9.9366904196682114E-3</v>
      </c>
      <c r="E896" s="10">
        <v>1.527054200396033</v>
      </c>
    </row>
    <row r="897" spans="2:5" x14ac:dyDescent="0.3">
      <c r="B897" s="10">
        <v>0.26499957027874649</v>
      </c>
      <c r="C897" s="10">
        <v>0.21699827938528629</v>
      </c>
      <c r="D897" s="10">
        <v>2.0659122809621941E-2</v>
      </c>
      <c r="E897" s="10">
        <v>1.3356022111238339</v>
      </c>
    </row>
    <row r="898" spans="2:5" x14ac:dyDescent="0.3">
      <c r="B898" s="10">
        <v>0.26133320179397712</v>
      </c>
      <c r="C898" s="10">
        <v>0.2434849512159292</v>
      </c>
      <c r="D898" s="10">
        <v>1.3283687239756221E-2</v>
      </c>
      <c r="E898" s="10">
        <v>1.7163003821591669</v>
      </c>
    </row>
    <row r="899" spans="2:5" x14ac:dyDescent="0.3">
      <c r="B899" s="10">
        <v>0.33327942312878628</v>
      </c>
      <c r="C899" s="10">
        <v>0.32766123794245228</v>
      </c>
      <c r="D899" s="10">
        <v>2.695401465313492E-2</v>
      </c>
      <c r="E899" s="10">
        <v>4.6983849990024797</v>
      </c>
    </row>
    <row r="900" spans="2:5" x14ac:dyDescent="0.3">
      <c r="B900" s="10">
        <v>0.28653142468475129</v>
      </c>
      <c r="C900" s="10">
        <v>0.33283114100417222</v>
      </c>
      <c r="D900" s="10">
        <v>0.1171154229806302</v>
      </c>
      <c r="E900" s="10">
        <v>0.83282607797078845</v>
      </c>
    </row>
    <row r="901" spans="2:5" x14ac:dyDescent="0.3">
      <c r="B901" s="10">
        <v>0.26771289844356477</v>
      </c>
      <c r="C901" s="10">
        <v>0.30855475053912063</v>
      </c>
      <c r="D901" s="10">
        <v>0.1082322044577512</v>
      </c>
      <c r="E901" s="10">
        <v>0.76643491484824144</v>
      </c>
    </row>
    <row r="902" spans="2:5" x14ac:dyDescent="0.3">
      <c r="B902" s="10">
        <v>0.22059097013496001</v>
      </c>
      <c r="C902" s="10">
        <v>0.28546059936943541</v>
      </c>
      <c r="D902" s="10">
        <v>0.11293482201240521</v>
      </c>
      <c r="E902" s="10">
        <v>0.71287613222410151</v>
      </c>
    </row>
    <row r="903" spans="2:5" x14ac:dyDescent="0.3">
      <c r="B903" s="10">
        <v>0.18244076329518119</v>
      </c>
      <c r="C903" s="10">
        <v>0.25395685251400252</v>
      </c>
      <c r="D903" s="10">
        <v>8.3899198040239806E-2</v>
      </c>
      <c r="E903" s="10">
        <v>0.63145277634322372</v>
      </c>
    </row>
    <row r="904" spans="2:5" x14ac:dyDescent="0.3">
      <c r="B904" s="10">
        <v>0.18371496214185781</v>
      </c>
      <c r="C904" s="10">
        <v>0.25386056910241162</v>
      </c>
      <c r="D904" s="10">
        <v>0.15146409854694651</v>
      </c>
      <c r="E904" s="10">
        <v>4.3146101771506427</v>
      </c>
    </row>
    <row r="905" spans="2:5" x14ac:dyDescent="0.3">
      <c r="B905" s="10">
        <v>0.14140349651024189</v>
      </c>
      <c r="C905" s="10">
        <v>0.20198145839407991</v>
      </c>
      <c r="D905" s="10">
        <v>0.15018526951804609</v>
      </c>
      <c r="E905" s="10">
        <v>2.9185468801498091</v>
      </c>
    </row>
    <row r="906" spans="2:5" x14ac:dyDescent="0.3">
      <c r="B906" s="10">
        <v>8.4582222495867804E-2</v>
      </c>
      <c r="C906" s="10">
        <v>0.14265817033879791</v>
      </c>
      <c r="D906" s="10">
        <v>8.3929069964984004E-2</v>
      </c>
      <c r="E906" s="10">
        <v>1.8128685651366809</v>
      </c>
    </row>
    <row r="907" spans="2:5" x14ac:dyDescent="0.3">
      <c r="B907" s="10">
        <v>0.15034285533893119</v>
      </c>
      <c r="C907" s="10">
        <v>0.10829528767895789</v>
      </c>
      <c r="D907" s="10">
        <v>7.3363477170203681E-2</v>
      </c>
      <c r="E907" s="10">
        <v>1.8904979765987779</v>
      </c>
    </row>
    <row r="908" spans="2:5" x14ac:dyDescent="0.3">
      <c r="B908" s="10">
        <v>0.68991935678019545</v>
      </c>
      <c r="C908" s="10">
        <v>0.59128023075358804</v>
      </c>
      <c r="D908" s="10">
        <v>0.1070198948790623</v>
      </c>
      <c r="E908" s="10">
        <v>5.9610538701730977</v>
      </c>
    </row>
    <row r="909" spans="2:5" x14ac:dyDescent="0.3">
      <c r="B909" s="10">
        <v>0.74471934058696077</v>
      </c>
      <c r="C909" s="10">
        <v>0.57732961047478082</v>
      </c>
      <c r="D909" s="10">
        <v>9.9555908037220309E-2</v>
      </c>
      <c r="E909" s="10">
        <v>8.1769265762604988</v>
      </c>
    </row>
    <row r="910" spans="2:5" x14ac:dyDescent="0.3">
      <c r="B910" s="10">
        <v>0.74547724088439371</v>
      </c>
      <c r="C910" s="10">
        <v>0.56265486707088375</v>
      </c>
      <c r="D910" s="10">
        <v>7.9127370615317189E-2</v>
      </c>
      <c r="E910" s="10">
        <v>7.7560165217635353</v>
      </c>
    </row>
    <row r="911" spans="2:5" x14ac:dyDescent="0.3">
      <c r="B911" s="10">
        <v>0.75739727807156043</v>
      </c>
      <c r="C911" s="10">
        <v>0.5484433347918124</v>
      </c>
      <c r="D911" s="10">
        <v>0.1547779682660132</v>
      </c>
      <c r="E911" s="10">
        <v>7.3305617752733854</v>
      </c>
    </row>
    <row r="912" spans="2:5" x14ac:dyDescent="0.3">
      <c r="B912" s="10">
        <v>0.4412245376328453</v>
      </c>
      <c r="C912" s="10">
        <v>0.28274760652645958</v>
      </c>
      <c r="D912" s="10">
        <v>9.7881284099715513E-2</v>
      </c>
      <c r="E912" s="10">
        <v>3.4019864143730292</v>
      </c>
    </row>
    <row r="913" spans="2:5" x14ac:dyDescent="0.3">
      <c r="B913" s="10">
        <v>0.33406975307499692</v>
      </c>
      <c r="C913" s="10">
        <v>0.2015666276338372</v>
      </c>
      <c r="D913" s="10">
        <v>6.2202885110875891E-2</v>
      </c>
      <c r="E913" s="10">
        <v>1.7969355300871901</v>
      </c>
    </row>
    <row r="914" spans="2:5" x14ac:dyDescent="0.3">
      <c r="B914" s="10">
        <v>0.332954488980091</v>
      </c>
      <c r="C914" s="10">
        <v>0.20368108717588521</v>
      </c>
      <c r="D914" s="10">
        <v>9.7522692110825523E-2</v>
      </c>
      <c r="E914" s="10">
        <v>2.4763897064331331</v>
      </c>
    </row>
    <row r="915" spans="2:5" x14ac:dyDescent="0.3">
      <c r="B915" s="10">
        <v>0.1746707186464812</v>
      </c>
      <c r="C915" s="10">
        <v>0.1317401508496677</v>
      </c>
      <c r="D915" s="10">
        <v>4.4122449805263281E-2</v>
      </c>
      <c r="E915" s="10">
        <v>1.4375248814720349</v>
      </c>
    </row>
    <row r="916" spans="2:5" x14ac:dyDescent="0.3">
      <c r="B916" s="10">
        <v>0.33729788113107489</v>
      </c>
      <c r="C916" s="10">
        <v>0.46275742080269489</v>
      </c>
      <c r="D916" s="10">
        <v>0.17003722192524059</v>
      </c>
      <c r="E916" s="10">
        <v>1.643471957579139</v>
      </c>
    </row>
    <row r="917" spans="2:5" x14ac:dyDescent="0.3">
      <c r="B917" s="10">
        <v>0.2210189062083949</v>
      </c>
      <c r="C917" s="10">
        <v>0.40857142896479998</v>
      </c>
      <c r="D917" s="10">
        <v>0.1811564327100505</v>
      </c>
      <c r="E917" s="10">
        <v>0.81579254254351996</v>
      </c>
    </row>
    <row r="918" spans="2:5" x14ac:dyDescent="0.3">
      <c r="B918" s="10">
        <v>0.28369788166719367</v>
      </c>
      <c r="C918" s="10">
        <v>0.39565935454201129</v>
      </c>
      <c r="D918" s="10">
        <v>0.1620947352234271</v>
      </c>
      <c r="E918" s="10">
        <v>1.6295956439631729</v>
      </c>
    </row>
    <row r="919" spans="2:5" x14ac:dyDescent="0.3">
      <c r="B919" s="10">
        <v>0.30218717721160621</v>
      </c>
      <c r="C919" s="10">
        <v>0.39590021437663098</v>
      </c>
      <c r="D919" s="10">
        <v>0.13411871756317259</v>
      </c>
      <c r="E919" s="10">
        <v>1.658444197001435</v>
      </c>
    </row>
    <row r="920" spans="2:5" x14ac:dyDescent="0.3">
      <c r="B920" s="10">
        <v>0.2201634251378779</v>
      </c>
      <c r="C920" s="10">
        <v>0.28194661145165062</v>
      </c>
      <c r="D920" s="10">
        <v>0.1105874842329128</v>
      </c>
      <c r="E920" s="10">
        <v>0.7483370098155312</v>
      </c>
    </row>
    <row r="921" spans="2:5" x14ac:dyDescent="0.3">
      <c r="B921" s="10">
        <v>0.21154486218765339</v>
      </c>
      <c r="C921" s="10">
        <v>0.2647145803410606</v>
      </c>
      <c r="D921" s="10">
        <v>0.1034469698090775</v>
      </c>
      <c r="E921" s="10">
        <v>0.7022441592359443</v>
      </c>
    </row>
    <row r="922" spans="2:5" x14ac:dyDescent="0.3">
      <c r="B922" s="10">
        <v>0.1617858595236133</v>
      </c>
      <c r="C922" s="10">
        <v>0.25204779427431112</v>
      </c>
      <c r="D922" s="10">
        <v>0.10257901585792061</v>
      </c>
      <c r="E922" s="10">
        <v>0.68730731207363194</v>
      </c>
    </row>
    <row r="923" spans="2:5" x14ac:dyDescent="0.3">
      <c r="B923" s="10">
        <v>0.133848496923794</v>
      </c>
      <c r="C923" s="10">
        <v>0.22816276707237521</v>
      </c>
      <c r="D923" s="10">
        <v>8.6042088683186524E-2</v>
      </c>
      <c r="E923" s="10">
        <v>0.62024736199966779</v>
      </c>
    </row>
    <row r="924" spans="2:5" x14ac:dyDescent="0.3">
      <c r="B924" s="10">
        <v>1.3430612535489191E-3</v>
      </c>
      <c r="C924" s="10">
        <v>0.28068029278742779</v>
      </c>
      <c r="D924" s="10">
        <v>-1.3686455685720409E-2</v>
      </c>
      <c r="E924" s="10">
        <v>0.9495112982673356</v>
      </c>
    </row>
    <row r="925" spans="2:5" x14ac:dyDescent="0.3">
      <c r="B925" s="10">
        <v>2.346594996664789E-2</v>
      </c>
      <c r="C925" s="10">
        <v>0.3011649325419456</v>
      </c>
      <c r="D925" s="10">
        <v>-1.9879044947373269E-2</v>
      </c>
      <c r="E925" s="10">
        <v>1.033802420241799</v>
      </c>
    </row>
    <row r="926" spans="2:5" x14ac:dyDescent="0.3">
      <c r="B926" s="10">
        <v>5.9557139934516704E-3</v>
      </c>
      <c r="C926" s="10">
        <v>0.30723526779834659</v>
      </c>
      <c r="D926" s="10">
        <v>-5.387252973500025E-2</v>
      </c>
      <c r="E926" s="10">
        <v>1.0022319834059961</v>
      </c>
    </row>
    <row r="927" spans="2:5" x14ac:dyDescent="0.3">
      <c r="B927" s="10">
        <v>0.1162527280862391</v>
      </c>
      <c r="C927" s="10">
        <v>0.35232880765345781</v>
      </c>
      <c r="D927" s="10">
        <v>6.1367002465770829E-2</v>
      </c>
      <c r="E927" s="10">
        <v>1.1392970919982841</v>
      </c>
    </row>
    <row r="928" spans="2:5" x14ac:dyDescent="0.3">
      <c r="B928" s="10">
        <v>0.27168624637942368</v>
      </c>
      <c r="C928" s="10">
        <v>0.2554816978495677</v>
      </c>
      <c r="D928" s="10">
        <v>3.5684650752064138E-2</v>
      </c>
      <c r="E928" s="10">
        <v>3.7897752660526591</v>
      </c>
    </row>
    <row r="929" spans="2:5" x14ac:dyDescent="0.3">
      <c r="B929" s="10">
        <v>0.26534584220697321</v>
      </c>
      <c r="C929" s="10">
        <v>0.26087310128909091</v>
      </c>
      <c r="D929" s="10">
        <v>3.067057192243608E-2</v>
      </c>
      <c r="E929" s="10">
        <v>4.547115898281695</v>
      </c>
    </row>
    <row r="930" spans="2:5" x14ac:dyDescent="0.3">
      <c r="B930" s="10">
        <v>0.24096692718301671</v>
      </c>
      <c r="C930" s="10">
        <v>0.2461014770369313</v>
      </c>
      <c r="D930" s="10">
        <v>6.2768184365770696E-2</v>
      </c>
      <c r="E930" s="10">
        <v>3.4575115506669061</v>
      </c>
    </row>
    <row r="931" spans="2:5" x14ac:dyDescent="0.3">
      <c r="B931" s="10">
        <v>0.26772596755956468</v>
      </c>
      <c r="C931" s="10">
        <v>0.24754036507747301</v>
      </c>
      <c r="D931" s="10">
        <v>8.2354159098258925E-2</v>
      </c>
      <c r="E931" s="10">
        <v>3.1640018534190291</v>
      </c>
    </row>
    <row r="932" spans="2:5" x14ac:dyDescent="0.3">
      <c r="B932" s="10">
        <v>0.31274269267569238</v>
      </c>
      <c r="C932" s="10">
        <v>0.37071511214582242</v>
      </c>
      <c r="D932" s="10">
        <v>6.8909696498195658E-2</v>
      </c>
      <c r="E932" s="10">
        <v>1.2434311739805639</v>
      </c>
    </row>
    <row r="933" spans="2:5" x14ac:dyDescent="0.3">
      <c r="B933" s="10">
        <v>0.33273691922222981</v>
      </c>
      <c r="C933" s="10">
        <v>0.3524524643348777</v>
      </c>
      <c r="D933" s="10">
        <v>7.0285755722229976E-2</v>
      </c>
      <c r="E933" s="10">
        <v>1.1935102218485441</v>
      </c>
    </row>
    <row r="934" spans="2:5" x14ac:dyDescent="0.3">
      <c r="B934" s="10">
        <v>0.34580071896304032</v>
      </c>
      <c r="C934" s="10">
        <v>0.37069855245429739</v>
      </c>
      <c r="D934" s="10">
        <v>8.2724600889390348E-2</v>
      </c>
      <c r="E934" s="10">
        <v>1.454415253403202</v>
      </c>
    </row>
    <row r="935" spans="2:5" x14ac:dyDescent="0.3">
      <c r="B935" s="10">
        <v>0.33573360332697111</v>
      </c>
      <c r="C935" s="10">
        <v>0.34960621721134749</v>
      </c>
      <c r="D935" s="10">
        <v>0.134206144955341</v>
      </c>
      <c r="E935" s="10">
        <v>1.3888433625728751</v>
      </c>
    </row>
    <row r="936" spans="2:5" x14ac:dyDescent="0.3">
      <c r="B936" s="10">
        <v>0.16110514549834809</v>
      </c>
      <c r="C936" s="10">
        <v>0.68919557465462233</v>
      </c>
      <c r="D936" s="10">
        <v>9.1689126891394052E-2</v>
      </c>
      <c r="E936" s="10">
        <v>2.7226522081865312</v>
      </c>
    </row>
    <row r="937" spans="2:5" x14ac:dyDescent="0.3">
      <c r="B937" s="10">
        <v>0.1056444564803833</v>
      </c>
      <c r="C937" s="10">
        <v>0.6733840552168201</v>
      </c>
      <c r="D937" s="10">
        <v>8.6935551557747889E-2</v>
      </c>
      <c r="E937" s="10">
        <v>2.6625651242960222</v>
      </c>
    </row>
    <row r="938" spans="2:5" x14ac:dyDescent="0.3">
      <c r="B938" s="10">
        <v>6.2727428945607955E-2</v>
      </c>
      <c r="C938" s="10">
        <v>0.63315429240383825</v>
      </c>
      <c r="D938" s="10">
        <v>8.2862745911460325E-2</v>
      </c>
      <c r="E938" s="10">
        <v>2.4158049864207172</v>
      </c>
    </row>
    <row r="939" spans="2:5" x14ac:dyDescent="0.3">
      <c r="B939" s="10">
        <v>0.21356500068135401</v>
      </c>
      <c r="C939" s="10">
        <v>0.67572087462740948</v>
      </c>
      <c r="D939" s="10">
        <v>9.0726198835773625E-2</v>
      </c>
      <c r="E939" s="10">
        <v>3.1871750729688562</v>
      </c>
    </row>
    <row r="940" spans="2:5" x14ac:dyDescent="0.3">
      <c r="B940" s="10">
        <v>4.914918710793089E-2</v>
      </c>
      <c r="C940" s="10">
        <v>0.219187563918533</v>
      </c>
      <c r="D940" s="10">
        <v>2.6442594262550179E-2</v>
      </c>
      <c r="E940" s="10">
        <v>0.85018816457174806</v>
      </c>
    </row>
    <row r="941" spans="2:5" x14ac:dyDescent="0.3">
      <c r="B941" s="10">
        <v>4.6064119504201979E-2</v>
      </c>
      <c r="C941" s="10">
        <v>0.2251068932424295</v>
      </c>
      <c r="D941" s="10">
        <v>2.0425160545581061E-2</v>
      </c>
      <c r="E941" s="10">
        <v>0.86967379581322113</v>
      </c>
    </row>
    <row r="942" spans="2:5" x14ac:dyDescent="0.3">
      <c r="B942" s="10">
        <v>0.1046540381734033</v>
      </c>
      <c r="C942" s="10">
        <v>0.28793553075696998</v>
      </c>
      <c r="D942" s="10">
        <v>2.0996497229638981E-2</v>
      </c>
      <c r="E942" s="10">
        <v>1.5799832008327539</v>
      </c>
    </row>
    <row r="943" spans="2:5" x14ac:dyDescent="0.3">
      <c r="B943" s="10">
        <v>0.13300930948959691</v>
      </c>
      <c r="C943" s="10">
        <v>0.29012023223567951</v>
      </c>
      <c r="D943" s="10">
        <v>3.314899961733405E-2</v>
      </c>
      <c r="E943" s="10">
        <v>1.6570433500494079</v>
      </c>
    </row>
    <row r="944" spans="2:5" x14ac:dyDescent="0.3">
      <c r="B944" s="10">
        <v>0.38619248621874708</v>
      </c>
      <c r="C944" s="10">
        <v>0.33959099037443857</v>
      </c>
      <c r="D944" s="10">
        <v>9.5105708377432957E-2</v>
      </c>
      <c r="E944" s="10">
        <v>1.8166365728458851</v>
      </c>
    </row>
    <row r="945" spans="2:5" x14ac:dyDescent="0.3">
      <c r="B945" s="10">
        <v>0.43916883362363379</v>
      </c>
      <c r="C945" s="10">
        <v>0.31050179815939549</v>
      </c>
      <c r="D945" s="10">
        <v>9.7806779566621468E-2</v>
      </c>
      <c r="E945" s="10">
        <v>1.5511191766953409</v>
      </c>
    </row>
    <row r="946" spans="2:5" x14ac:dyDescent="0.3">
      <c r="B946" s="10">
        <v>0.3232953339485089</v>
      </c>
      <c r="C946" s="10">
        <v>0.27116434771569659</v>
      </c>
      <c r="D946" s="10">
        <v>9.680183970612069E-2</v>
      </c>
      <c r="E946" s="10">
        <v>1.3772187434580581</v>
      </c>
    </row>
    <row r="947" spans="2:5" x14ac:dyDescent="0.3">
      <c r="B947" s="10">
        <v>0.24230728047560801</v>
      </c>
      <c r="C947" s="10">
        <v>0.2316991611182983</v>
      </c>
      <c r="D947" s="10">
        <v>6.618830232147721E-2</v>
      </c>
      <c r="E947" s="10">
        <v>1.270766874062518</v>
      </c>
    </row>
    <row r="948" spans="2:5" x14ac:dyDescent="0.3">
      <c r="B948" s="10">
        <v>0.35486289534509941</v>
      </c>
      <c r="C948" s="10">
        <v>0.14375712549899261</v>
      </c>
      <c r="D948" s="10">
        <v>0.1162386237214306</v>
      </c>
      <c r="E948" s="10">
        <v>0.91156534973755021</v>
      </c>
    </row>
    <row r="949" spans="2:5" x14ac:dyDescent="0.3">
      <c r="B949" s="10">
        <v>0.32162436401345729</v>
      </c>
      <c r="C949" s="10">
        <v>8.8071814721383382E-2</v>
      </c>
      <c r="D949" s="10">
        <v>0.103459672746419</v>
      </c>
      <c r="E949" s="10">
        <v>0.70770099367557227</v>
      </c>
    </row>
    <row r="950" spans="2:5" x14ac:dyDescent="0.3">
      <c r="B950" s="10">
        <v>0.27005459968188827</v>
      </c>
      <c r="C950" s="10">
        <v>2.7609107788859551E-2</v>
      </c>
      <c r="D950" s="10">
        <v>7.2634331804344476E-2</v>
      </c>
      <c r="E950" s="10">
        <v>0.65196595771160515</v>
      </c>
    </row>
    <row r="951" spans="2:5" x14ac:dyDescent="0.3">
      <c r="B951" s="10">
        <v>0.14488344445639889</v>
      </c>
      <c r="C951" s="10">
        <v>1.1580266541384049E-2</v>
      </c>
      <c r="D951" s="10">
        <v>7.2272764106593806E-2</v>
      </c>
      <c r="E951" s="10">
        <v>0.57527656279932604</v>
      </c>
    </row>
    <row r="952" spans="2:5" x14ac:dyDescent="0.3">
      <c r="B952" s="10">
        <v>0.1536960789530383</v>
      </c>
      <c r="C952" s="10">
        <v>0.20803255084812719</v>
      </c>
      <c r="D952" s="10">
        <v>7.1218384140032301E-2</v>
      </c>
      <c r="E952" s="10">
        <v>0.55339835378318969</v>
      </c>
    </row>
    <row r="953" spans="2:5" x14ac:dyDescent="0.3">
      <c r="B953" s="10">
        <v>0.1228276430055224</v>
      </c>
      <c r="C953" s="10">
        <v>0.1690533179036546</v>
      </c>
      <c r="D953" s="10">
        <v>4.4197264049819003E-2</v>
      </c>
      <c r="E953" s="10">
        <v>0.48040377923467542</v>
      </c>
    </row>
    <row r="954" spans="2:5" x14ac:dyDescent="0.3">
      <c r="B954" s="10">
        <v>0.1340101069179222</v>
      </c>
      <c r="C954" s="10">
        <v>0.18334973028363591</v>
      </c>
      <c r="D954" s="10">
        <v>6.336207616392607E-2</v>
      </c>
      <c r="E954" s="10">
        <v>0.57895012773635179</v>
      </c>
    </row>
    <row r="955" spans="2:5" x14ac:dyDescent="0.3">
      <c r="B955" s="10">
        <v>0.1006355475039806</v>
      </c>
      <c r="C955" s="10">
        <v>0.15839896157066569</v>
      </c>
      <c r="D955" s="10">
        <v>4.2729091643752701E-2</v>
      </c>
      <c r="E955" s="10">
        <v>0.5154584766079009</v>
      </c>
    </row>
    <row r="956" spans="2:5" x14ac:dyDescent="0.3">
      <c r="B956" s="10">
        <v>8.2180825455060141E-2</v>
      </c>
      <c r="C956" s="10">
        <v>9.5300442166016769E-2</v>
      </c>
      <c r="D956" s="10">
        <v>0.1206819671696063</v>
      </c>
      <c r="E956" s="10">
        <v>0.35597923927153913</v>
      </c>
    </row>
    <row r="957" spans="2:5" x14ac:dyDescent="0.3">
      <c r="B957" s="10">
        <v>0.12128454437458611</v>
      </c>
      <c r="C957" s="10">
        <v>0.38480161096623278</v>
      </c>
      <c r="D957" s="10">
        <v>0.1547560772562851</v>
      </c>
      <c r="E957" s="10">
        <v>0.93125669954498858</v>
      </c>
    </row>
    <row r="958" spans="2:5" x14ac:dyDescent="0.3">
      <c r="B958" s="10">
        <v>0.2271284175462365</v>
      </c>
      <c r="C958" s="10">
        <v>0.35704479767848202</v>
      </c>
      <c r="D958" s="10">
        <v>0.14610943434575899</v>
      </c>
      <c r="E958" s="10">
        <v>0.85536876495715841</v>
      </c>
    </row>
    <row r="959" spans="2:5" x14ac:dyDescent="0.3">
      <c r="B959" s="10">
        <v>0.19156757554824061</v>
      </c>
      <c r="C959" s="10">
        <v>0.29802780937623968</v>
      </c>
      <c r="D959" s="10">
        <v>6.3343859356668836E-2</v>
      </c>
      <c r="E959" s="10">
        <v>0.66323065652824287</v>
      </c>
    </row>
    <row r="960" spans="2:5" x14ac:dyDescent="0.3">
      <c r="B960" s="10">
        <v>0.23214506232272011</v>
      </c>
      <c r="C960" s="10">
        <v>0.30223997898863991</v>
      </c>
      <c r="D960" s="10">
        <v>8.0512070535131083E-2</v>
      </c>
      <c r="E960" s="10">
        <v>0.66967699808416736</v>
      </c>
    </row>
    <row r="961" spans="2:5" x14ac:dyDescent="0.3">
      <c r="B961" s="10">
        <v>0.65085523158346559</v>
      </c>
      <c r="C961" s="10">
        <v>0.61458336303853345</v>
      </c>
      <c r="D961" s="10">
        <v>7.1205033888203595E-2</v>
      </c>
      <c r="E961" s="10">
        <v>6.3395941861651703</v>
      </c>
    </row>
    <row r="962" spans="2:5" x14ac:dyDescent="0.3">
      <c r="B962" s="10">
        <v>0.66168427240411332</v>
      </c>
      <c r="C962" s="10">
        <v>0.62095537325896166</v>
      </c>
      <c r="D962" s="10">
        <v>8.8729201236028246E-2</v>
      </c>
      <c r="E962" s="10">
        <v>8.0492339153802188</v>
      </c>
    </row>
    <row r="963" spans="2:5" x14ac:dyDescent="0.3">
      <c r="B963" s="10">
        <v>0.64268783585336875</v>
      </c>
      <c r="C963" s="10">
        <v>0.58625360836471629</v>
      </c>
      <c r="D963" s="10">
        <v>4.6686755426576111E-2</v>
      </c>
      <c r="E963" s="10">
        <v>6.5198459125775372</v>
      </c>
    </row>
    <row r="964" spans="2:5" x14ac:dyDescent="0.3">
      <c r="B964" s="10">
        <v>0.63106840228631444</v>
      </c>
      <c r="C964" s="10">
        <v>0.58657603684178161</v>
      </c>
      <c r="D964" s="10">
        <v>3.1124726612341929E-2</v>
      </c>
      <c r="E964" s="10">
        <v>7.866323542660167</v>
      </c>
    </row>
    <row r="965" spans="2:5" x14ac:dyDescent="0.3">
      <c r="B965" s="10">
        <v>0.28086074016059742</v>
      </c>
      <c r="C965" s="10">
        <v>0.43124126630451098</v>
      </c>
      <c r="D965" s="10">
        <v>0.18134742772905599</v>
      </c>
      <c r="E965" s="10">
        <v>2.079475847278597</v>
      </c>
    </row>
    <row r="966" spans="2:5" x14ac:dyDescent="0.3">
      <c r="B966" s="10">
        <v>0.45653351916544538</v>
      </c>
      <c r="C966" s="10">
        <v>0.44696403712631888</v>
      </c>
      <c r="D966" s="10">
        <v>0.1911952383907915</v>
      </c>
      <c r="E966" s="10">
        <v>3.159260961117615</v>
      </c>
    </row>
    <row r="967" spans="2:5" x14ac:dyDescent="0.3">
      <c r="B967" s="10">
        <v>0.5691448574246738</v>
      </c>
      <c r="C967" s="10">
        <v>0.44422731822841721</v>
      </c>
      <c r="D967" s="10">
        <v>0.12559373975158319</v>
      </c>
      <c r="E967" s="10">
        <v>4.2560278845763078</v>
      </c>
    </row>
    <row r="968" spans="2:5" x14ac:dyDescent="0.3">
      <c r="B968" s="10">
        <v>0.56644477776718483</v>
      </c>
      <c r="C968" s="10">
        <v>0.46523161540398522</v>
      </c>
      <c r="D968" s="10">
        <v>0.17586185612432059</v>
      </c>
      <c r="E968" s="10">
        <v>4.4925309713889181</v>
      </c>
    </row>
    <row r="969" spans="2:5" x14ac:dyDescent="0.3">
      <c r="B969" s="10">
        <v>0.2919994604257708</v>
      </c>
      <c r="C969" s="10">
        <v>0.31810639485590592</v>
      </c>
      <c r="D969" s="10">
        <v>9.3514968596403944E-2</v>
      </c>
      <c r="E969" s="10">
        <v>0.95077070338203451</v>
      </c>
    </row>
    <row r="970" spans="2:5" x14ac:dyDescent="0.3">
      <c r="B970" s="10">
        <v>0.45353214544615711</v>
      </c>
      <c r="C970" s="10">
        <v>0.30071450832084728</v>
      </c>
      <c r="D970" s="10">
        <v>7.9938271300027702E-2</v>
      </c>
      <c r="E970" s="10">
        <v>0.98558202580278997</v>
      </c>
    </row>
    <row r="971" spans="2:5" x14ac:dyDescent="0.3">
      <c r="B971" s="10">
        <v>0.46834870022780423</v>
      </c>
      <c r="C971" s="10">
        <v>0.24730540710499491</v>
      </c>
      <c r="D971" s="10">
        <v>6.2019741281085512E-2</v>
      </c>
      <c r="E971" s="10">
        <v>0.76294380249455229</v>
      </c>
    </row>
    <row r="972" spans="2:5" x14ac:dyDescent="0.3">
      <c r="B972" s="10">
        <v>0.62697210747263343</v>
      </c>
      <c r="C972" s="10">
        <v>0.28684800500442381</v>
      </c>
      <c r="D972" s="10">
        <v>7.6200931665133184E-2</v>
      </c>
      <c r="E972" s="10">
        <v>1.166000673622885</v>
      </c>
    </row>
    <row r="973" spans="2:5" x14ac:dyDescent="0.3">
      <c r="B973" s="10">
        <v>0.42907044801081767</v>
      </c>
      <c r="C973" s="10">
        <v>0.81234888115539128</v>
      </c>
      <c r="D973" s="10">
        <v>0.15680209234411099</v>
      </c>
      <c r="E973" s="10">
        <v>3.9043815406362081</v>
      </c>
    </row>
    <row r="974" spans="2:5" x14ac:dyDescent="0.3">
      <c r="B974" s="10">
        <v>0.44179541856452093</v>
      </c>
      <c r="C974" s="10">
        <v>0.77954478546318884</v>
      </c>
      <c r="D974" s="10">
        <v>0.1452678733558122</v>
      </c>
      <c r="E974" s="10">
        <v>4.7091331917424322</v>
      </c>
    </row>
    <row r="975" spans="2:5" x14ac:dyDescent="0.3">
      <c r="B975" s="10">
        <v>0.46842921989624409</v>
      </c>
      <c r="C975" s="10">
        <v>0.78213800712662918</v>
      </c>
      <c r="D975" s="10">
        <v>0.1363461559333034</v>
      </c>
      <c r="E975" s="10">
        <v>5.4396458014332891</v>
      </c>
    </row>
    <row r="976" spans="2:5" x14ac:dyDescent="0.3">
      <c r="B976" s="10">
        <v>0.45075621351130479</v>
      </c>
      <c r="C976" s="10">
        <v>0.74106343067986247</v>
      </c>
      <c r="D976" s="10">
        <v>0.1651947834050726</v>
      </c>
      <c r="E976" s="10">
        <v>3.9629234283962749</v>
      </c>
    </row>
    <row r="977" spans="2:5" x14ac:dyDescent="0.3">
      <c r="B977" s="10">
        <v>0.22724798478222069</v>
      </c>
      <c r="C977" s="10">
        <v>0.15464388570922991</v>
      </c>
      <c r="D977" s="10">
        <v>9.7935486881727485E-2</v>
      </c>
      <c r="E977" s="10">
        <v>0.91214037208692977</v>
      </c>
    </row>
    <row r="978" spans="2:5" x14ac:dyDescent="0.3">
      <c r="B978" s="10">
        <v>0.1247205045914514</v>
      </c>
      <c r="C978" s="10">
        <v>9.2476690377690379E-2</v>
      </c>
      <c r="D978" s="10">
        <v>9.5076977928867129E-2</v>
      </c>
      <c r="E978" s="10">
        <v>0.56060232905711427</v>
      </c>
    </row>
    <row r="979" spans="2:5" x14ac:dyDescent="0.3">
      <c r="B979" s="10">
        <v>9.2099330726389067E-2</v>
      </c>
      <c r="C979" s="10">
        <v>6.9594977327395141E-2</v>
      </c>
      <c r="D979" s="10">
        <v>2.5724296970945831E-2</v>
      </c>
      <c r="E979" s="10">
        <v>0.68531050233039636</v>
      </c>
    </row>
    <row r="980" spans="2:5" x14ac:dyDescent="0.3">
      <c r="B980" s="10">
        <v>0.59020906966173836</v>
      </c>
      <c r="C980" s="10">
        <v>8.1418503251621824E-2</v>
      </c>
      <c r="D980" s="10">
        <v>2.1674837632246521E-2</v>
      </c>
      <c r="E980" s="10">
        <v>0.66664657712839126</v>
      </c>
    </row>
    <row r="981" spans="2:5" x14ac:dyDescent="0.3">
      <c r="B981" s="10">
        <v>0.50056772562967355</v>
      </c>
      <c r="C981" s="10">
        <v>0.78285590219404966</v>
      </c>
      <c r="D981" s="10">
        <v>0.14663492336620981</v>
      </c>
      <c r="E981" s="10">
        <v>9.0675339580456544</v>
      </c>
    </row>
    <row r="982" spans="2:5" x14ac:dyDescent="0.3">
      <c r="B982" s="10">
        <v>0.46520231678239687</v>
      </c>
      <c r="C982" s="10">
        <v>0.77515822185824024</v>
      </c>
      <c r="D982" s="10">
        <v>0.12813983804023071</v>
      </c>
      <c r="E982" s="10">
        <v>9.772149436431004</v>
      </c>
    </row>
    <row r="983" spans="2:5" x14ac:dyDescent="0.3">
      <c r="B983" s="10">
        <v>0.38455033852335618</v>
      </c>
      <c r="C983" s="10">
        <v>0.76106652577075828</v>
      </c>
      <c r="D983" s="10">
        <v>7.2876554743438321E-2</v>
      </c>
      <c r="E983" s="10">
        <v>9.726592055620598</v>
      </c>
    </row>
    <row r="984" spans="2:5" x14ac:dyDescent="0.3">
      <c r="B984" s="10">
        <v>0.35418034917093177</v>
      </c>
      <c r="C984" s="10">
        <v>0.73415828750441026</v>
      </c>
      <c r="D984" s="10">
        <v>0.1034226991628341</v>
      </c>
      <c r="E984" s="10">
        <v>7.3823787927680034</v>
      </c>
    </row>
    <row r="985" spans="2:5" x14ac:dyDescent="0.3">
      <c r="B985" s="10">
        <v>7.2702544229875335E-2</v>
      </c>
      <c r="C985" s="10">
        <v>0.33165754318079171</v>
      </c>
      <c r="D985" s="10">
        <v>5.5666982239807053E-2</v>
      </c>
      <c r="E985" s="10">
        <v>0.90231005836245626</v>
      </c>
    </row>
    <row r="986" spans="2:5" x14ac:dyDescent="0.3">
      <c r="B986" s="10">
        <v>5.8702385855417739E-2</v>
      </c>
      <c r="C986" s="10">
        <v>0.35193248480624328</v>
      </c>
      <c r="D986" s="10">
        <v>6.9292968894380289E-2</v>
      </c>
      <c r="E986" s="10">
        <v>0.98023832117037468</v>
      </c>
    </row>
    <row r="987" spans="2:5" x14ac:dyDescent="0.3">
      <c r="B987" s="10">
        <v>6.7004765001225888E-2</v>
      </c>
      <c r="C987" s="10">
        <v>0.34407732733533031</v>
      </c>
      <c r="D987" s="10">
        <v>5.8283498029684432E-2</v>
      </c>
      <c r="E987" s="10">
        <v>1.0164260322051</v>
      </c>
    </row>
    <row r="988" spans="2:5" x14ac:dyDescent="0.3">
      <c r="B988" s="10">
        <v>8.1040324154076568E-2</v>
      </c>
      <c r="C988" s="10">
        <v>0.30209550520590361</v>
      </c>
      <c r="D988" s="10">
        <v>9.4724291651371917E-2</v>
      </c>
      <c r="E988" s="10">
        <v>0.87133410653440724</v>
      </c>
    </row>
    <row r="989" spans="2:5" x14ac:dyDescent="0.3">
      <c r="B989" s="10">
        <v>0.18815017659061209</v>
      </c>
      <c r="C989" s="10">
        <v>0.36037962283466107</v>
      </c>
      <c r="D989" s="10">
        <v>0.1051902560931965</v>
      </c>
      <c r="E989" s="10">
        <v>1.0193469629336429</v>
      </c>
    </row>
    <row r="990" spans="2:5" x14ac:dyDescent="0.3">
      <c r="B990" s="10">
        <v>0.20871028582165391</v>
      </c>
      <c r="C990" s="10">
        <v>0.33560206059508219</v>
      </c>
      <c r="D990" s="10">
        <v>0.14386126438655031</v>
      </c>
      <c r="E990" s="10">
        <v>0.9588912065558981</v>
      </c>
    </row>
    <row r="991" spans="2:5" x14ac:dyDescent="0.3">
      <c r="B991" s="10">
        <v>7.9416566940294864E-2</v>
      </c>
      <c r="C991" s="10">
        <v>0.23845948706678979</v>
      </c>
      <c r="D991" s="10">
        <v>5.0624640303930872E-2</v>
      </c>
      <c r="E991" s="10">
        <v>0.63449345274767888</v>
      </c>
    </row>
    <row r="992" spans="2:5" x14ac:dyDescent="0.3">
      <c r="B992" s="10">
        <v>7.4351781492075511E-2</v>
      </c>
      <c r="C992" s="10">
        <v>0.21755682916064281</v>
      </c>
      <c r="D992" s="10">
        <v>3.3364811175723652E-2</v>
      </c>
      <c r="E992" s="10">
        <v>0.56574625412755808</v>
      </c>
    </row>
    <row r="993" spans="2:5" x14ac:dyDescent="0.3">
      <c r="B993" s="10">
        <v>0.37684827719261571</v>
      </c>
      <c r="C993" s="10">
        <v>0.72952002701337149</v>
      </c>
      <c r="D993" s="10">
        <v>0.35671576414540579</v>
      </c>
      <c r="E993" s="10">
        <v>7.4907062635433022</v>
      </c>
    </row>
    <row r="994" spans="2:5" x14ac:dyDescent="0.3">
      <c r="B994" s="10">
        <v>0.36537250504249702</v>
      </c>
      <c r="C994" s="10">
        <v>0.76188307415784473</v>
      </c>
      <c r="D994" s="10">
        <v>0.38581015588085632</v>
      </c>
      <c r="E994" s="10">
        <v>9.0375677319083394</v>
      </c>
    </row>
    <row r="995" spans="2:5" x14ac:dyDescent="0.3">
      <c r="B995" s="10">
        <v>0.35688900615416519</v>
      </c>
      <c r="C995" s="10">
        <v>0.7437375728123593</v>
      </c>
      <c r="D995" s="10">
        <v>0.2144388129182945</v>
      </c>
      <c r="E995" s="10">
        <v>7.5129924700182551</v>
      </c>
    </row>
    <row r="996" spans="2:5" x14ac:dyDescent="0.3">
      <c r="B996" s="10">
        <v>0.32261020006860203</v>
      </c>
      <c r="C996" s="10">
        <v>0.69993081779171418</v>
      </c>
      <c r="D996" s="10">
        <v>0.31901983356503499</v>
      </c>
      <c r="E996" s="10">
        <v>5.2047380295317396</v>
      </c>
    </row>
    <row r="997" spans="2:5" x14ac:dyDescent="0.3">
      <c r="B997" s="10">
        <v>0.28590610096134461</v>
      </c>
      <c r="C997" s="10">
        <v>0.22500546217738751</v>
      </c>
      <c r="D997" s="10">
        <v>-1.50505359906198E-2</v>
      </c>
      <c r="E997" s="10">
        <v>0.21854668049384071</v>
      </c>
    </row>
    <row r="998" spans="2:5" x14ac:dyDescent="0.3">
      <c r="B998" s="10">
        <v>0.26074865842798572</v>
      </c>
      <c r="C998" s="10">
        <v>0.23886583927766361</v>
      </c>
      <c r="D998" s="10">
        <v>-7.7929635308435783E-3</v>
      </c>
      <c r="E998" s="10">
        <v>0.24403662507544899</v>
      </c>
    </row>
    <row r="999" spans="2:5" x14ac:dyDescent="0.3">
      <c r="B999" s="10">
        <v>0.30893345838930092</v>
      </c>
      <c r="C999" s="10">
        <v>0.2271083889104889</v>
      </c>
      <c r="D999" s="10">
        <v>1.468800445397442E-2</v>
      </c>
      <c r="E999" s="10">
        <v>0.2283703444564302</v>
      </c>
    </row>
    <row r="1000" spans="2:5" x14ac:dyDescent="0.3">
      <c r="B1000" s="10">
        <v>0.38044210289592217</v>
      </c>
      <c r="C1000" s="10">
        <v>0.23621771681322329</v>
      </c>
      <c r="D1000" s="10">
        <v>3.0901102152746732E-2</v>
      </c>
      <c r="E1000" s="10">
        <v>0.49271388418626622</v>
      </c>
    </row>
    <row r="1001" spans="2:5" x14ac:dyDescent="0.3">
      <c r="B1001" s="10">
        <v>0.62997452018633049</v>
      </c>
      <c r="C1001" s="10">
        <v>0.73201622629234542</v>
      </c>
      <c r="D1001" s="10">
        <v>0.25867457177780689</v>
      </c>
      <c r="E1001" s="10">
        <v>3.290905683014941</v>
      </c>
    </row>
    <row r="1002" spans="2:5" x14ac:dyDescent="0.3">
      <c r="B1002" s="10">
        <v>0.62774089699272151</v>
      </c>
      <c r="C1002" s="10">
        <v>0.79716037296877584</v>
      </c>
      <c r="D1002" s="10">
        <v>0.20858277058418009</v>
      </c>
      <c r="E1002" s="10">
        <v>5.3939358976034528</v>
      </c>
    </row>
    <row r="1003" spans="2:5" x14ac:dyDescent="0.3">
      <c r="B1003" s="10">
        <v>0.61928732914573581</v>
      </c>
      <c r="C1003" s="10">
        <v>0.78453352081021233</v>
      </c>
      <c r="D1003" s="10">
        <v>0.21629880248892969</v>
      </c>
      <c r="E1003" s="10">
        <v>4.9147944237513057</v>
      </c>
    </row>
    <row r="1004" spans="2:5" x14ac:dyDescent="0.3">
      <c r="B1004" s="10">
        <v>0.53632184671931471</v>
      </c>
      <c r="C1004" s="10">
        <v>0.69125624234301442</v>
      </c>
      <c r="D1004" s="10">
        <v>0.23242401916859531</v>
      </c>
      <c r="E1004" s="10">
        <v>2.7005226475673232</v>
      </c>
    </row>
    <row r="1005" spans="2:5" x14ac:dyDescent="0.3">
      <c r="B1005" s="10">
        <v>0.65781101703863365</v>
      </c>
      <c r="C1005" s="10">
        <v>0.23756820463269671</v>
      </c>
      <c r="D1005" s="10">
        <v>-3.0902213573607441E-2</v>
      </c>
      <c r="E1005" s="10">
        <v>2.129182501636278</v>
      </c>
    </row>
    <row r="1006" spans="2:5" x14ac:dyDescent="0.3">
      <c r="B1006" s="10">
        <v>0.45625669026029358</v>
      </c>
      <c r="C1006" s="10">
        <v>0.20016948484221</v>
      </c>
      <c r="D1006" s="10">
        <v>7.3983941040904375E-2</v>
      </c>
      <c r="E1006" s="10">
        <v>1.039421775416399</v>
      </c>
    </row>
    <row r="1007" spans="2:5" x14ac:dyDescent="0.3">
      <c r="B1007" s="10">
        <v>0.31054180714134338</v>
      </c>
      <c r="C1007" s="10">
        <v>0.15722613607874961</v>
      </c>
      <c r="D1007" s="10">
        <v>0.1013825022589538</v>
      </c>
      <c r="E1007" s="10">
        <v>0.76467738957861353</v>
      </c>
    </row>
    <row r="1008" spans="2:5" x14ac:dyDescent="0.3">
      <c r="B1008" s="10">
        <v>0.28135257752983478</v>
      </c>
      <c r="C1008" s="10">
        <v>0.1077860335031836</v>
      </c>
      <c r="D1008" s="10">
        <v>9.1722901372508436E-2</v>
      </c>
      <c r="E1008" s="10">
        <v>0.7044676440615677</v>
      </c>
    </row>
    <row r="1009" spans="2:5" x14ac:dyDescent="0.3">
      <c r="B1009" s="10">
        <v>0.22287494437627711</v>
      </c>
      <c r="C1009" s="10">
        <v>0.3941440907255595</v>
      </c>
      <c r="D1009" s="10">
        <v>6.5163149207487836E-2</v>
      </c>
      <c r="E1009" s="10">
        <v>1.9021971659112109</v>
      </c>
    </row>
    <row r="1010" spans="2:5" x14ac:dyDescent="0.3">
      <c r="B1010" s="10">
        <v>0.21274834881995219</v>
      </c>
      <c r="C1010" s="10">
        <v>0.38395354951482841</v>
      </c>
      <c r="D1010" s="10">
        <v>5.9509779312676557E-2</v>
      </c>
      <c r="E1010" s="10">
        <v>1.889188117579639</v>
      </c>
    </row>
    <row r="1011" spans="2:5" x14ac:dyDescent="0.3">
      <c r="B1011" s="10">
        <v>0.18979076171560719</v>
      </c>
      <c r="C1011" s="10">
        <v>0.38261110688120697</v>
      </c>
      <c r="D1011" s="10">
        <v>5.5863867039687362E-2</v>
      </c>
      <c r="E1011" s="10">
        <v>2.0320365759254808</v>
      </c>
    </row>
    <row r="1012" spans="2:5" x14ac:dyDescent="0.3">
      <c r="B1012" s="10">
        <v>0.18566893065437839</v>
      </c>
      <c r="C1012" s="10">
        <v>0.39885728476313442</v>
      </c>
      <c r="D1012" s="10">
        <v>7.5856332359145393E-2</v>
      </c>
      <c r="E1012" s="10">
        <v>1.6752878644015661</v>
      </c>
    </row>
    <row r="1013" spans="2:5" x14ac:dyDescent="0.3">
      <c r="B1013" s="10">
        <v>0.32077879402436499</v>
      </c>
      <c r="C1013" s="10">
        <v>0.103440723595185</v>
      </c>
      <c r="D1013" s="10">
        <v>8.2318587636215024E-2</v>
      </c>
      <c r="E1013" s="10">
        <v>0.766116335588512</v>
      </c>
    </row>
    <row r="1014" spans="2:5" x14ac:dyDescent="0.3">
      <c r="B1014" s="10">
        <v>0.32751851697490059</v>
      </c>
      <c r="C1014" s="10">
        <v>8.7909298558714419E-2</v>
      </c>
      <c r="D1014" s="10">
        <v>7.7923670527069985E-2</v>
      </c>
      <c r="E1014" s="10">
        <v>0.70592099991357016</v>
      </c>
    </row>
    <row r="1015" spans="2:5" x14ac:dyDescent="0.3">
      <c r="B1015" s="10">
        <v>0.27921981212902652</v>
      </c>
      <c r="C1015" s="10">
        <v>7.7768336306543409E-2</v>
      </c>
      <c r="D1015" s="10">
        <v>7.8296604721744628E-2</v>
      </c>
      <c r="E1015" s="10">
        <v>0.78010196024185663</v>
      </c>
    </row>
    <row r="1016" spans="2:5" x14ac:dyDescent="0.3">
      <c r="B1016" s="10">
        <v>0.25781107330528108</v>
      </c>
      <c r="C1016" s="10">
        <v>7.932191935349707E-2</v>
      </c>
      <c r="D1016" s="10">
        <v>0.12697766397168911</v>
      </c>
      <c r="E1016" s="10">
        <v>1.281964566113283</v>
      </c>
    </row>
    <row r="1017" spans="2:5" x14ac:dyDescent="0.3">
      <c r="B1017" s="10">
        <v>-3.8847194650536973E-2</v>
      </c>
      <c r="C1017" s="10">
        <v>0.38091143842904363</v>
      </c>
      <c r="D1017" s="10">
        <v>0.45181369454667908</v>
      </c>
      <c r="E1017" s="10">
        <v>0.64674969600170773</v>
      </c>
    </row>
    <row r="1018" spans="2:5" x14ac:dyDescent="0.3">
      <c r="B1018" s="10">
        <v>-5.6923566034928492E-2</v>
      </c>
      <c r="C1018" s="10">
        <v>0.370674042628378</v>
      </c>
      <c r="D1018" s="10">
        <v>0.42896432756151542</v>
      </c>
      <c r="E1018" s="10">
        <v>0.61960509424005139</v>
      </c>
    </row>
    <row r="1019" spans="2:5" x14ac:dyDescent="0.3">
      <c r="B1019" s="10">
        <v>-4.0276254151941547E-2</v>
      </c>
      <c r="C1019" s="10">
        <v>0.40140287054042301</v>
      </c>
      <c r="D1019" s="10">
        <v>0.41807256000248871</v>
      </c>
      <c r="E1019" s="10">
        <v>0.68982835702809586</v>
      </c>
    </row>
    <row r="1020" spans="2:5" x14ac:dyDescent="0.3">
      <c r="B1020" s="10">
        <v>-0.1498058083829851</v>
      </c>
      <c r="C1020" s="10">
        <v>0.31107967931268082</v>
      </c>
      <c r="D1020" s="10">
        <v>0.37589131670391662</v>
      </c>
      <c r="E1020" s="10">
        <v>0.46612394170588117</v>
      </c>
    </row>
    <row r="1021" spans="2:5" x14ac:dyDescent="0.3">
      <c r="B1021" s="10">
        <v>0.19772646215778961</v>
      </c>
      <c r="C1021" s="10">
        <v>0.1069088043999509</v>
      </c>
      <c r="D1021" s="10">
        <v>7.7261349716667652E-3</v>
      </c>
      <c r="E1021" s="10">
        <v>2.7399991252279361</v>
      </c>
    </row>
    <row r="1022" spans="2:5" x14ac:dyDescent="0.3">
      <c r="B1022" s="10">
        <v>0.21407169792397721</v>
      </c>
      <c r="C1022" s="10">
        <v>0.11898914869381839</v>
      </c>
      <c r="D1022" s="10">
        <v>6.6515883845043228E-2</v>
      </c>
      <c r="E1022" s="10">
        <v>3.1728131467471479</v>
      </c>
    </row>
    <row r="1023" spans="2:5" x14ac:dyDescent="0.3">
      <c r="B1023" s="10">
        <v>0.18784666453645499</v>
      </c>
      <c r="C1023" s="10">
        <v>9.8733354277758159E-2</v>
      </c>
      <c r="D1023" s="10">
        <v>0.11476657728525359</v>
      </c>
      <c r="E1023" s="10">
        <v>2.4080110470234919</v>
      </c>
    </row>
    <row r="1024" spans="2:5" x14ac:dyDescent="0.3">
      <c r="B1024" s="10">
        <v>0.17193416042136109</v>
      </c>
      <c r="C1024" s="10">
        <v>5.3186431498826868E-2</v>
      </c>
      <c r="D1024" s="10">
        <v>0.1757474865160015</v>
      </c>
      <c r="E1024" s="10">
        <v>1.9292211692499499</v>
      </c>
    </row>
    <row r="1025" spans="2:5" x14ac:dyDescent="0.3">
      <c r="B1025" s="10">
        <v>0.43526018828691782</v>
      </c>
      <c r="C1025" s="10">
        <v>0.43158626462872501</v>
      </c>
      <c r="D1025" s="10">
        <v>8.3367487378415803E-2</v>
      </c>
      <c r="E1025" s="10">
        <v>7.1914904533222241</v>
      </c>
    </row>
    <row r="1026" spans="2:5" x14ac:dyDescent="0.3">
      <c r="B1026" s="10">
        <v>0.29434521511453049</v>
      </c>
      <c r="C1026" s="10">
        <v>0.32194129069332028</v>
      </c>
      <c r="D1026" s="10">
        <v>3.279898230998516E-2</v>
      </c>
      <c r="E1026" s="10">
        <v>2.0123289222125651</v>
      </c>
    </row>
    <row r="1027" spans="2:5" x14ac:dyDescent="0.3">
      <c r="B1027" s="10">
        <v>0.27532007680942411</v>
      </c>
      <c r="C1027" s="10">
        <v>0.30703932091244268</v>
      </c>
      <c r="D1027" s="10">
        <v>7.7548488060388568E-2</v>
      </c>
      <c r="E1027" s="10">
        <v>1.7347630630607529</v>
      </c>
    </row>
    <row r="1028" spans="2:5" x14ac:dyDescent="0.3">
      <c r="B1028" s="10">
        <v>0.27044692635244372</v>
      </c>
      <c r="C1028" s="10">
        <v>0.28355005080959089</v>
      </c>
      <c r="D1028" s="10">
        <v>4.2814016298815732E-2</v>
      </c>
      <c r="E1028" s="10">
        <v>1.6774328835315959</v>
      </c>
    </row>
    <row r="1029" spans="2:5" x14ac:dyDescent="0.3">
      <c r="B1029" s="10">
        <v>0.42275373620891121</v>
      </c>
      <c r="C1029" s="10">
        <v>0.27536483524907451</v>
      </c>
      <c r="D1029" s="10">
        <v>1.8134232335949959E-2</v>
      </c>
      <c r="E1029" s="10">
        <v>2.3236550046919482</v>
      </c>
    </row>
    <row r="1030" spans="2:5" x14ac:dyDescent="0.3">
      <c r="B1030" s="10">
        <v>0.4087510387292263</v>
      </c>
      <c r="C1030" s="10">
        <v>0.29515889347300822</v>
      </c>
      <c r="D1030" s="10">
        <v>1.9055348630963431E-2</v>
      </c>
      <c r="E1030" s="10">
        <v>2.3432591257725481</v>
      </c>
    </row>
    <row r="1031" spans="2:5" x14ac:dyDescent="0.3">
      <c r="B1031" s="10">
        <v>0.54415719754489844</v>
      </c>
      <c r="C1031" s="10">
        <v>0.38897550207632148</v>
      </c>
      <c r="D1031" s="10">
        <v>1.0581849014998711E-3</v>
      </c>
      <c r="E1031" s="10">
        <v>1.729706182892963</v>
      </c>
    </row>
    <row r="1032" spans="2:5" x14ac:dyDescent="0.3">
      <c r="B1032" s="10">
        <v>0.50458524639949953</v>
      </c>
      <c r="C1032" s="10">
        <v>0.37541565928480142</v>
      </c>
      <c r="D1032" s="10">
        <v>8.8042776956901436E-2</v>
      </c>
      <c r="E1032" s="10">
        <v>1.4515453093706021</v>
      </c>
    </row>
    <row r="1033" spans="2:5" x14ac:dyDescent="0.3">
      <c r="B1033" s="10">
        <v>0.23820284914012119</v>
      </c>
      <c r="C1033" s="10">
        <v>9.9923061753579262E-2</v>
      </c>
      <c r="D1033" s="10">
        <v>7.0466606966838666E-2</v>
      </c>
      <c r="E1033" s="10">
        <v>3.833898712415039</v>
      </c>
    </row>
    <row r="1034" spans="2:5" x14ac:dyDescent="0.3">
      <c r="B1034" s="10">
        <v>0.24830043464074661</v>
      </c>
      <c r="C1034" s="10">
        <v>8.3539819617328925E-2</v>
      </c>
      <c r="D1034" s="10">
        <v>6.1907203513755588E-2</v>
      </c>
      <c r="E1034" s="10">
        <v>3.4883895791220891</v>
      </c>
    </row>
    <row r="1035" spans="2:5" x14ac:dyDescent="0.3">
      <c r="B1035" s="10">
        <v>0.15320418973245059</v>
      </c>
      <c r="C1035" s="10">
        <v>5.4271637075493519E-2</v>
      </c>
      <c r="D1035" s="10">
        <v>0.1003739720856496</v>
      </c>
      <c r="E1035" s="10">
        <v>1.788601368793876</v>
      </c>
    </row>
    <row r="1036" spans="2:5" x14ac:dyDescent="0.3">
      <c r="B1036" s="10">
        <v>0.1045038658011664</v>
      </c>
      <c r="C1036" s="10">
        <v>0.31963061209017568</v>
      </c>
      <c r="D1036" s="10">
        <v>6.3632052403620881E-2</v>
      </c>
      <c r="E1036" s="10">
        <v>2.2003949008835222</v>
      </c>
    </row>
    <row r="1037" spans="2:5" x14ac:dyDescent="0.3">
      <c r="B1037" s="10">
        <v>0.47691029673357099</v>
      </c>
      <c r="C1037" s="10">
        <v>0.57184119040397308</v>
      </c>
      <c r="D1037" s="10">
        <v>0.1341490281843328</v>
      </c>
      <c r="E1037" s="10">
        <v>1.390393739231556</v>
      </c>
    </row>
    <row r="1038" spans="2:5" x14ac:dyDescent="0.3">
      <c r="B1038" s="10">
        <v>0.4109756097312785</v>
      </c>
      <c r="C1038" s="10">
        <v>0.5492620864580583</v>
      </c>
      <c r="D1038" s="10">
        <v>0.1448525551161991</v>
      </c>
      <c r="E1038" s="10">
        <v>1.3321791217558701</v>
      </c>
    </row>
    <row r="1039" spans="2:5" x14ac:dyDescent="0.3">
      <c r="B1039" s="10">
        <v>0.44933137510559662</v>
      </c>
      <c r="C1039" s="10">
        <v>0.60962676733017618</v>
      </c>
      <c r="D1039" s="10">
        <v>0.18417337197176409</v>
      </c>
      <c r="E1039" s="10">
        <v>1.751156804708214</v>
      </c>
    </row>
    <row r="1040" spans="2:5" x14ac:dyDescent="0.3">
      <c r="B1040" s="10">
        <v>0.41012438362873099</v>
      </c>
      <c r="C1040" s="10">
        <v>0.54479822995499749</v>
      </c>
      <c r="D1040" s="10">
        <v>0.12997034073413891</v>
      </c>
      <c r="E1040" s="10">
        <v>1.3375464987704739</v>
      </c>
    </row>
    <row r="1041" spans="2:5" x14ac:dyDescent="0.3">
      <c r="B1041" s="10">
        <v>0.54053544120947006</v>
      </c>
      <c r="C1041" s="10">
        <v>0.2454947467629803</v>
      </c>
      <c r="D1041" s="10">
        <v>0.12570573395667231</v>
      </c>
      <c r="E1041" s="10">
        <v>3.1713436105312929</v>
      </c>
    </row>
    <row r="1042" spans="2:5" x14ac:dyDescent="0.3">
      <c r="B1042" s="10">
        <v>0.61745329760178957</v>
      </c>
      <c r="C1042" s="10">
        <v>0.2004966004656083</v>
      </c>
      <c r="D1042" s="10">
        <v>0.15910860792687839</v>
      </c>
      <c r="E1042" s="10">
        <v>2.970552201703601</v>
      </c>
    </row>
    <row r="1043" spans="2:5" x14ac:dyDescent="0.3">
      <c r="B1043" s="10">
        <v>0.26405732183890401</v>
      </c>
      <c r="C1043" s="10">
        <v>9.0658607017584353E-2</v>
      </c>
      <c r="D1043" s="10">
        <v>0.1013647829349875</v>
      </c>
      <c r="E1043" s="10">
        <v>0.60897383749368073</v>
      </c>
    </row>
    <row r="1044" spans="2:5" x14ac:dyDescent="0.3">
      <c r="B1044" s="10">
        <v>0.30120237860518789</v>
      </c>
      <c r="C1044" s="10">
        <v>0.15641605311282911</v>
      </c>
      <c r="D1044" s="10">
        <v>0.13539997157875999</v>
      </c>
      <c r="E1044" s="10">
        <v>0.39935838329819962</v>
      </c>
    </row>
    <row r="1045" spans="2:5" x14ac:dyDescent="0.3">
      <c r="B1045" s="10">
        <v>0.62744762751676242</v>
      </c>
      <c r="C1045" s="10">
        <v>0.12796808874593121</v>
      </c>
      <c r="D1045" s="10">
        <v>6.4900551376714175E-2</v>
      </c>
      <c r="E1045" s="10">
        <v>7.680941802733086</v>
      </c>
    </row>
    <row r="1046" spans="2:5" x14ac:dyDescent="0.3">
      <c r="B1046" s="10">
        <v>0.50837515981850534</v>
      </c>
      <c r="C1046" s="10">
        <v>6.4339720954034438E-2</v>
      </c>
      <c r="D1046" s="10">
        <v>7.4743737211106109E-2</v>
      </c>
      <c r="E1046" s="10">
        <v>3.076133444350496</v>
      </c>
    </row>
    <row r="1047" spans="2:5" x14ac:dyDescent="0.3">
      <c r="B1047" s="10">
        <v>0.24520607041285269</v>
      </c>
      <c r="C1047" s="10">
        <v>8.5517687544043333E-2</v>
      </c>
      <c r="D1047" s="10">
        <v>0.10503702233819159</v>
      </c>
      <c r="E1047" s="10">
        <v>1.475523147998701</v>
      </c>
    </row>
    <row r="1048" spans="2:5" x14ac:dyDescent="0.3">
      <c r="B1048" s="10">
        <v>0.40034725236805219</v>
      </c>
      <c r="C1048" s="10">
        <v>0.4233764868084044</v>
      </c>
      <c r="D1048" s="10">
        <v>0.1107234017468693</v>
      </c>
      <c r="E1048" s="10">
        <v>0.74234986236100786</v>
      </c>
    </row>
    <row r="1049" spans="2:5" x14ac:dyDescent="0.3">
      <c r="B1049" s="10">
        <v>0.25299048407972913</v>
      </c>
      <c r="C1049" s="10">
        <v>3.0084239532755869E-2</v>
      </c>
      <c r="D1049" s="10">
        <v>3.2047992331950319E-2</v>
      </c>
      <c r="E1049" s="10">
        <v>0.89715695219656888</v>
      </c>
    </row>
    <row r="1050" spans="2:5" x14ac:dyDescent="0.3">
      <c r="B1050" s="10">
        <v>0.20124974330042861</v>
      </c>
      <c r="C1050" s="10">
        <v>1.9190256307142751E-2</v>
      </c>
      <c r="D1050" s="10">
        <v>2.6691062697004931E-2</v>
      </c>
      <c r="E1050" s="10">
        <v>0.70327059065246977</v>
      </c>
    </row>
    <row r="1051" spans="2:5" x14ac:dyDescent="0.3">
      <c r="B1051" s="10">
        <v>0.18744355904350901</v>
      </c>
      <c r="C1051" s="10">
        <v>1.8468615203850611E-2</v>
      </c>
      <c r="D1051" s="10">
        <v>-8.4924940297045129E-3</v>
      </c>
      <c r="E1051" s="10">
        <v>0.696515005880189</v>
      </c>
    </row>
    <row r="1052" spans="2:5" x14ac:dyDescent="0.3">
      <c r="B1052" s="10">
        <v>0.16419732645572099</v>
      </c>
      <c r="C1052" s="10">
        <v>4.7799668397924613E-2</v>
      </c>
      <c r="D1052" s="10">
        <v>6.1536830672364977E-2</v>
      </c>
      <c r="E1052" s="10">
        <v>0.43892747695202389</v>
      </c>
    </row>
    <row r="1053" spans="2:5" x14ac:dyDescent="0.3">
      <c r="B1053" s="10">
        <v>8.2111167587098341E-2</v>
      </c>
      <c r="C1053" s="10">
        <v>0.11777765721106349</v>
      </c>
      <c r="D1053" s="10">
        <v>0.21971570368762811</v>
      </c>
      <c r="E1053" s="10">
        <v>0.85791055043640729</v>
      </c>
    </row>
    <row r="1054" spans="2:5" x14ac:dyDescent="0.3">
      <c r="B1054" s="10">
        <v>2.4773690260465778E-2</v>
      </c>
      <c r="C1054" s="10">
        <v>-2.159348345983966E-2</v>
      </c>
      <c r="D1054" s="10">
        <v>0.15382785034920579</v>
      </c>
      <c r="E1054" s="10">
        <v>0.57775260868350686</v>
      </c>
    </row>
    <row r="1055" spans="2:5" x14ac:dyDescent="0.3">
      <c r="B1055" s="10">
        <v>0.68849902010510544</v>
      </c>
      <c r="C1055" s="10">
        <v>0.54080595525261543</v>
      </c>
      <c r="D1055" s="10">
        <v>0.14763444707506251</v>
      </c>
      <c r="E1055" s="10">
        <v>6.1123148402262286</v>
      </c>
    </row>
    <row r="1056" spans="2:5" x14ac:dyDescent="0.3">
      <c r="B1056" s="10">
        <v>0.69579776002527383</v>
      </c>
      <c r="C1056" s="10">
        <v>0.51640618707002461</v>
      </c>
      <c r="D1056" s="10">
        <v>0.14639260955641781</v>
      </c>
      <c r="E1056" s="10">
        <v>7.466681047755241</v>
      </c>
    </row>
    <row r="1057" spans="2:5" x14ac:dyDescent="0.3">
      <c r="B1057" s="10">
        <v>0.73968167067235335</v>
      </c>
      <c r="C1057" s="10">
        <v>0.47035789145016221</v>
      </c>
      <c r="D1057" s="10">
        <v>0.1334727999574141</v>
      </c>
      <c r="E1057" s="10">
        <v>6.556662936545349</v>
      </c>
    </row>
    <row r="1058" spans="2:5" x14ac:dyDescent="0.3">
      <c r="B1058" s="10">
        <v>0.7505631252783439</v>
      </c>
      <c r="C1058" s="10">
        <v>0.41546037065914898</v>
      </c>
      <c r="D1058" s="10">
        <v>0.15664621804336451</v>
      </c>
      <c r="E1058" s="10">
        <v>4.6685888891078502</v>
      </c>
    </row>
    <row r="1059" spans="2:5" x14ac:dyDescent="0.3">
      <c r="B1059" s="10">
        <v>0.27602239785719102</v>
      </c>
      <c r="C1059" s="10">
        <v>-5.0867878470017343E-2</v>
      </c>
      <c r="D1059" s="10">
        <v>3.9692358306690587E-2</v>
      </c>
      <c r="E1059" s="10">
        <v>6.3172030616343298</v>
      </c>
    </row>
    <row r="1060" spans="2:5" x14ac:dyDescent="0.3">
      <c r="B1060" s="10">
        <v>0.209518474527607</v>
      </c>
      <c r="C1060" s="10">
        <v>-5.4686399581223198E-2</v>
      </c>
      <c r="D1060" s="10">
        <v>6.612378931502666E-2</v>
      </c>
      <c r="E1060" s="10">
        <v>2.4438952629444031</v>
      </c>
    </row>
    <row r="1061" spans="2:5" x14ac:dyDescent="0.3">
      <c r="B1061" s="10">
        <v>0.46680746745856361</v>
      </c>
      <c r="C1061" s="10">
        <v>0.52661316436183381</v>
      </c>
      <c r="D1061" s="10">
        <v>0.1500088855217325</v>
      </c>
      <c r="E1061" s="10">
        <v>5.484611235906927</v>
      </c>
    </row>
    <row r="1062" spans="2:5" x14ac:dyDescent="0.3">
      <c r="B1062" s="10">
        <v>0.47403279206422988</v>
      </c>
      <c r="C1062" s="10">
        <v>0.51057546122341702</v>
      </c>
      <c r="D1062" s="10">
        <v>0.17617521496892241</v>
      </c>
      <c r="E1062" s="10">
        <v>4.7360368396609642</v>
      </c>
    </row>
    <row r="1063" spans="2:5" x14ac:dyDescent="0.3">
      <c r="B1063" s="10">
        <v>0.44710398293587028</v>
      </c>
      <c r="C1063" s="10">
        <v>0.51435664681309179</v>
      </c>
      <c r="D1063" s="10">
        <v>0.1525907496206792</v>
      </c>
      <c r="E1063" s="10">
        <v>4.6368432150572012</v>
      </c>
    </row>
    <row r="1064" spans="2:5" x14ac:dyDescent="0.3">
      <c r="B1064" s="10">
        <v>0.44866423664970262</v>
      </c>
      <c r="C1064" s="10">
        <v>0.47692468717101139</v>
      </c>
      <c r="D1064" s="10">
        <v>0.15262399032303489</v>
      </c>
      <c r="E1064" s="10">
        <v>4.1034326185753329</v>
      </c>
    </row>
    <row r="1065" spans="2:5" x14ac:dyDescent="0.3">
      <c r="B1065" s="10">
        <v>0.53397082161545451</v>
      </c>
      <c r="C1065" s="10">
        <v>-1.3457379783189261</v>
      </c>
      <c r="D1065" s="10">
        <v>0.21665774690392781</v>
      </c>
      <c r="E1065" s="10">
        <v>0.52937286161868324</v>
      </c>
    </row>
    <row r="1066" spans="2:5" x14ac:dyDescent="0.3">
      <c r="B1066" s="10">
        <v>0.63069396080391216</v>
      </c>
      <c r="C1066" s="10">
        <v>0.20228290095104429</v>
      </c>
      <c r="D1066" s="10">
        <v>3.3336991229526873E-2</v>
      </c>
      <c r="E1066" s="10">
        <v>0.94594878149051775</v>
      </c>
    </row>
    <row r="1067" spans="2:5" x14ac:dyDescent="0.3">
      <c r="B1067" s="10">
        <v>0.81267987986488821</v>
      </c>
      <c r="C1067" s="10">
        <v>0.1962715668625532</v>
      </c>
      <c r="D1067" s="10">
        <v>3.9741215444279158E-2</v>
      </c>
      <c r="E1067" s="10">
        <v>0.8982054689209833</v>
      </c>
    </row>
    <row r="1068" spans="2:5" x14ac:dyDescent="0.3">
      <c r="B1068" s="10">
        <v>0.45089156665027358</v>
      </c>
      <c r="C1068" s="10">
        <v>-0.67768741899090956</v>
      </c>
      <c r="D1068" s="10">
        <v>-9.8838427403765305E-2</v>
      </c>
      <c r="E1068" s="10">
        <v>1.9907572034583449</v>
      </c>
    </row>
    <row r="1069" spans="2:5" x14ac:dyDescent="0.3">
      <c r="B1069" s="10">
        <v>0.55540872880817027</v>
      </c>
      <c r="C1069" s="10">
        <v>-0.74224165834915712</v>
      </c>
      <c r="D1069" s="10">
        <v>1.6469471611728681E-2</v>
      </c>
      <c r="E1069" s="10">
        <v>2.5352583967084921</v>
      </c>
    </row>
    <row r="1070" spans="2:5" x14ac:dyDescent="0.3">
      <c r="B1070" s="10">
        <v>0.52604601898944858</v>
      </c>
      <c r="C1070" s="10">
        <v>-0.64122767417589166</v>
      </c>
      <c r="D1070" s="10">
        <v>8.8066721234695292E-2</v>
      </c>
      <c r="E1070" s="10">
        <v>1.836380932596599</v>
      </c>
    </row>
    <row r="1071" spans="2:5" x14ac:dyDescent="0.3">
      <c r="B1071" s="10">
        <v>0.31131199325917441</v>
      </c>
      <c r="C1071" s="10">
        <v>-0.70709410739072365</v>
      </c>
      <c r="D1071" s="10">
        <v>6.8987173464900201E-2</v>
      </c>
      <c r="E1071" s="10">
        <v>1.5280639962251421</v>
      </c>
    </row>
    <row r="1072" spans="2:5" x14ac:dyDescent="0.3">
      <c r="B1072" s="10">
        <v>0.1110707634778941</v>
      </c>
      <c r="C1072" s="10">
        <v>0.1221185956250702</v>
      </c>
      <c r="D1072" s="10">
        <v>9.7030409590621647E-2</v>
      </c>
      <c r="E1072" s="10">
        <v>2.5395066511034941</v>
      </c>
    </row>
    <row r="1073" spans="2:5" x14ac:dyDescent="0.3">
      <c r="B1073" s="10">
        <v>8.6315873119826178E-2</v>
      </c>
      <c r="C1073" s="10">
        <v>7.9719138280280918E-2</v>
      </c>
      <c r="D1073" s="10">
        <v>5.8881457419579022E-2</v>
      </c>
      <c r="E1073" s="10">
        <v>2.014586033117336</v>
      </c>
    </row>
    <row r="1074" spans="2:5" x14ac:dyDescent="0.3">
      <c r="B1074" s="10">
        <v>0.32930296934376468</v>
      </c>
      <c r="C1074" s="10">
        <v>8.3726537934738277E-2</v>
      </c>
      <c r="D1074" s="10">
        <v>0.105109678399879</v>
      </c>
      <c r="E1074" s="10">
        <v>4.8226901200497672</v>
      </c>
    </row>
    <row r="1075" spans="2:5" x14ac:dyDescent="0.3">
      <c r="B1075" s="10">
        <v>0.37442857701818988</v>
      </c>
      <c r="C1075" s="10">
        <v>8.7812884808213892E-2</v>
      </c>
      <c r="D1075" s="10">
        <v>7.1165810920655978E-2</v>
      </c>
      <c r="E1075" s="10">
        <v>3.7267640461759601</v>
      </c>
    </row>
    <row r="1076" spans="2:5" x14ac:dyDescent="0.3">
      <c r="B1076" s="10">
        <v>0.26042873869508931</v>
      </c>
      <c r="C1076" s="10">
        <v>-0.25255239427716819</v>
      </c>
      <c r="D1076" s="10">
        <v>6.7686184257733636E-2</v>
      </c>
      <c r="E1076" s="10">
        <v>0.43192494562299771</v>
      </c>
    </row>
    <row r="1077" spans="2:5" x14ac:dyDescent="0.3">
      <c r="B1077" s="10">
        <v>5.9145141274754537E-2</v>
      </c>
      <c r="C1077" s="10">
        <v>-4.8483511800047563E-2</v>
      </c>
      <c r="D1077" s="10">
        <v>4.1497732358664163E-2</v>
      </c>
      <c r="E1077" s="10">
        <v>0.60202462223461406</v>
      </c>
    </row>
    <row r="1078" spans="2:5" x14ac:dyDescent="0.3">
      <c r="B1078" s="10">
        <v>0.13215040219393551</v>
      </c>
      <c r="C1078" s="10">
        <v>1.5540146601722061E-2</v>
      </c>
      <c r="D1078" s="10">
        <v>5.6864946810752673E-2</v>
      </c>
      <c r="E1078" s="10">
        <v>0.72602752547162086</v>
      </c>
    </row>
    <row r="1079" spans="2:5" x14ac:dyDescent="0.3">
      <c r="B1079" s="10">
        <v>4.4201763104900191E-2</v>
      </c>
      <c r="C1079" s="10">
        <v>0.1526454294719371</v>
      </c>
      <c r="D1079" s="10">
        <v>9.2925227566245119E-2</v>
      </c>
      <c r="E1079" s="10">
        <v>3.1866228131965082</v>
      </c>
    </row>
    <row r="1080" spans="2:5" x14ac:dyDescent="0.3">
      <c r="B1080" s="10">
        <v>6.0790204742572247E-2</v>
      </c>
      <c r="C1080" s="10">
        <v>6.6100475876090498E-2</v>
      </c>
      <c r="D1080" s="10">
        <v>5.5190719629472841E-2</v>
      </c>
      <c r="E1080" s="10">
        <v>2.1187101062715898</v>
      </c>
    </row>
    <row r="1081" spans="2:5" x14ac:dyDescent="0.3">
      <c r="B1081" s="10">
        <v>4.9911326630049588E-2</v>
      </c>
      <c r="C1081" s="10">
        <v>1.77615115646753E-2</v>
      </c>
      <c r="D1081" s="10">
        <v>7.3243129557319014E-2</v>
      </c>
      <c r="E1081" s="10">
        <v>1.684350646980967</v>
      </c>
    </row>
    <row r="1082" spans="2:5" x14ac:dyDescent="0.3">
      <c r="B1082" s="10">
        <v>3.9457257339306447E-2</v>
      </c>
      <c r="C1082" s="10">
        <v>-5.2370609078038088E-2</v>
      </c>
      <c r="D1082" s="10">
        <v>0.10712529415034799</v>
      </c>
      <c r="E1082" s="10">
        <v>1.5562299287943151</v>
      </c>
    </row>
    <row r="1083" spans="2:5" x14ac:dyDescent="0.3">
      <c r="B1083" s="10">
        <v>9.0330274415530029E-2</v>
      </c>
      <c r="C1083" s="10">
        <v>0.1001511284277156</v>
      </c>
      <c r="D1083" s="10">
        <v>4.2260067615903688E-2</v>
      </c>
      <c r="E1083" s="10">
        <v>0.41203679050766651</v>
      </c>
    </row>
    <row r="1084" spans="2:5" x14ac:dyDescent="0.3">
      <c r="B1084" s="10">
        <v>0.25940990568029121</v>
      </c>
      <c r="C1084" s="10">
        <v>9.2843994489133178E-2</v>
      </c>
      <c r="D1084" s="10">
        <v>2.052797564388803E-2</v>
      </c>
      <c r="E1084" s="10">
        <v>0.38590536141214549</v>
      </c>
    </row>
    <row r="1085" spans="2:5" x14ac:dyDescent="0.3">
      <c r="B1085" s="10">
        <v>0.21219449723888961</v>
      </c>
      <c r="C1085" s="10">
        <v>6.1308073025822141E-2</v>
      </c>
      <c r="D1085" s="10">
        <v>1.9951461934207E-2</v>
      </c>
      <c r="E1085" s="10">
        <v>0.24365461205745989</v>
      </c>
    </row>
    <row r="1086" spans="2:5" x14ac:dyDescent="0.3">
      <c r="B1086" s="10">
        <v>0.23787950002462499</v>
      </c>
      <c r="C1086" s="10">
        <v>1.635241484963993E-2</v>
      </c>
      <c r="D1086" s="10">
        <v>9.3150650436244053E-3</v>
      </c>
      <c r="E1086" s="10">
        <v>5.1820529057867839</v>
      </c>
    </row>
    <row r="1087" spans="2:5" x14ac:dyDescent="0.3">
      <c r="B1087" s="10">
        <v>0.22845794805239231</v>
      </c>
      <c r="C1087" s="10">
        <v>1.377863033728185E-2</v>
      </c>
      <c r="D1087" s="10">
        <v>1.535575995971507E-2</v>
      </c>
      <c r="E1087" s="10">
        <v>4.2911309461760094</v>
      </c>
    </row>
    <row r="1088" spans="2:5" x14ac:dyDescent="0.3">
      <c r="B1088" s="10">
        <v>0.14274287473659711</v>
      </c>
      <c r="C1088" s="10">
        <v>2.1702698581038411E-2</v>
      </c>
      <c r="D1088" s="10">
        <v>4.4021685223196029E-2</v>
      </c>
      <c r="E1088" s="10">
        <v>1.233853888254729</v>
      </c>
    </row>
    <row r="1089" spans="2:5" x14ac:dyDescent="0.3">
      <c r="B1089" s="10">
        <v>3.9292224787537827E-2</v>
      </c>
      <c r="C1089" s="10">
        <v>0.60494917253681468</v>
      </c>
      <c r="D1089" s="10">
        <v>0.25608613317337742</v>
      </c>
      <c r="E1089" s="10">
        <v>2.0285857864426911</v>
      </c>
    </row>
    <row r="1090" spans="2:5" x14ac:dyDescent="0.3">
      <c r="B1090" s="10">
        <v>7.4150055157487264E-3</v>
      </c>
      <c r="C1090" s="10">
        <v>0.48420742124477922</v>
      </c>
      <c r="D1090" s="10">
        <v>0.18734433100167011</v>
      </c>
      <c r="E1090" s="10">
        <v>1.20602445240873</v>
      </c>
    </row>
    <row r="1091" spans="2:5" x14ac:dyDescent="0.3">
      <c r="B1091" s="10">
        <v>4.5949912623395997E-2</v>
      </c>
      <c r="C1091" s="10">
        <v>0.46033934505720331</v>
      </c>
      <c r="D1091" s="10">
        <v>0.1957131263184945</v>
      </c>
      <c r="E1091" s="10">
        <v>1.1465707410882711</v>
      </c>
    </row>
    <row r="1092" spans="2:5" x14ac:dyDescent="0.3">
      <c r="B1092" s="10">
        <v>0.1027470807229424</v>
      </c>
      <c r="C1092" s="10">
        <v>0.39019018661348542</v>
      </c>
      <c r="D1092" s="10">
        <v>0.1793284401823278</v>
      </c>
      <c r="E1092" s="10">
        <v>0.83817243644001638</v>
      </c>
    </row>
    <row r="1093" spans="2:5" x14ac:dyDescent="0.3">
      <c r="B1093" s="10">
        <v>0.24017715845056031</v>
      </c>
      <c r="C1093" s="10">
        <v>-0.31651298242287951</v>
      </c>
      <c r="D1093" s="10">
        <v>3.1047844416518151E-3</v>
      </c>
      <c r="E1093" s="10">
        <v>1.5854971960697779</v>
      </c>
    </row>
    <row r="1094" spans="2:5" x14ac:dyDescent="0.3">
      <c r="B1094" s="10">
        <v>0.24224054794072769</v>
      </c>
      <c r="C1094" s="10">
        <v>-0.33375573890285631</v>
      </c>
      <c r="D1094" s="10">
        <v>-7.0823825216847699E-2</v>
      </c>
      <c r="E1094" s="10">
        <v>1.770807417381939</v>
      </c>
    </row>
    <row r="1095" spans="2:5" x14ac:dyDescent="0.3">
      <c r="B1095" s="10">
        <v>0.53454382440999859</v>
      </c>
      <c r="C1095" s="10">
        <v>-0.23168710944835061</v>
      </c>
      <c r="D1095" s="10">
        <v>-3.22187180883148E-2</v>
      </c>
      <c r="E1095" s="10">
        <v>1.603905468438287</v>
      </c>
    </row>
    <row r="1096" spans="2:5" x14ac:dyDescent="0.3">
      <c r="B1096" s="10">
        <v>0.27737668132153309</v>
      </c>
      <c r="C1096" s="10">
        <v>0.17118744536324429</v>
      </c>
      <c r="D1096" s="10">
        <v>0.15911100401604211</v>
      </c>
      <c r="E1096" s="10">
        <v>2.1574657296592479</v>
      </c>
    </row>
    <row r="1097" spans="2:5" x14ac:dyDescent="0.3">
      <c r="B1097" s="10">
        <v>0.2636742851455019</v>
      </c>
      <c r="C1097" s="10">
        <v>0.1201535814975157</v>
      </c>
      <c r="D1097" s="10">
        <v>0.13687423164334631</v>
      </c>
      <c r="E1097" s="10">
        <v>1.616577568218921</v>
      </c>
    </row>
    <row r="1098" spans="2:5" x14ac:dyDescent="0.3">
      <c r="B1098" s="10">
        <v>0.28506024433951888</v>
      </c>
      <c r="C1098" s="10">
        <v>8.8264074049042296E-2</v>
      </c>
      <c r="D1098" s="10">
        <v>0.19206233171761261</v>
      </c>
      <c r="E1098" s="10">
        <v>1.150589677890637</v>
      </c>
    </row>
    <row r="1099" spans="2:5" x14ac:dyDescent="0.3">
      <c r="B1099" s="10">
        <v>0.1579371666335436</v>
      </c>
      <c r="C1099" s="10">
        <v>-4.3516571766002092E-2</v>
      </c>
      <c r="D1099" s="10">
        <v>0.11283472680364789</v>
      </c>
      <c r="E1099" s="10">
        <v>0.68674602785700778</v>
      </c>
    </row>
    <row r="1100" spans="2:5" x14ac:dyDescent="0.3">
      <c r="B1100" s="10">
        <v>0.51947942832448524</v>
      </c>
      <c r="C1100" s="10">
        <v>-0.11266920006875911</v>
      </c>
      <c r="D1100" s="10">
        <v>-0.22610706750710299</v>
      </c>
      <c r="E1100" s="10">
        <v>1.6159172409918019</v>
      </c>
    </row>
    <row r="1101" spans="2:5" x14ac:dyDescent="0.3">
      <c r="B1101" s="10">
        <v>0.58414924277388824</v>
      </c>
      <c r="C1101" s="10">
        <v>7.510074217359114E-2</v>
      </c>
      <c r="D1101" s="10">
        <v>6.4895208029493168E-2</v>
      </c>
      <c r="E1101" s="10">
        <v>2.13462867473734</v>
      </c>
    </row>
    <row r="1102" spans="2:5" x14ac:dyDescent="0.3">
      <c r="B1102" s="10">
        <v>0.61920982632024812</v>
      </c>
      <c r="C1102" s="10">
        <v>5.8949472623379837E-2</v>
      </c>
      <c r="D1102" s="10">
        <v>5.167690580462031E-2</v>
      </c>
      <c r="E1102" s="10">
        <v>1.982353026895781</v>
      </c>
    </row>
    <row r="1103" spans="2:5" x14ac:dyDescent="0.3">
      <c r="B1103" s="10">
        <v>0.47117526141687333</v>
      </c>
      <c r="C1103" s="10">
        <v>5.4057013831880073E-2</v>
      </c>
      <c r="D1103" s="10">
        <v>0.13222508359329721</v>
      </c>
      <c r="E1103" s="10">
        <v>1.272705391524656</v>
      </c>
    </row>
    <row r="1104" spans="2:5" x14ac:dyDescent="0.3">
      <c r="B1104" s="10">
        <v>5.5002077452937732E-2</v>
      </c>
      <c r="C1104" s="10">
        <v>0.27344490571123747</v>
      </c>
      <c r="D1104" s="10">
        <v>8.4755438922468479E-2</v>
      </c>
      <c r="E1104" s="10">
        <v>1.251888022747035</v>
      </c>
    </row>
    <row r="1105" spans="2:5" x14ac:dyDescent="0.3">
      <c r="B1105" s="10">
        <v>0.22773261489388311</v>
      </c>
      <c r="C1105" s="10">
        <v>0.32444587385368312</v>
      </c>
      <c r="D1105" s="10">
        <v>7.3253384950301217E-2</v>
      </c>
      <c r="E1105" s="10">
        <v>2.8042195789820652</v>
      </c>
    </row>
    <row r="1106" spans="2:5" x14ac:dyDescent="0.3">
      <c r="B1106" s="10">
        <v>0.24473850418603099</v>
      </c>
      <c r="C1106" s="10">
        <v>0.29332099893094238</v>
      </c>
      <c r="D1106" s="10">
        <v>0.1032002770751102</v>
      </c>
      <c r="E1106" s="10">
        <v>2.5165776784280931</v>
      </c>
    </row>
    <row r="1107" spans="2:5" x14ac:dyDescent="0.3">
      <c r="B1107" s="10">
        <v>0.19763595919944679</v>
      </c>
      <c r="C1107" s="10">
        <v>0.24128898316156741</v>
      </c>
      <c r="D1107" s="10">
        <v>0.10506824066518319</v>
      </c>
      <c r="E1107" s="10">
        <v>2.0787488622724291</v>
      </c>
    </row>
    <row r="1108" spans="2:5" x14ac:dyDescent="0.3">
      <c r="B1108" s="10">
        <v>0.17991141764777319</v>
      </c>
      <c r="C1108" s="10">
        <v>0.18690051970239799</v>
      </c>
      <c r="D1108" s="10">
        <v>1.667425591287185E-3</v>
      </c>
      <c r="E1108" s="10">
        <v>0.30493159633077882</v>
      </c>
    </row>
    <row r="1109" spans="2:5" x14ac:dyDescent="0.3">
      <c r="B1109" s="10">
        <v>0.15994592338943689</v>
      </c>
      <c r="C1109" s="10">
        <v>0.24337397866417629</v>
      </c>
      <c r="D1109" s="10">
        <v>0.22490451045829959</v>
      </c>
      <c r="E1109" s="10">
        <v>0.40911744980050102</v>
      </c>
    </row>
    <row r="1110" spans="2:5" x14ac:dyDescent="0.3">
      <c r="B1110" s="10">
        <v>0.27769848123650898</v>
      </c>
      <c r="C1110" s="10">
        <v>4.8201063376666513E-2</v>
      </c>
      <c r="D1110" s="10">
        <v>0.11326612789579781</v>
      </c>
      <c r="E1110" s="10">
        <v>0.60395778343903272</v>
      </c>
    </row>
    <row r="1111" spans="2:5" x14ac:dyDescent="0.3">
      <c r="B1111" s="10">
        <v>7.4480424625095493E-2</v>
      </c>
      <c r="C1111" s="10">
        <v>0.31886840794616012</v>
      </c>
      <c r="D1111" s="10">
        <v>0.11145464968192099</v>
      </c>
      <c r="E1111" s="10">
        <v>1.3672740667618251</v>
      </c>
    </row>
    <row r="1112" spans="2:5" x14ac:dyDescent="0.3">
      <c r="B1112" s="10">
        <v>0.1156904787091402</v>
      </c>
      <c r="C1112" s="10">
        <v>0.35492378678346098</v>
      </c>
      <c r="D1112" s="10">
        <v>0.14195990242271619</v>
      </c>
      <c r="E1112" s="10">
        <v>1.600872145232876</v>
      </c>
    </row>
    <row r="1113" spans="2:5" x14ac:dyDescent="0.3">
      <c r="B1113" s="10">
        <v>0.1257368923769436</v>
      </c>
      <c r="C1113" s="10">
        <v>0.357244662177785</v>
      </c>
      <c r="D1113" s="10">
        <v>0.123965353672918</v>
      </c>
      <c r="E1113" s="10">
        <v>1.544008749507821</v>
      </c>
    </row>
    <row r="1114" spans="2:5" x14ac:dyDescent="0.3">
      <c r="B1114" s="10">
        <v>0.16300296126781591</v>
      </c>
      <c r="C1114" s="10">
        <v>0.41123606367990578</v>
      </c>
      <c r="D1114" s="10">
        <v>0.15089366140306781</v>
      </c>
      <c r="E1114" s="10">
        <v>1.850091267210654</v>
      </c>
    </row>
    <row r="1115" spans="2:5" x14ac:dyDescent="0.3">
      <c r="B1115" s="10">
        <v>0.36012051017748392</v>
      </c>
      <c r="C1115" s="10">
        <v>0.30271698718510559</v>
      </c>
      <c r="D1115" s="10">
        <v>0.12905730912407781</v>
      </c>
      <c r="E1115" s="10">
        <v>1.4231323047427109</v>
      </c>
    </row>
    <row r="1116" spans="2:5" x14ac:dyDescent="0.3">
      <c r="B1116" s="10">
        <v>0.40694700664195871</v>
      </c>
      <c r="C1116" s="10">
        <v>0.32295423605237228</v>
      </c>
      <c r="D1116" s="10">
        <v>0.2115800957228543</v>
      </c>
      <c r="E1116" s="10">
        <v>1.228653601963384</v>
      </c>
    </row>
    <row r="1117" spans="2:5" x14ac:dyDescent="0.3">
      <c r="B1117" s="10">
        <v>0.36701744000662168</v>
      </c>
      <c r="C1117" s="10">
        <v>0.26551991580336498</v>
      </c>
      <c r="D1117" s="10">
        <v>0.21575359077882519</v>
      </c>
      <c r="E1117" s="10">
        <v>0.94541203003306706</v>
      </c>
    </row>
    <row r="1118" spans="2:5" x14ac:dyDescent="0.3">
      <c r="B1118" s="10">
        <v>0.2415643133492483</v>
      </c>
      <c r="C1118" s="10">
        <v>0.15791039878972921</v>
      </c>
      <c r="D1118" s="10">
        <v>0.16473417031339749</v>
      </c>
      <c r="E1118" s="10">
        <v>0.54840469693698335</v>
      </c>
    </row>
    <row r="1119" spans="2:5" x14ac:dyDescent="0.3">
      <c r="B1119" s="10">
        <v>0.37782944622279208</v>
      </c>
      <c r="C1119" s="10">
        <v>0.43244565415089542</v>
      </c>
      <c r="D1119" s="10">
        <v>6.2921185957415748E-2</v>
      </c>
      <c r="E1119" s="10">
        <v>21.73188691820944</v>
      </c>
    </row>
    <row r="1120" spans="2:5" x14ac:dyDescent="0.3">
      <c r="B1120" s="10">
        <v>0.33885528654799191</v>
      </c>
      <c r="C1120" s="10">
        <v>0.40675564233996331</v>
      </c>
      <c r="D1120" s="10">
        <v>6.0744078465240603E-2</v>
      </c>
      <c r="E1120" s="10">
        <v>16.227048631920301</v>
      </c>
    </row>
    <row r="1121" spans="2:5" x14ac:dyDescent="0.3">
      <c r="B1121" s="10">
        <v>0.32463214368188609</v>
      </c>
      <c r="C1121" s="10">
        <v>0.39278421798541102</v>
      </c>
      <c r="D1121" s="10">
        <v>4.7234731305624243E-2</v>
      </c>
      <c r="E1121" s="10">
        <v>12.608897167025169</v>
      </c>
    </row>
    <row r="1122" spans="2:5" x14ac:dyDescent="0.3">
      <c r="B1122" s="10">
        <v>0.30171546291293649</v>
      </c>
      <c r="C1122" s="10">
        <v>0.36856954125337038</v>
      </c>
      <c r="D1122" s="10">
        <v>2.0813957112320449E-2</v>
      </c>
      <c r="E1122" s="10">
        <v>11.93211950471628</v>
      </c>
    </row>
    <row r="1123" spans="2:5" x14ac:dyDescent="0.3">
      <c r="B1123" s="10">
        <v>0.21164007406025659</v>
      </c>
      <c r="C1123" s="10">
        <v>0.43108002800651929</v>
      </c>
      <c r="D1123" s="10">
        <v>0.10673519844008431</v>
      </c>
      <c r="E1123" s="10">
        <v>1.0239960627681239</v>
      </c>
    </row>
    <row r="1124" spans="2:5" x14ac:dyDescent="0.3">
      <c r="B1124" s="10">
        <v>4.3380188147445362E-2</v>
      </c>
      <c r="C1124" s="10">
        <v>0.42319187625223648</v>
      </c>
      <c r="D1124" s="10">
        <v>0.13552498885525249</v>
      </c>
      <c r="E1124" s="10">
        <v>1.283167246580895</v>
      </c>
    </row>
    <row r="1125" spans="2:5" x14ac:dyDescent="0.3">
      <c r="B1125" s="10">
        <v>3.0392053346137531E-2</v>
      </c>
      <c r="C1125" s="10">
        <v>0.39682939206655687</v>
      </c>
      <c r="D1125" s="10">
        <v>9.3032523459322156E-2</v>
      </c>
      <c r="E1125" s="10">
        <v>1.1482542963685309</v>
      </c>
    </row>
    <row r="1126" spans="2:5" x14ac:dyDescent="0.3">
      <c r="B1126" s="10">
        <v>4.2890636730299539E-2</v>
      </c>
      <c r="C1126" s="10">
        <v>0.37737442008083771</v>
      </c>
      <c r="D1126" s="10">
        <v>0.15744962676841051</v>
      </c>
      <c r="E1126" s="10">
        <v>1.017507635453879</v>
      </c>
    </row>
    <row r="1127" spans="2:5" x14ac:dyDescent="0.3">
      <c r="B1127" s="10">
        <v>0.39981612629434732</v>
      </c>
      <c r="C1127" s="10">
        <v>0.25673332201663562</v>
      </c>
      <c r="D1127" s="10">
        <v>0.42805581395348841</v>
      </c>
      <c r="E1127" s="10">
        <v>5.5578894309464397</v>
      </c>
    </row>
    <row r="1128" spans="2:5" x14ac:dyDescent="0.3">
      <c r="B1128" s="10">
        <v>0.45492527842116948</v>
      </c>
      <c r="C1128" s="10">
        <v>0.25714503283941997</v>
      </c>
      <c r="D1128" s="10">
        <v>0.38365022051591202</v>
      </c>
      <c r="E1128" s="10">
        <v>7.7201940763334447</v>
      </c>
    </row>
    <row r="1129" spans="2:5" x14ac:dyDescent="0.3">
      <c r="B1129" s="10">
        <v>0.41246781432470098</v>
      </c>
      <c r="C1129" s="10">
        <v>0.23418680311491019</v>
      </c>
      <c r="D1129" s="10">
        <v>0.31358858777815651</v>
      </c>
      <c r="E1129" s="10">
        <v>6.7079413192277597</v>
      </c>
    </row>
    <row r="1130" spans="2:5" x14ac:dyDescent="0.3">
      <c r="B1130" s="10">
        <v>0.40505144995322728</v>
      </c>
      <c r="C1130" s="10">
        <v>0.25252986567002539</v>
      </c>
      <c r="D1130" s="10">
        <v>0.34803728682166751</v>
      </c>
      <c r="E1130" s="10">
        <v>6.0862306347412263</v>
      </c>
    </row>
    <row r="1131" spans="2:5" x14ac:dyDescent="0.3">
      <c r="B1131" s="10">
        <v>7.8884126779079425E-2</v>
      </c>
      <c r="C1131" s="10">
        <v>0.36668689156870521</v>
      </c>
      <c r="D1131" s="10">
        <v>0.1038240049245481</v>
      </c>
      <c r="E1131" s="10">
        <v>1.3830494318282911</v>
      </c>
    </row>
    <row r="1132" spans="2:5" x14ac:dyDescent="0.3">
      <c r="B1132" s="10">
        <v>0.1198262051729243</v>
      </c>
      <c r="C1132" s="10">
        <v>0.3612994196252351</v>
      </c>
      <c r="D1132" s="10">
        <v>9.507684327051652E-2</v>
      </c>
      <c r="E1132" s="10">
        <v>1.4120532165183031</v>
      </c>
    </row>
    <row r="1133" spans="2:5" x14ac:dyDescent="0.3">
      <c r="B1133" s="10">
        <v>1.3874675253883979E-2</v>
      </c>
      <c r="C1133" s="10">
        <v>0.34488032523151618</v>
      </c>
      <c r="D1133" s="10">
        <v>5.9956813525604148E-2</v>
      </c>
      <c r="E1133" s="10">
        <v>1.3043620752205221</v>
      </c>
    </row>
    <row r="1134" spans="2:5" x14ac:dyDescent="0.3">
      <c r="B1134" s="10">
        <v>2.7193276585844341E-2</v>
      </c>
      <c r="C1134" s="10">
        <v>0.32053581913988449</v>
      </c>
      <c r="D1134" s="10">
        <v>8.3288767302906117E-2</v>
      </c>
      <c r="E1134" s="10">
        <v>1.1262238974309771</v>
      </c>
    </row>
    <row r="1135" spans="2:5" x14ac:dyDescent="0.3">
      <c r="B1135" s="10">
        <v>3.9374025468925052E-2</v>
      </c>
      <c r="C1135" s="10">
        <v>1.385994047160179E-2</v>
      </c>
      <c r="D1135" s="10">
        <v>3.8099173307779392E-2</v>
      </c>
      <c r="E1135" s="10">
        <v>0.93444786426674775</v>
      </c>
    </row>
    <row r="1136" spans="2:5" x14ac:dyDescent="0.3">
      <c r="B1136" s="10">
        <v>0.17716317246580091</v>
      </c>
      <c r="C1136" s="10">
        <v>0.14274137884903151</v>
      </c>
      <c r="D1136" s="10">
        <v>6.2726130721646192E-2</v>
      </c>
      <c r="E1136" s="10">
        <v>0.78664415873908655</v>
      </c>
    </row>
    <row r="1137" spans="2:5" x14ac:dyDescent="0.3">
      <c r="B1137" s="10">
        <v>0.1710624022747472</v>
      </c>
      <c r="C1137" s="10">
        <v>0.14132840495455329</v>
      </c>
      <c r="D1137" s="10">
        <v>-3.3262124854942191E-2</v>
      </c>
      <c r="E1137" s="10">
        <v>1.0855318964663829</v>
      </c>
    </row>
    <row r="1138" spans="2:5" x14ac:dyDescent="0.3">
      <c r="B1138" s="10">
        <v>0.2109648870431087</v>
      </c>
      <c r="C1138" s="10">
        <v>0.18017300549220391</v>
      </c>
      <c r="D1138" s="10">
        <v>3.1712415192000562E-2</v>
      </c>
      <c r="E1138" s="10">
        <v>1.2924448687066119</v>
      </c>
    </row>
    <row r="1139" spans="2:5" x14ac:dyDescent="0.3">
      <c r="B1139" s="10">
        <v>0.18969847286980171</v>
      </c>
      <c r="C1139" s="10">
        <v>0.16698072103270281</v>
      </c>
      <c r="D1139" s="10">
        <v>7.720036035077113E-2</v>
      </c>
      <c r="E1139" s="10">
        <v>1.040831931723349</v>
      </c>
    </row>
    <row r="1140" spans="2:5" x14ac:dyDescent="0.3">
      <c r="B1140" s="10">
        <v>0.19049530395190489</v>
      </c>
      <c r="C1140" s="10">
        <v>0.2810687920465067</v>
      </c>
      <c r="D1140" s="10">
        <v>9.9824525191009331E-2</v>
      </c>
      <c r="E1140" s="10">
        <v>0.93939868194257914</v>
      </c>
    </row>
    <row r="1141" spans="2:5" x14ac:dyDescent="0.3">
      <c r="B1141" s="10">
        <v>0.23742421870587649</v>
      </c>
      <c r="C1141" s="10">
        <v>0.29201140956044758</v>
      </c>
      <c r="D1141" s="10">
        <v>0.1059698556356955</v>
      </c>
      <c r="E1141" s="10">
        <v>1.1582796608013119</v>
      </c>
    </row>
    <row r="1142" spans="2:5" x14ac:dyDescent="0.3">
      <c r="B1142" s="10">
        <v>0.30189296076120448</v>
      </c>
      <c r="C1142" s="10">
        <v>0.27891732371377881</v>
      </c>
      <c r="D1142" s="10">
        <v>8.4190009544015162E-2</v>
      </c>
      <c r="E1142" s="10">
        <v>1.32184370144498</v>
      </c>
    </row>
    <row r="1143" spans="2:5" x14ac:dyDescent="0.3">
      <c r="B1143" s="10">
        <v>0.20335936026714529</v>
      </c>
      <c r="C1143" s="10">
        <v>0.28063340116378171</v>
      </c>
      <c r="D1143" s="10">
        <v>9.6513854077052194E-2</v>
      </c>
      <c r="E1143" s="10">
        <v>1.3258162256840731</v>
      </c>
    </row>
    <row r="1144" spans="2:5" x14ac:dyDescent="0.3">
      <c r="B1144" s="10">
        <v>0.19439988616678189</v>
      </c>
      <c r="C1144" s="10">
        <v>0.42956529807087468</v>
      </c>
      <c r="D1144" s="10">
        <v>9.5794980215239814E-2</v>
      </c>
      <c r="E1144" s="10">
        <v>0.98472752536306074</v>
      </c>
    </row>
    <row r="1145" spans="2:5" x14ac:dyDescent="0.3">
      <c r="B1145" s="10">
        <v>0.2442099355546388</v>
      </c>
      <c r="C1145" s="10">
        <v>0.37342373285445468</v>
      </c>
      <c r="D1145" s="10">
        <v>6.0937595508238768E-2</v>
      </c>
      <c r="E1145" s="10">
        <v>0.78072205212448498</v>
      </c>
    </row>
    <row r="1146" spans="2:5" x14ac:dyDescent="0.3">
      <c r="B1146" s="10">
        <v>0.22448495598652879</v>
      </c>
      <c r="C1146" s="10">
        <v>0.40784530043700118</v>
      </c>
      <c r="D1146" s="10">
        <v>5.9372959200720367E-2</v>
      </c>
      <c r="E1146" s="10">
        <v>0.92319131003414956</v>
      </c>
    </row>
    <row r="1147" spans="2:5" x14ac:dyDescent="0.3">
      <c r="B1147" s="10">
        <v>0.27239517066504881</v>
      </c>
      <c r="C1147" s="10">
        <v>0.3835852760935507</v>
      </c>
      <c r="D1147" s="10">
        <v>0.19064154501836511</v>
      </c>
      <c r="E1147" s="10">
        <v>0.82364633836724521</v>
      </c>
    </row>
    <row r="1148" spans="2:5" x14ac:dyDescent="0.3">
      <c r="B1148" s="10">
        <v>5.7687976069566042E-2</v>
      </c>
      <c r="C1148" s="10">
        <v>3.6023465225694891E-2</v>
      </c>
      <c r="D1148" s="10">
        <v>6.021123144831303E-2</v>
      </c>
      <c r="E1148" s="10">
        <v>2.5094421947314518</v>
      </c>
    </row>
    <row r="1149" spans="2:5" x14ac:dyDescent="0.3">
      <c r="B1149" s="10">
        <v>3.6391815256500953E-2</v>
      </c>
      <c r="C1149" s="10">
        <v>2.633705207407136E-2</v>
      </c>
      <c r="D1149" s="10">
        <v>5.1072104825791907E-2</v>
      </c>
      <c r="E1149" s="10">
        <v>1.993525344255366</v>
      </c>
    </row>
    <row r="1150" spans="2:5" x14ac:dyDescent="0.3">
      <c r="B1150" s="10">
        <v>1.7574164260249839E-2</v>
      </c>
      <c r="C1150" s="10">
        <v>2.2628127065588359E-2</v>
      </c>
      <c r="D1150" s="10">
        <v>5.3779019152595628E-2</v>
      </c>
      <c r="E1150" s="10">
        <v>1.866494365667241</v>
      </c>
    </row>
    <row r="1151" spans="2:5" x14ac:dyDescent="0.3">
      <c r="B1151" s="10">
        <v>7.6707524834776608E-2</v>
      </c>
      <c r="C1151" s="10">
        <v>-3.7970146544783451E-2</v>
      </c>
      <c r="D1151" s="10">
        <v>5.0494072144372029E-2</v>
      </c>
      <c r="E1151" s="10">
        <v>1.4187033788906349</v>
      </c>
    </row>
    <row r="1152" spans="2:5" x14ac:dyDescent="0.3">
      <c r="B1152" s="10">
        <v>2.0810846998051059E-2</v>
      </c>
      <c r="C1152" s="10">
        <v>0.44961306916907751</v>
      </c>
      <c r="D1152" s="10">
        <v>1.833921119019823E-2</v>
      </c>
      <c r="E1152" s="10">
        <v>1.5066067954015341</v>
      </c>
    </row>
    <row r="1153" spans="2:5" x14ac:dyDescent="0.3">
      <c r="B1153" s="10">
        <v>4.2602788650543948E-2</v>
      </c>
      <c r="C1153" s="10">
        <v>0.45043083221425012</v>
      </c>
      <c r="D1153" s="10">
        <v>3.1299396483439899E-2</v>
      </c>
      <c r="E1153" s="10">
        <v>1.5258912654247101</v>
      </c>
    </row>
    <row r="1154" spans="2:5" x14ac:dyDescent="0.3">
      <c r="B1154" s="10">
        <v>4.4870303881804532E-2</v>
      </c>
      <c r="C1154" s="10">
        <v>0.42204980121798041</v>
      </c>
      <c r="D1154" s="10">
        <v>5.6382194742348832E-2</v>
      </c>
      <c r="E1154" s="10">
        <v>1.271665474264168</v>
      </c>
    </row>
    <row r="1155" spans="2:5" x14ac:dyDescent="0.3">
      <c r="B1155" s="10">
        <v>7.0129594484629534E-2</v>
      </c>
      <c r="C1155" s="10">
        <v>0.41004364849899011</v>
      </c>
      <c r="D1155" s="10">
        <v>5.6266373249801362E-2</v>
      </c>
      <c r="E1155" s="10">
        <v>1.1967366665087751</v>
      </c>
    </row>
    <row r="1156" spans="2:5" x14ac:dyDescent="0.3">
      <c r="B1156" s="10">
        <v>0.59924043199582899</v>
      </c>
      <c r="C1156" s="10">
        <v>0.68055960666238247</v>
      </c>
      <c r="D1156" s="10">
        <v>0.29997242019384113</v>
      </c>
      <c r="E1156" s="10">
        <v>4.4469017248707399</v>
      </c>
    </row>
    <row r="1157" spans="2:5" x14ac:dyDescent="0.3">
      <c r="B1157" s="10">
        <v>0.5702157097417998</v>
      </c>
      <c r="C1157" s="10">
        <v>0.64898440532810742</v>
      </c>
      <c r="D1157" s="10">
        <v>0.28656959724928133</v>
      </c>
      <c r="E1157" s="10">
        <v>3.3456572928268349</v>
      </c>
    </row>
    <row r="1158" spans="2:5" x14ac:dyDescent="0.3">
      <c r="B1158" s="10">
        <v>0.58275813074303662</v>
      </c>
      <c r="C1158" s="10">
        <v>0.64739678060886263</v>
      </c>
      <c r="D1158" s="10">
        <v>0.28828818227264619</v>
      </c>
      <c r="E1158" s="10">
        <v>3.4066704811048081</v>
      </c>
    </row>
    <row r="1159" spans="2:5" x14ac:dyDescent="0.3">
      <c r="B1159" s="10">
        <v>0.55213608832119665</v>
      </c>
      <c r="C1159" s="10">
        <v>0.59772186088924406</v>
      </c>
      <c r="D1159" s="10">
        <v>0.27061830619371491</v>
      </c>
      <c r="E1159" s="10">
        <v>2.7355932745564209</v>
      </c>
    </row>
    <row r="1160" spans="2:5" x14ac:dyDescent="0.3">
      <c r="B1160" s="10">
        <v>0.21285628387304559</v>
      </c>
      <c r="C1160" s="10">
        <v>0.20045354562396281</v>
      </c>
      <c r="D1160" s="10">
        <v>4.8189083278152363E-2</v>
      </c>
      <c r="E1160" s="10">
        <v>2.1247714357469629</v>
      </c>
    </row>
    <row r="1161" spans="2:5" x14ac:dyDescent="0.3">
      <c r="B1161" s="10">
        <v>0.27324997973919329</v>
      </c>
      <c r="C1161" s="10">
        <v>0.30335174295763029</v>
      </c>
      <c r="D1161" s="10">
        <v>4.9919579232731798E-2</v>
      </c>
      <c r="E1161" s="10">
        <v>2.3657439671225928</v>
      </c>
    </row>
    <row r="1162" spans="2:5" x14ac:dyDescent="0.3">
      <c r="B1162" s="10">
        <v>0.26950276577217852</v>
      </c>
      <c r="C1162" s="10">
        <v>0.29765101736087052</v>
      </c>
      <c r="D1162" s="10">
        <v>8.2471473827521832E-2</v>
      </c>
      <c r="E1162" s="10">
        <v>2.3559275028177411</v>
      </c>
    </row>
    <row r="1163" spans="2:5" x14ac:dyDescent="0.3">
      <c r="B1163" s="10">
        <v>0.30733082608608658</v>
      </c>
      <c r="C1163" s="10">
        <v>0.25605041689103131</v>
      </c>
      <c r="D1163" s="10">
        <v>0.14320135462267269</v>
      </c>
      <c r="E1163" s="10">
        <v>1.963769229081735</v>
      </c>
    </row>
    <row r="1164" spans="2:5" x14ac:dyDescent="0.3">
      <c r="B1164" s="10">
        <v>0.2002266374483036</v>
      </c>
      <c r="C1164" s="10">
        <v>0.21890744551932731</v>
      </c>
      <c r="D1164" s="10">
        <v>0.11440241678068851</v>
      </c>
      <c r="E1164" s="10">
        <v>1.893993168648068</v>
      </c>
    </row>
    <row r="1165" spans="2:5" x14ac:dyDescent="0.3">
      <c r="B1165" s="10">
        <v>0.17157192914624811</v>
      </c>
      <c r="C1165" s="10">
        <v>0.19162998432762529</v>
      </c>
      <c r="D1165" s="10">
        <v>0.11624012312771941</v>
      </c>
      <c r="E1165" s="10">
        <v>1.5536206710389211</v>
      </c>
    </row>
    <row r="1166" spans="2:5" x14ac:dyDescent="0.3">
      <c r="B1166" s="10">
        <v>0.14802001008763649</v>
      </c>
      <c r="C1166" s="10">
        <v>0.1630716875567971</v>
      </c>
      <c r="D1166" s="10">
        <v>0.1081588508955101</v>
      </c>
      <c r="E1166" s="10">
        <v>1.495398562616302</v>
      </c>
    </row>
    <row r="1167" spans="2:5" x14ac:dyDescent="0.3">
      <c r="B1167" s="10">
        <v>0.12340010433641679</v>
      </c>
      <c r="C1167" s="10">
        <v>0.13117107002520381</v>
      </c>
      <c r="D1167" s="10">
        <v>9.5123896746258374E-2</v>
      </c>
      <c r="E1167" s="10">
        <v>1.3765195581316181</v>
      </c>
    </row>
    <row r="1168" spans="2:5" x14ac:dyDescent="0.3">
      <c r="B1168" s="10">
        <v>0.40006378936821052</v>
      </c>
      <c r="C1168" s="10">
        <v>0.32583956503831341</v>
      </c>
      <c r="D1168" s="10">
        <v>0.1149559792584583</v>
      </c>
      <c r="E1168" s="10">
        <v>3.3381581795099771</v>
      </c>
    </row>
    <row r="1169" spans="2:5" x14ac:dyDescent="0.3">
      <c r="B1169" s="10">
        <v>0.31718560692834308</v>
      </c>
      <c r="C1169" s="10">
        <v>0.23925553128536509</v>
      </c>
      <c r="D1169" s="10">
        <v>4.0533264912086898E-2</v>
      </c>
      <c r="E1169" s="10">
        <v>1.8609475138638021</v>
      </c>
    </row>
    <row r="1170" spans="2:5" x14ac:dyDescent="0.3">
      <c r="B1170" s="10">
        <v>0.41335627767977018</v>
      </c>
      <c r="C1170" s="10">
        <v>0.27160133518871499</v>
      </c>
      <c r="D1170" s="10">
        <v>9.4226423073111118E-2</v>
      </c>
      <c r="E1170" s="10">
        <v>3.142658351156896</v>
      </c>
    </row>
    <row r="1171" spans="2:5" x14ac:dyDescent="0.3">
      <c r="B1171" s="10">
        <v>0.39596232590769798</v>
      </c>
      <c r="C1171" s="10">
        <v>0.23062145258959341</v>
      </c>
      <c r="D1171" s="10">
        <v>6.6309974242241929E-2</v>
      </c>
      <c r="E1171" s="10">
        <v>3.016323719826977</v>
      </c>
    </row>
    <row r="1172" spans="2:5" x14ac:dyDescent="0.3">
      <c r="B1172" s="10">
        <v>9.4810913343367775E-2</v>
      </c>
      <c r="C1172" s="10">
        <v>0.19289087517337661</v>
      </c>
      <c r="D1172" s="10">
        <v>0.1857585565004905</v>
      </c>
      <c r="E1172" s="10">
        <v>0.21402115351826309</v>
      </c>
    </row>
    <row r="1173" spans="2:5" x14ac:dyDescent="0.3">
      <c r="B1173" s="10">
        <v>3.8855827248742612E-2</v>
      </c>
      <c r="C1173" s="10">
        <v>0.19211739532650471</v>
      </c>
      <c r="D1173" s="10">
        <v>0.15138383199784869</v>
      </c>
      <c r="E1173" s="10">
        <v>0.29176356379436458</v>
      </c>
    </row>
    <row r="1174" spans="2:5" x14ac:dyDescent="0.3">
      <c r="B1174" s="10">
        <v>1.9428545177006529E-2</v>
      </c>
      <c r="C1174" s="10">
        <v>0.16572584198843271</v>
      </c>
      <c r="D1174" s="10">
        <v>0.10000047948779189</v>
      </c>
      <c r="E1174" s="10">
        <v>0.1766176667950273</v>
      </c>
    </row>
    <row r="1175" spans="2:5" x14ac:dyDescent="0.3">
      <c r="B1175" s="10">
        <v>4.1902381305090573E-2</v>
      </c>
      <c r="C1175" s="10">
        <v>0.32476998044825678</v>
      </c>
      <c r="D1175" s="10">
        <v>0.22951191469648069</v>
      </c>
      <c r="E1175" s="10">
        <v>0.220653607315762</v>
      </c>
    </row>
    <row r="1176" spans="2:5" x14ac:dyDescent="0.3">
      <c r="B1176" s="10">
        <v>0.1724291443689914</v>
      </c>
      <c r="C1176" s="10">
        <v>-0.31413737691181959</v>
      </c>
      <c r="D1176" s="10">
        <v>-2.723229327436778E-2</v>
      </c>
      <c r="E1176" s="10">
        <v>1.2545904009923781</v>
      </c>
    </row>
    <row r="1177" spans="2:5" x14ac:dyDescent="0.3">
      <c r="B1177" s="10">
        <v>0.15794440413528851</v>
      </c>
      <c r="C1177" s="10">
        <v>-0.28707008162020692</v>
      </c>
      <c r="D1177" s="10">
        <v>-1.4250341433295311E-2</v>
      </c>
      <c r="E1177" s="10">
        <v>1.172950849725082</v>
      </c>
    </row>
    <row r="1178" spans="2:5" x14ac:dyDescent="0.3">
      <c r="B1178" s="10">
        <v>0.28220364842398898</v>
      </c>
      <c r="C1178" s="10">
        <v>0.41066395309999748</v>
      </c>
      <c r="D1178" s="10">
        <v>0.25408932977259618</v>
      </c>
      <c r="E1178" s="10">
        <v>2.525599976878901</v>
      </c>
    </row>
    <row r="1179" spans="2:5" x14ac:dyDescent="0.3">
      <c r="B1179" s="10">
        <v>0.14817676152944129</v>
      </c>
      <c r="C1179" s="10">
        <v>0.36129246473774168</v>
      </c>
      <c r="D1179" s="10">
        <v>0.2374487242594514</v>
      </c>
      <c r="E1179" s="10">
        <v>2.5045218002201022</v>
      </c>
    </row>
    <row r="1180" spans="2:5" x14ac:dyDescent="0.3">
      <c r="B1180" s="10">
        <v>0.1215291409594407</v>
      </c>
      <c r="C1180" s="10">
        <v>0.2892702962044183</v>
      </c>
      <c r="D1180" s="10">
        <v>0.16709950049115699</v>
      </c>
      <c r="E1180" s="10">
        <v>2.3809260793028968</v>
      </c>
    </row>
    <row r="1181" spans="2:5" x14ac:dyDescent="0.3">
      <c r="B1181" s="10">
        <v>0.20097065350405141</v>
      </c>
      <c r="C1181" s="10">
        <v>0.2498989259122302</v>
      </c>
      <c r="D1181" s="10">
        <v>0.25399322864220741</v>
      </c>
      <c r="E1181" s="10">
        <v>1.808188113081622</v>
      </c>
    </row>
    <row r="1182" spans="2:5" x14ac:dyDescent="0.3">
      <c r="B1182" s="10">
        <v>0.36859270866200478</v>
      </c>
      <c r="C1182" s="10">
        <v>-0.8489229079295908</v>
      </c>
      <c r="D1182" s="10">
        <v>-0.1968308469719583</v>
      </c>
      <c r="E1182" s="10">
        <v>7.0238947976749584</v>
      </c>
    </row>
    <row r="1183" spans="2:5" x14ac:dyDescent="0.3">
      <c r="B1183" s="10">
        <v>0.44746968279688731</v>
      </c>
      <c r="C1183" s="10">
        <v>-0.60131804784127829</v>
      </c>
      <c r="D1183" s="10">
        <v>-0.1169166311725509</v>
      </c>
      <c r="E1183" s="10">
        <v>9.3795270864030869</v>
      </c>
    </row>
    <row r="1184" spans="2:5" x14ac:dyDescent="0.3">
      <c r="B1184" s="10">
        <v>0.50476429413642421</v>
      </c>
      <c r="C1184" s="10">
        <v>-0.45417416350282031</v>
      </c>
      <c r="D1184" s="10">
        <v>7.529772743314242E-2</v>
      </c>
      <c r="E1184" s="10">
        <v>12.4838826543519</v>
      </c>
    </row>
    <row r="1185" spans="2:5" x14ac:dyDescent="0.3">
      <c r="B1185" s="10">
        <v>0.68645394951734773</v>
      </c>
      <c r="C1185" s="10">
        <v>0.87590345661344704</v>
      </c>
      <c r="D1185" s="10">
        <v>0.17749419950224321</v>
      </c>
      <c r="E1185" s="10">
        <v>10.599175813847051</v>
      </c>
    </row>
    <row r="1186" spans="2:5" x14ac:dyDescent="0.3">
      <c r="B1186" s="10">
        <v>0.62870917207448562</v>
      </c>
      <c r="C1186" s="10">
        <v>0.86270868615450769</v>
      </c>
      <c r="D1186" s="10">
        <v>0.22315839048130429</v>
      </c>
      <c r="E1186" s="10">
        <v>9.9306171564177657</v>
      </c>
    </row>
    <row r="1187" spans="2:5" x14ac:dyDescent="0.3">
      <c r="B1187" s="10">
        <v>0.54599657248944966</v>
      </c>
      <c r="C1187" s="10">
        <v>0.82516154394581243</v>
      </c>
      <c r="D1187" s="10">
        <v>0.20113123819048351</v>
      </c>
      <c r="E1187" s="10">
        <v>7.5875936877292256</v>
      </c>
    </row>
    <row r="1188" spans="2:5" x14ac:dyDescent="0.3">
      <c r="B1188" s="10">
        <v>0.44539602517652782</v>
      </c>
      <c r="C1188" s="10">
        <v>0.78550320451257982</v>
      </c>
      <c r="D1188" s="10">
        <v>0.16484379455413639</v>
      </c>
      <c r="E1188" s="10">
        <v>5.883801447612278</v>
      </c>
    </row>
    <row r="1189" spans="2:5" x14ac:dyDescent="0.3">
      <c r="B1189" s="10">
        <v>0.40704840945094239</v>
      </c>
      <c r="C1189" s="10">
        <v>1.0554758613648831E-2</v>
      </c>
      <c r="D1189" s="10">
        <v>-1.081005050777949E-2</v>
      </c>
      <c r="E1189" s="10">
        <v>7.3943275158958377</v>
      </c>
    </row>
    <row r="1190" spans="2:5" x14ac:dyDescent="0.3">
      <c r="B1190" s="10">
        <v>0.40091256173342887</v>
      </c>
      <c r="C1190" s="10">
        <v>1.8710977230992409E-2</v>
      </c>
      <c r="D1190" s="10">
        <v>-9.9294502518083305E-3</v>
      </c>
      <c r="E1190" s="10">
        <v>6.1891646344033857</v>
      </c>
    </row>
    <row r="1191" spans="2:5" x14ac:dyDescent="0.3">
      <c r="B1191" s="10">
        <v>0.57794589408188235</v>
      </c>
      <c r="C1191" s="10">
        <v>3.022846854615047E-2</v>
      </c>
      <c r="D1191" s="10">
        <v>1.8104738738910671E-2</v>
      </c>
      <c r="E1191" s="10">
        <v>5.6457105314782554</v>
      </c>
    </row>
    <row r="1192" spans="2:5" x14ac:dyDescent="0.3">
      <c r="B1192" s="10">
        <v>0.21655163576422079</v>
      </c>
      <c r="C1192" s="10">
        <v>0.36813104730624469</v>
      </c>
      <c r="D1192" s="10">
        <v>-2.7462500198556731E-2</v>
      </c>
      <c r="E1192" s="10">
        <v>1.2263063669653389</v>
      </c>
    </row>
    <row r="1193" spans="2:5" x14ac:dyDescent="0.3">
      <c r="B1193" s="10">
        <v>0.14367019009818829</v>
      </c>
      <c r="C1193" s="10">
        <v>0.40713417143858738</v>
      </c>
      <c r="D1193" s="10">
        <v>0.32103975603003232</v>
      </c>
      <c r="E1193" s="10">
        <v>3.7250875517351161</v>
      </c>
    </row>
    <row r="1194" spans="2:5" x14ac:dyDescent="0.3">
      <c r="B1194" s="10">
        <v>6.1812792312157493E-2</v>
      </c>
      <c r="C1194" s="10">
        <v>0.38839540611011258</v>
      </c>
      <c r="D1194" s="10">
        <v>0.2797422847763007</v>
      </c>
      <c r="E1194" s="10">
        <v>3.5659814651799042</v>
      </c>
    </row>
    <row r="1195" spans="2:5" x14ac:dyDescent="0.3">
      <c r="B1195" s="10">
        <v>3.5117142111920581E-2</v>
      </c>
      <c r="C1195" s="10">
        <v>0.41478427046133493</v>
      </c>
      <c r="D1195" s="10">
        <v>0.1484785129310951</v>
      </c>
      <c r="E1195" s="10">
        <v>4.3095792585548098</v>
      </c>
    </row>
    <row r="1196" spans="2:5" x14ac:dyDescent="0.3">
      <c r="B1196" s="10">
        <v>0.1091401257486168</v>
      </c>
      <c r="C1196" s="10">
        <v>0.337196212836955</v>
      </c>
      <c r="D1196" s="10">
        <v>0.2616399254198849</v>
      </c>
      <c r="E1196" s="10">
        <v>2.436263364921305</v>
      </c>
    </row>
    <row r="1197" spans="2:5" x14ac:dyDescent="0.3">
      <c r="B1197" s="10">
        <v>7.9718589473373153E-2</v>
      </c>
      <c r="C1197" s="10">
        <v>0.22739061236084571</v>
      </c>
      <c r="D1197" s="10">
        <v>8.2625127084646033E-2</v>
      </c>
      <c r="E1197" s="10">
        <v>0.43434195227597672</v>
      </c>
    </row>
    <row r="1198" spans="2:5" x14ac:dyDescent="0.3">
      <c r="B1198" s="10">
        <v>0.112733173990112</v>
      </c>
      <c r="C1198" s="10">
        <v>0.220529371082926</v>
      </c>
      <c r="D1198" s="10">
        <v>7.5727998607094504E-2</v>
      </c>
      <c r="E1198" s="10">
        <v>0.43671202578912938</v>
      </c>
    </row>
    <row r="1199" spans="2:5" x14ac:dyDescent="0.3">
      <c r="B1199" s="10">
        <v>0.1291978522852068</v>
      </c>
      <c r="C1199" s="10">
        <v>0.2271193519379755</v>
      </c>
      <c r="D1199" s="10">
        <v>7.636430018168068E-2</v>
      </c>
      <c r="E1199" s="10">
        <v>0.4632552409390544</v>
      </c>
    </row>
    <row r="1200" spans="2:5" x14ac:dyDescent="0.3">
      <c r="B1200" s="10">
        <v>7.9802163114389993E-2</v>
      </c>
      <c r="C1200" s="10">
        <v>0.22680082542425661</v>
      </c>
      <c r="D1200" s="10">
        <v>9.1559541910827075E-2</v>
      </c>
      <c r="E1200" s="10">
        <v>0.4049660331290551</v>
      </c>
    </row>
    <row r="1201" spans="2:5" x14ac:dyDescent="0.3">
      <c r="B1201" s="10">
        <v>0.56691810855420866</v>
      </c>
      <c r="C1201" s="10">
        <v>0.63818861507293922</v>
      </c>
      <c r="D1201" s="10">
        <v>1.0357266867087911E-2</v>
      </c>
      <c r="E1201" s="10">
        <v>3.3730465456172078</v>
      </c>
    </row>
    <row r="1202" spans="2:5" x14ac:dyDescent="0.3">
      <c r="B1202" s="10">
        <v>0.52838842024339017</v>
      </c>
      <c r="C1202" s="10">
        <v>0.63088068795606966</v>
      </c>
      <c r="D1202" s="10">
        <v>-6.8208343573876409E-2</v>
      </c>
      <c r="E1202" s="10">
        <v>3.2203605734138359</v>
      </c>
    </row>
    <row r="1203" spans="2:5" x14ac:dyDescent="0.3">
      <c r="B1203" s="10">
        <v>0.6035553757006733</v>
      </c>
      <c r="C1203" s="10">
        <v>0.6592891122382043</v>
      </c>
      <c r="D1203" s="10">
        <v>1.8682138259035651E-2</v>
      </c>
      <c r="E1203" s="10">
        <v>3.728480833702589</v>
      </c>
    </row>
    <row r="1204" spans="2:5" x14ac:dyDescent="0.3">
      <c r="B1204" s="10">
        <v>0.57696406372855535</v>
      </c>
      <c r="C1204" s="10">
        <v>0.64926240824246728</v>
      </c>
      <c r="D1204" s="10">
        <v>1.184897195958416E-2</v>
      </c>
      <c r="E1204" s="10">
        <v>3.5270848200171678</v>
      </c>
    </row>
    <row r="1205" spans="2:5" x14ac:dyDescent="0.3">
      <c r="B1205" s="10">
        <v>0.32178940777445819</v>
      </c>
      <c r="C1205" s="10">
        <v>6.2284372616777738E-2</v>
      </c>
      <c r="D1205" s="10">
        <v>4.8895027666404208E-3</v>
      </c>
      <c r="E1205" s="10">
        <v>10.66082775988732</v>
      </c>
    </row>
    <row r="1206" spans="2:5" x14ac:dyDescent="0.3">
      <c r="B1206" s="10">
        <v>0.29329542082770899</v>
      </c>
      <c r="C1206" s="10">
        <v>6.8097139019304684E-2</v>
      </c>
      <c r="D1206" s="10">
        <v>8.7505491052432098E-3</v>
      </c>
      <c r="E1206" s="10">
        <v>13.335968005979151</v>
      </c>
    </row>
    <row r="1207" spans="2:5" x14ac:dyDescent="0.3">
      <c r="B1207" s="10">
        <v>0.2784266066384119</v>
      </c>
      <c r="C1207" s="10">
        <v>5.8751372501565008E-2</v>
      </c>
      <c r="D1207" s="10">
        <v>9.8249266646219975E-3</v>
      </c>
      <c r="E1207" s="10">
        <v>12.41002704601541</v>
      </c>
    </row>
    <row r="1208" spans="2:5" x14ac:dyDescent="0.3">
      <c r="B1208" s="10">
        <v>0.25487170610887161</v>
      </c>
      <c r="C1208" s="10">
        <v>4.9099726809129753E-2</v>
      </c>
      <c r="D1208" s="10">
        <v>9.9450974458551097E-3</v>
      </c>
      <c r="E1208" s="10">
        <v>11.3452802501526</v>
      </c>
    </row>
    <row r="1209" spans="2:5" x14ac:dyDescent="0.3">
      <c r="B1209" s="10">
        <v>3.4587350327627629E-2</v>
      </c>
      <c r="C1209" s="10">
        <v>0.55582724351431401</v>
      </c>
      <c r="D1209" s="10">
        <v>8.2457777098982832E-2</v>
      </c>
      <c r="E1209" s="10">
        <v>3.034978539006334</v>
      </c>
    </row>
    <row r="1210" spans="2:5" x14ac:dyDescent="0.3">
      <c r="B1210" s="10">
        <v>4.8632943227291808E-2</v>
      </c>
      <c r="C1210" s="10">
        <v>0.49763091554721561</v>
      </c>
      <c r="D1210" s="10">
        <v>9.0753400234587472E-2</v>
      </c>
      <c r="E1210" s="10">
        <v>2.2752881280784409</v>
      </c>
    </row>
    <row r="1211" spans="2:5" x14ac:dyDescent="0.3">
      <c r="B1211" s="10">
        <v>3.9558793302230132E-2</v>
      </c>
      <c r="C1211" s="10">
        <v>0.45335738928141861</v>
      </c>
      <c r="D1211" s="10">
        <v>6.4239409316222698E-2</v>
      </c>
      <c r="E1211" s="10">
        <v>1.9484363131457509</v>
      </c>
    </row>
    <row r="1212" spans="2:5" x14ac:dyDescent="0.3">
      <c r="B1212" s="10">
        <v>4.4132032788180009E-2</v>
      </c>
      <c r="C1212" s="10">
        <v>0.41742450312819102</v>
      </c>
      <c r="D1212" s="10">
        <v>0.1446363795350307</v>
      </c>
      <c r="E1212" s="10">
        <v>1.6725175118278339</v>
      </c>
    </row>
    <row r="1213" spans="2:5" x14ac:dyDescent="0.3">
      <c r="B1213" s="10">
        <v>2.715431145594761E-2</v>
      </c>
      <c r="C1213" s="10">
        <v>0.36496021689490021</v>
      </c>
      <c r="D1213" s="10">
        <v>0.2387106022860376</v>
      </c>
      <c r="E1213" s="10">
        <v>1.535893529875489</v>
      </c>
    </row>
    <row r="1214" spans="2:5" x14ac:dyDescent="0.3">
      <c r="B1214" s="10">
        <v>3.422899233796968E-2</v>
      </c>
      <c r="C1214" s="10">
        <v>0.29963272842801592</v>
      </c>
      <c r="D1214" s="10">
        <v>0.1985561142382371</v>
      </c>
      <c r="E1214" s="10">
        <v>1.2481114667621791</v>
      </c>
    </row>
    <row r="1215" spans="2:5" x14ac:dyDescent="0.3">
      <c r="B1215" s="10">
        <v>-1.395431808995847E-2</v>
      </c>
      <c r="C1215" s="10">
        <v>0.18653325694884651</v>
      </c>
      <c r="D1215" s="10">
        <v>0.13398285854817879</v>
      </c>
      <c r="E1215" s="10">
        <v>0.82894042767626241</v>
      </c>
    </row>
    <row r="1216" spans="2:5" x14ac:dyDescent="0.3">
      <c r="B1216" s="10">
        <v>4.5126965416832407E-2</v>
      </c>
      <c r="C1216" s="10">
        <v>0.14057733577473799</v>
      </c>
      <c r="D1216" s="10">
        <v>0.1620131168906512</v>
      </c>
      <c r="E1216" s="10">
        <v>0.71602699965169825</v>
      </c>
    </row>
    <row r="1217" spans="2:5" x14ac:dyDescent="0.3">
      <c r="B1217" s="10">
        <v>0.37078510779981699</v>
      </c>
      <c r="C1217" s="10">
        <v>0.65367255576878125</v>
      </c>
      <c r="D1217" s="10">
        <v>0.12940067592150539</v>
      </c>
      <c r="E1217" s="10">
        <v>2.7016534058397408</v>
      </c>
    </row>
    <row r="1218" spans="2:5" x14ac:dyDescent="0.3">
      <c r="B1218" s="10">
        <v>0.34216982077759789</v>
      </c>
      <c r="C1218" s="10">
        <v>0.63061617306133178</v>
      </c>
      <c r="D1218" s="10">
        <v>0.1190529468647091</v>
      </c>
      <c r="E1218" s="10">
        <v>2.4887104398526771</v>
      </c>
    </row>
    <row r="1219" spans="2:5" x14ac:dyDescent="0.3">
      <c r="B1219" s="10">
        <v>0.31795609009978099</v>
      </c>
      <c r="C1219" s="10">
        <v>0.62340883258172752</v>
      </c>
      <c r="D1219" s="10">
        <v>9.7775090783221399E-2</v>
      </c>
      <c r="E1219" s="10">
        <v>2.3932955923516559</v>
      </c>
    </row>
    <row r="1220" spans="2:5" x14ac:dyDescent="0.3">
      <c r="B1220" s="10">
        <v>0.33304238622683008</v>
      </c>
      <c r="C1220" s="10">
        <v>0.61484306035956315</v>
      </c>
      <c r="D1220" s="10">
        <v>0.12596879482976711</v>
      </c>
      <c r="E1220" s="10">
        <v>2.297681871193094</v>
      </c>
    </row>
    <row r="1221" spans="2:5" x14ac:dyDescent="0.3">
      <c r="B1221" s="10">
        <v>0.26365095899250851</v>
      </c>
      <c r="C1221" s="10">
        <v>0.1386330652216182</v>
      </c>
      <c r="D1221" s="10">
        <v>0.1243725819064032</v>
      </c>
      <c r="E1221" s="10">
        <v>0.48652999311618639</v>
      </c>
    </row>
    <row r="1222" spans="2:5" x14ac:dyDescent="0.3">
      <c r="B1222" s="10">
        <v>0.29320914412276539</v>
      </c>
      <c r="C1222" s="10">
        <v>0.118624920898592</v>
      </c>
      <c r="D1222" s="10">
        <v>7.9272676678644877E-3</v>
      </c>
      <c r="E1222" s="10">
        <v>0.96772306217140103</v>
      </c>
    </row>
    <row r="1223" spans="2:5" x14ac:dyDescent="0.3">
      <c r="B1223" s="10">
        <v>0.35980323636215972</v>
      </c>
      <c r="C1223" s="10">
        <v>0.13741697319702789</v>
      </c>
      <c r="D1223" s="10">
        <v>1.0877107863777271E-2</v>
      </c>
      <c r="E1223" s="10">
        <v>1.0452500083951779</v>
      </c>
    </row>
    <row r="1224" spans="2:5" x14ac:dyDescent="0.3">
      <c r="B1224" s="10">
        <v>0.33953444217911583</v>
      </c>
      <c r="C1224" s="10">
        <v>0.16939530466415861</v>
      </c>
      <c r="D1224" s="10">
        <v>-2.1473787042297861E-2</v>
      </c>
      <c r="E1224" s="10">
        <v>1.3228594398719331</v>
      </c>
    </row>
    <row r="1225" spans="2:5" x14ac:dyDescent="0.3">
      <c r="B1225" s="10">
        <v>3.4755204158812031E-2</v>
      </c>
      <c r="C1225" s="10">
        <v>0.20052660568206279</v>
      </c>
      <c r="D1225" s="10">
        <v>1.5964455401222981E-2</v>
      </c>
      <c r="E1225" s="10">
        <v>0.92570919632922632</v>
      </c>
    </row>
    <row r="1226" spans="2:5" x14ac:dyDescent="0.3">
      <c r="B1226" s="10">
        <v>-1.3076648622576671E-2</v>
      </c>
      <c r="C1226" s="10">
        <v>0.21411817048531201</v>
      </c>
      <c r="D1226" s="10">
        <v>3.7004447815485161E-2</v>
      </c>
      <c r="E1226" s="10">
        <v>0.9348416801407371</v>
      </c>
    </row>
    <row r="1227" spans="2:5" x14ac:dyDescent="0.3">
      <c r="B1227" s="10">
        <v>-1.4784168269619591E-2</v>
      </c>
      <c r="C1227" s="10">
        <v>0.22041758971911191</v>
      </c>
      <c r="D1227" s="10">
        <v>-1.373498074077833E-2</v>
      </c>
      <c r="E1227" s="10">
        <v>0.93749938006831346</v>
      </c>
    </row>
    <row r="1228" spans="2:5" x14ac:dyDescent="0.3">
      <c r="B1228" s="10">
        <v>-2.388752920380269E-3</v>
      </c>
      <c r="C1228" s="10">
        <v>0.23724193895420739</v>
      </c>
      <c r="D1228" s="10">
        <v>3.904710915025654E-2</v>
      </c>
      <c r="E1228" s="10">
        <v>0.918146569165601</v>
      </c>
    </row>
    <row r="1229" spans="2:5" x14ac:dyDescent="0.3">
      <c r="B1229" s="10">
        <v>0.39342680764834459</v>
      </c>
      <c r="C1229" s="10">
        <v>0.4183168488918243</v>
      </c>
      <c r="D1229" s="10">
        <v>-0.1121799472579663</v>
      </c>
      <c r="E1229" s="10">
        <v>1.7052506485947789</v>
      </c>
    </row>
    <row r="1230" spans="2:5" x14ac:dyDescent="0.3">
      <c r="B1230" s="10">
        <v>0.36902410333614571</v>
      </c>
      <c r="C1230" s="10">
        <v>0.49795486319845189</v>
      </c>
      <c r="D1230" s="10">
        <v>5.5375940783140433E-2</v>
      </c>
      <c r="E1230" s="10">
        <v>2.10168477433339</v>
      </c>
    </row>
    <row r="1231" spans="2:5" x14ac:dyDescent="0.3">
      <c r="B1231" s="10">
        <v>0.36091902617552091</v>
      </c>
      <c r="C1231" s="10">
        <v>0.47417910345771741</v>
      </c>
      <c r="D1231" s="10">
        <v>7.0048330237537079E-2</v>
      </c>
      <c r="E1231" s="10">
        <v>1.9022906746588131</v>
      </c>
    </row>
    <row r="1232" spans="2:5" x14ac:dyDescent="0.3">
      <c r="B1232" s="10">
        <v>0.35120007806704839</v>
      </c>
      <c r="C1232" s="10">
        <v>0.43242559711629103</v>
      </c>
      <c r="D1232" s="10">
        <v>5.4228683484643908E-2</v>
      </c>
      <c r="E1232" s="10">
        <v>1.6039427920783771</v>
      </c>
    </row>
    <row r="1233" spans="2:5" x14ac:dyDescent="0.3">
      <c r="B1233" s="10">
        <v>9.4359801079293412E-2</v>
      </c>
      <c r="C1233" s="10">
        <v>-0.12578794258427459</v>
      </c>
      <c r="D1233" s="10">
        <v>-7.1498753159077055E-2</v>
      </c>
      <c r="E1233" s="10">
        <v>12.34817864495618</v>
      </c>
    </row>
    <row r="1234" spans="2:5" x14ac:dyDescent="0.3">
      <c r="B1234" s="10">
        <v>0.17754768756139591</v>
      </c>
      <c r="C1234" s="10">
        <v>-6.2612360205244785E-2</v>
      </c>
      <c r="D1234" s="10">
        <v>-7.9641236974682603E-2</v>
      </c>
      <c r="E1234" s="10">
        <v>23.196300810444569</v>
      </c>
    </row>
    <row r="1235" spans="2:5" x14ac:dyDescent="0.3">
      <c r="B1235" s="10">
        <v>0.45425148281979272</v>
      </c>
      <c r="C1235" s="10">
        <v>9.843866338738298E-4</v>
      </c>
      <c r="D1235" s="10">
        <v>4.421274741539678E-3</v>
      </c>
      <c r="E1235" s="10">
        <v>44.259651810079568</v>
      </c>
    </row>
    <row r="1236" spans="2:5" x14ac:dyDescent="0.3">
      <c r="B1236" s="10">
        <v>0.36846372276245448</v>
      </c>
      <c r="C1236" s="10">
        <v>-1.439507580206317E-2</v>
      </c>
      <c r="D1236" s="10">
        <v>5.8820653516280276E-3</v>
      </c>
      <c r="E1236" s="10">
        <v>7.9045178275825467</v>
      </c>
    </row>
    <row r="1237" spans="2:5" x14ac:dyDescent="0.3">
      <c r="B1237" s="10">
        <v>0.4762518276927466</v>
      </c>
      <c r="C1237" s="10">
        <v>0.81410216924029577</v>
      </c>
      <c r="D1237" s="10">
        <v>0.18881738418128549</v>
      </c>
      <c r="E1237" s="10">
        <v>8.7731987919019012</v>
      </c>
    </row>
    <row r="1238" spans="2:5" x14ac:dyDescent="0.3">
      <c r="B1238" s="10">
        <v>0.46882908372348908</v>
      </c>
      <c r="C1238" s="10">
        <v>0.78567595181155758</v>
      </c>
      <c r="D1238" s="10">
        <v>0.17811428770653431</v>
      </c>
      <c r="E1238" s="10">
        <v>7.0948342447703938</v>
      </c>
    </row>
    <row r="1239" spans="2:5" x14ac:dyDescent="0.3">
      <c r="B1239" s="10">
        <v>0.49150765900279048</v>
      </c>
      <c r="C1239" s="10">
        <v>0.78777175198791705</v>
      </c>
      <c r="D1239" s="10">
        <v>0.20655795966908899</v>
      </c>
      <c r="E1239" s="10">
        <v>7.8863842731317533</v>
      </c>
    </row>
    <row r="1240" spans="2:5" x14ac:dyDescent="0.3">
      <c r="B1240" s="10">
        <v>0.4285969734456288</v>
      </c>
      <c r="C1240" s="10">
        <v>0.92909688024266657</v>
      </c>
      <c r="D1240" s="10">
        <v>0.19093213129755471</v>
      </c>
      <c r="E1240" s="10">
        <v>3.693602223343563</v>
      </c>
    </row>
    <row r="1241" spans="2:5" x14ac:dyDescent="0.3">
      <c r="B1241" s="10">
        <v>0.71560022123727096</v>
      </c>
      <c r="C1241" s="10">
        <v>0.65106225543279383</v>
      </c>
      <c r="D1241" s="10">
        <v>0.12756699596769719</v>
      </c>
      <c r="E1241" s="10">
        <v>7.0855036120003039</v>
      </c>
    </row>
    <row r="1242" spans="2:5" x14ac:dyDescent="0.3">
      <c r="B1242" s="10">
        <v>0.71857418061259937</v>
      </c>
      <c r="C1242" s="10">
        <v>0.6356155292607315</v>
      </c>
      <c r="D1242" s="10">
        <v>7.7590772400858224E-2</v>
      </c>
      <c r="E1242" s="10">
        <v>7.0487545097192976</v>
      </c>
    </row>
    <row r="1243" spans="2:5" x14ac:dyDescent="0.3">
      <c r="B1243" s="10">
        <v>0.69974627805615219</v>
      </c>
      <c r="C1243" s="10">
        <v>0.60513008030571014</v>
      </c>
      <c r="D1243" s="10">
        <v>8.4661493416293782E-2</v>
      </c>
      <c r="E1243" s="10">
        <v>6.2178006047174019</v>
      </c>
    </row>
    <row r="1244" spans="2:5" x14ac:dyDescent="0.3">
      <c r="B1244" s="10">
        <v>0.69439871048870172</v>
      </c>
      <c r="C1244" s="10">
        <v>0.59711133347140977</v>
      </c>
      <c r="D1244" s="10">
        <v>0.1542709669374587</v>
      </c>
      <c r="E1244" s="10">
        <v>6.2274702442278453</v>
      </c>
    </row>
    <row r="1245" spans="2:5" x14ac:dyDescent="0.3">
      <c r="B1245" s="10">
        <v>0.34812023298887279</v>
      </c>
      <c r="C1245" s="10">
        <v>4.0437872817153303E-2</v>
      </c>
      <c r="D1245" s="10">
        <v>9.163687292142177E-3</v>
      </c>
      <c r="E1245" s="10">
        <v>0.84966212298467358</v>
      </c>
    </row>
    <row r="1246" spans="2:5" x14ac:dyDescent="0.3">
      <c r="B1246" s="10">
        <v>0.45770527587563992</v>
      </c>
      <c r="C1246" s="10">
        <v>9.4230490774255507E-2</v>
      </c>
      <c r="D1246" s="10">
        <v>5.8215948088700661E-2</v>
      </c>
      <c r="E1246" s="10">
        <v>1.046357357806565</v>
      </c>
    </row>
    <row r="1247" spans="2:5" x14ac:dyDescent="0.3">
      <c r="B1247" s="10">
        <v>0.15393277841451219</v>
      </c>
      <c r="C1247" s="10">
        <v>0.10296887109528061</v>
      </c>
      <c r="D1247" s="10">
        <v>0.1140694784790787</v>
      </c>
      <c r="E1247" s="10">
        <v>0.31529861321773578</v>
      </c>
    </row>
    <row r="1248" spans="2:5" x14ac:dyDescent="0.3">
      <c r="B1248" s="10">
        <v>0.1338172690387793</v>
      </c>
      <c r="C1248" s="10">
        <v>5.5435077984478498E-2</v>
      </c>
      <c r="D1248" s="10">
        <v>0.1145186222585826</v>
      </c>
      <c r="E1248" s="10">
        <v>0.28300675661676972</v>
      </c>
    </row>
    <row r="1249" spans="2:5" x14ac:dyDescent="0.3">
      <c r="B1249" s="10">
        <v>-0.1837405061681775</v>
      </c>
      <c r="C1249" s="10">
        <v>0.2284321107815579</v>
      </c>
      <c r="D1249" s="10">
        <v>0.2306234609904943</v>
      </c>
      <c r="E1249" s="10">
        <v>0.28793297946284507</v>
      </c>
    </row>
    <row r="1250" spans="2:5" x14ac:dyDescent="0.3">
      <c r="B1250" s="10">
        <v>-0.3019744977312287</v>
      </c>
      <c r="C1250" s="10">
        <v>0.19165035514098999</v>
      </c>
      <c r="D1250" s="10">
        <v>0.37852937148788118</v>
      </c>
      <c r="E1250" s="10">
        <v>0.25455670350214049</v>
      </c>
    </row>
    <row r="1251" spans="2:5" x14ac:dyDescent="0.3">
      <c r="B1251" s="10">
        <v>-0.26610026556227351</v>
      </c>
      <c r="C1251" s="10">
        <v>0.20797424887736801</v>
      </c>
      <c r="D1251" s="10">
        <v>0.38644884511582361</v>
      </c>
      <c r="E1251" s="10">
        <v>0.27912126494096928</v>
      </c>
    </row>
    <row r="1252" spans="2:5" x14ac:dyDescent="0.3">
      <c r="B1252" s="10">
        <v>0.42859887273259029</v>
      </c>
      <c r="C1252" s="10">
        <v>0.50252759510890888</v>
      </c>
      <c r="D1252" s="10">
        <v>0.13821574589868929</v>
      </c>
      <c r="E1252" s="10">
        <v>4.4421420632882747</v>
      </c>
    </row>
    <row r="1253" spans="2:5" x14ac:dyDescent="0.3">
      <c r="B1253" s="10">
        <v>0.39225576458840639</v>
      </c>
      <c r="C1253" s="10">
        <v>0.47058714504826038</v>
      </c>
      <c r="D1253" s="10">
        <v>0.18271156167246269</v>
      </c>
      <c r="E1253" s="10">
        <v>3.921983177374968</v>
      </c>
    </row>
    <row r="1254" spans="2:5" x14ac:dyDescent="0.3">
      <c r="B1254" s="10">
        <v>0.38405629803847702</v>
      </c>
      <c r="C1254" s="10">
        <v>0.43734311913773072</v>
      </c>
      <c r="D1254" s="10">
        <v>0.21715975403796059</v>
      </c>
      <c r="E1254" s="10">
        <v>4.0032460147744331</v>
      </c>
    </row>
    <row r="1255" spans="2:5" x14ac:dyDescent="0.3">
      <c r="B1255" s="10">
        <v>0.33489451207372789</v>
      </c>
      <c r="C1255" s="10">
        <v>0.33633524895697792</v>
      </c>
      <c r="D1255" s="10">
        <v>0.12835454544998429</v>
      </c>
      <c r="E1255" s="10">
        <v>2.289324295403405</v>
      </c>
    </row>
    <row r="1256" spans="2:5" x14ac:dyDescent="0.3">
      <c r="B1256" s="10">
        <v>0.22994897153394589</v>
      </c>
      <c r="C1256" s="10">
        <v>-4.4375190466974967E-2</v>
      </c>
      <c r="D1256" s="10">
        <v>1.11894481851973E-2</v>
      </c>
      <c r="E1256" s="10">
        <v>1.873283980442078</v>
      </c>
    </row>
    <row r="1257" spans="2:5" x14ac:dyDescent="0.3">
      <c r="B1257" s="10">
        <v>0.27201943053657768</v>
      </c>
      <c r="C1257" s="10">
        <v>-4.2538800772347667E-2</v>
      </c>
      <c r="D1257" s="10">
        <v>1.308030202623147E-2</v>
      </c>
      <c r="E1257" s="10">
        <v>2.3241081921727682</v>
      </c>
    </row>
    <row r="1258" spans="2:5" x14ac:dyDescent="0.3">
      <c r="B1258" s="10">
        <v>0.49419250041957369</v>
      </c>
      <c r="C1258" s="10">
        <v>-4.5550720468004513E-2</v>
      </c>
      <c r="D1258" s="10">
        <v>3.2329952767987717E-2</v>
      </c>
      <c r="E1258" s="10">
        <v>1.999905860111969</v>
      </c>
    </row>
    <row r="1259" spans="2:5" x14ac:dyDescent="0.3">
      <c r="B1259" s="10">
        <v>0.47927945450120357</v>
      </c>
      <c r="C1259" s="10">
        <v>0.52135976515964466</v>
      </c>
      <c r="D1259" s="10">
        <v>0.17903905027663911</v>
      </c>
      <c r="E1259" s="10">
        <v>2.2344529788095162</v>
      </c>
    </row>
    <row r="1260" spans="2:5" x14ac:dyDescent="0.3">
      <c r="B1260" s="10">
        <v>0.48173463119407112</v>
      </c>
      <c r="C1260" s="10">
        <v>0.45969832424047818</v>
      </c>
      <c r="D1260" s="10">
        <v>0.12787613915766499</v>
      </c>
      <c r="E1260" s="10">
        <v>1.723968032859688</v>
      </c>
    </row>
    <row r="1261" spans="2:5" x14ac:dyDescent="0.3">
      <c r="B1261" s="10">
        <v>0.58095826383424543</v>
      </c>
      <c r="C1261" s="10">
        <v>0.51347383320726525</v>
      </c>
      <c r="D1261" s="10">
        <v>0.2468218596559851</v>
      </c>
      <c r="E1261" s="10">
        <v>2.5331699255644522</v>
      </c>
    </row>
    <row r="1262" spans="2:5" x14ac:dyDescent="0.3">
      <c r="B1262" s="10">
        <v>0.55999749717854619</v>
      </c>
      <c r="C1262" s="10">
        <v>0.45645434773990617</v>
      </c>
      <c r="D1262" s="10">
        <v>0.1478186503917725</v>
      </c>
      <c r="E1262" s="10">
        <v>2.244535326355908</v>
      </c>
    </row>
    <row r="1263" spans="2:5" x14ac:dyDescent="0.3">
      <c r="B1263" s="10">
        <v>0.32756757147181892</v>
      </c>
      <c r="C1263" s="10">
        <v>0.2607755212352445</v>
      </c>
      <c r="D1263" s="10">
        <v>0.13032235054994651</v>
      </c>
      <c r="E1263" s="10">
        <v>2.9489046235265191</v>
      </c>
    </row>
    <row r="1264" spans="2:5" x14ac:dyDescent="0.3">
      <c r="B1264" s="10">
        <v>0.33420381000908622</v>
      </c>
      <c r="C1264" s="10">
        <v>0.1950713602695433</v>
      </c>
      <c r="D1264" s="10">
        <v>0.15162107282447621</v>
      </c>
      <c r="E1264" s="10">
        <v>2.110365225556007</v>
      </c>
    </row>
    <row r="1265" spans="2:5" x14ac:dyDescent="0.3">
      <c r="B1265" s="10">
        <v>0.43149913838482767</v>
      </c>
      <c r="C1265" s="10">
        <v>0.14673068639371351</v>
      </c>
      <c r="D1265" s="10">
        <v>0.15743832847694239</v>
      </c>
      <c r="E1265" s="10">
        <v>2.2557606503944241</v>
      </c>
    </row>
    <row r="1266" spans="2:5" x14ac:dyDescent="0.3">
      <c r="B1266" s="10">
        <v>0.15180525497425609</v>
      </c>
      <c r="C1266" s="10">
        <v>0.13555338218683169</v>
      </c>
      <c r="D1266" s="10">
        <v>0.13583554076640081</v>
      </c>
      <c r="E1266" s="10">
        <v>0.9566309789791505</v>
      </c>
    </row>
    <row r="1267" spans="2:5" x14ac:dyDescent="0.3">
      <c r="B1267" s="10">
        <v>0.3033294963540008</v>
      </c>
      <c r="C1267" s="10">
        <v>0.17738909840607281</v>
      </c>
      <c r="D1267" s="10">
        <v>4.3276953698449173E-2</v>
      </c>
      <c r="E1267" s="10">
        <v>1.293546670013566</v>
      </c>
    </row>
    <row r="1268" spans="2:5" x14ac:dyDescent="0.3">
      <c r="B1268" s="10">
        <v>0.27549638045761721</v>
      </c>
      <c r="C1268" s="10">
        <v>0.16899027056583329</v>
      </c>
      <c r="D1268" s="10">
        <v>5.6546247790177501E-2</v>
      </c>
      <c r="E1268" s="10">
        <v>1.3056623515262089</v>
      </c>
    </row>
    <row r="1269" spans="2:5" x14ac:dyDescent="0.3">
      <c r="B1269" s="10">
        <v>0.28717131946713592</v>
      </c>
      <c r="C1269" s="10">
        <v>0.1498154439278635</v>
      </c>
      <c r="D1269" s="10">
        <v>5.0510907654190758E-2</v>
      </c>
      <c r="E1269" s="10">
        <v>1.261483288707252</v>
      </c>
    </row>
    <row r="1270" spans="2:5" x14ac:dyDescent="0.3">
      <c r="B1270" s="10">
        <v>0.37600521734035341</v>
      </c>
      <c r="C1270" s="10">
        <v>0.1480279992616938</v>
      </c>
      <c r="D1270" s="10">
        <v>6.9735884940114887E-2</v>
      </c>
      <c r="E1270" s="10">
        <v>1.173571461958113</v>
      </c>
    </row>
    <row r="1271" spans="2:5" x14ac:dyDescent="0.3">
      <c r="B1271" s="10">
        <v>0.117450051838451</v>
      </c>
      <c r="C1271" s="10">
        <v>0.22189325321769199</v>
      </c>
      <c r="D1271" s="10">
        <v>6.289213228731356E-3</v>
      </c>
      <c r="E1271" s="10">
        <v>1.392905492935141</v>
      </c>
    </row>
    <row r="1272" spans="2:5" x14ac:dyDescent="0.3">
      <c r="B1272" s="10">
        <v>0.1233971292031564</v>
      </c>
      <c r="C1272" s="10">
        <v>0.1891184591479296</v>
      </c>
      <c r="D1272" s="10">
        <v>1.7271724119198761E-2</v>
      </c>
      <c r="E1272" s="10">
        <v>1.024138107665163</v>
      </c>
    </row>
    <row r="1273" spans="2:5" x14ac:dyDescent="0.3">
      <c r="B1273" s="10">
        <v>8.6116860572489115E-2</v>
      </c>
      <c r="C1273" s="10">
        <v>0.17023436193263369</v>
      </c>
      <c r="D1273" s="10">
        <v>1.386292744845837E-2</v>
      </c>
      <c r="E1273" s="10">
        <v>0.88155484233791825</v>
      </c>
    </row>
    <row r="1274" spans="2:5" x14ac:dyDescent="0.3">
      <c r="B1274" s="10">
        <v>7.162275877466405E-2</v>
      </c>
      <c r="C1274" s="10">
        <v>0.13723677026620029</v>
      </c>
      <c r="D1274" s="10">
        <v>3.5470127409283417E-2</v>
      </c>
      <c r="E1274" s="10">
        <v>0.60734498945965854</v>
      </c>
    </row>
    <row r="1275" spans="2:5" x14ac:dyDescent="0.3">
      <c r="B1275" s="10">
        <v>0.30310287372287192</v>
      </c>
      <c r="C1275" s="10">
        <v>7.0297859508100108E-2</v>
      </c>
      <c r="D1275" s="10">
        <v>3.0250038662047628E-2</v>
      </c>
      <c r="E1275" s="10">
        <v>0.97659129777060416</v>
      </c>
    </row>
    <row r="1276" spans="2:5" x14ac:dyDescent="0.3">
      <c r="B1276" s="10">
        <v>0.22395880663457871</v>
      </c>
      <c r="C1276" s="10">
        <v>4.3766590330892259E-2</v>
      </c>
      <c r="D1276" s="10">
        <v>-8.5975657508530288E-3</v>
      </c>
      <c r="E1276" s="10">
        <v>0.71918273109240571</v>
      </c>
    </row>
    <row r="1277" spans="2:5" x14ac:dyDescent="0.3">
      <c r="B1277" s="10">
        <v>0.24470640969861401</v>
      </c>
      <c r="C1277" s="10">
        <v>6.2841425418077482E-2</v>
      </c>
      <c r="D1277" s="10">
        <v>4.6951549835989072E-2</v>
      </c>
      <c r="E1277" s="10">
        <v>0.87225633690007787</v>
      </c>
    </row>
    <row r="1278" spans="2:5" x14ac:dyDescent="0.3">
      <c r="B1278" s="10">
        <v>0.17761432242844269</v>
      </c>
      <c r="C1278" s="10">
        <v>4.0579822055846308E-2</v>
      </c>
      <c r="D1278" s="10">
        <v>1.6320642918241899E-2</v>
      </c>
      <c r="E1278" s="10">
        <v>0.71025554879281583</v>
      </c>
    </row>
    <row r="1279" spans="2:5" x14ac:dyDescent="0.3">
      <c r="B1279" s="10">
        <v>0.38970439708974342</v>
      </c>
      <c r="C1279" s="10">
        <v>0.14792208792947989</v>
      </c>
      <c r="D1279" s="10">
        <v>0.27885787345613572</v>
      </c>
      <c r="E1279" s="10">
        <v>1.1660097300911081</v>
      </c>
    </row>
    <row r="1280" spans="2:5" x14ac:dyDescent="0.3">
      <c r="B1280" s="10">
        <v>0.35976069413655171</v>
      </c>
      <c r="C1280" s="10">
        <v>0.63988639989209029</v>
      </c>
      <c r="D1280" s="10">
        <v>0.29943393836040849</v>
      </c>
      <c r="E1280" s="10">
        <v>5.2395704993681687</v>
      </c>
    </row>
    <row r="1281" spans="2:5" x14ac:dyDescent="0.3">
      <c r="B1281" s="10">
        <v>0.34581432372493159</v>
      </c>
      <c r="C1281" s="10">
        <v>0.62507613392202388</v>
      </c>
      <c r="D1281" s="10">
        <v>0.27288349895074382</v>
      </c>
      <c r="E1281" s="10">
        <v>3.9333164651235388</v>
      </c>
    </row>
    <row r="1282" spans="2:5" x14ac:dyDescent="0.3">
      <c r="B1282" s="10">
        <v>0.15851962255432461</v>
      </c>
      <c r="C1282" s="10">
        <v>0.58805020462224633</v>
      </c>
      <c r="D1282" s="10">
        <v>0.25674534981250358</v>
      </c>
      <c r="E1282" s="10">
        <v>1.5821786780688929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BD60B-8FEA-44BD-8398-B15357D890A0}">
  <dimension ref="Q1:R20"/>
  <sheetViews>
    <sheetView workbookViewId="0">
      <selection activeCell="D25" sqref="D25"/>
    </sheetView>
  </sheetViews>
  <sheetFormatPr defaultRowHeight="14.4" x14ac:dyDescent="0.3"/>
  <cols>
    <col min="17" max="17" width="39.5546875" bestFit="1" customWidth="1"/>
    <col min="18" max="18" width="170.21875" bestFit="1" customWidth="1"/>
  </cols>
  <sheetData>
    <row r="1" spans="17:18" x14ac:dyDescent="0.3">
      <c r="Q1" t="s">
        <v>197</v>
      </c>
    </row>
    <row r="3" spans="17:18" x14ac:dyDescent="0.3">
      <c r="Q3" t="s">
        <v>198</v>
      </c>
      <c r="R3" t="s">
        <v>199</v>
      </c>
    </row>
    <row r="4" spans="17:18" x14ac:dyDescent="0.3">
      <c r="Q4" t="s">
        <v>200</v>
      </c>
      <c r="R4" t="s">
        <v>204</v>
      </c>
    </row>
    <row r="5" spans="17:18" x14ac:dyDescent="0.3">
      <c r="Q5" t="s">
        <v>201</v>
      </c>
      <c r="R5" t="s">
        <v>205</v>
      </c>
    </row>
    <row r="6" spans="17:18" x14ac:dyDescent="0.3">
      <c r="Q6" t="s">
        <v>202</v>
      </c>
      <c r="R6" t="s">
        <v>206</v>
      </c>
    </row>
    <row r="7" spans="17:18" x14ac:dyDescent="0.3">
      <c r="Q7" t="s">
        <v>203</v>
      </c>
      <c r="R7" t="s">
        <v>207</v>
      </c>
    </row>
    <row r="8" spans="17:18" x14ac:dyDescent="0.3">
      <c r="Q8" t="s">
        <v>208</v>
      </c>
      <c r="R8" t="s">
        <v>209</v>
      </c>
    </row>
    <row r="11" spans="17:18" x14ac:dyDescent="0.3">
      <c r="Q11" s="9" t="s">
        <v>235</v>
      </c>
    </row>
    <row r="12" spans="17:18" x14ac:dyDescent="0.3">
      <c r="Q12" s="9" t="s">
        <v>236</v>
      </c>
    </row>
    <row r="13" spans="17:18" x14ac:dyDescent="0.3">
      <c r="Q13" s="9" t="s">
        <v>237</v>
      </c>
    </row>
    <row r="14" spans="17:18" x14ac:dyDescent="0.3">
      <c r="Q14" s="9" t="s">
        <v>228</v>
      </c>
    </row>
    <row r="15" spans="17:18" x14ac:dyDescent="0.3">
      <c r="Q15" s="9" t="s">
        <v>229</v>
      </c>
    </row>
    <row r="16" spans="17:18" x14ac:dyDescent="0.3">
      <c r="Q16" s="9" t="s">
        <v>230</v>
      </c>
    </row>
    <row r="17" spans="17:17" x14ac:dyDescent="0.3">
      <c r="Q17" s="9" t="s">
        <v>231</v>
      </c>
    </row>
    <row r="18" spans="17:17" x14ac:dyDescent="0.3">
      <c r="Q18" s="9" t="s">
        <v>232</v>
      </c>
    </row>
    <row r="19" spans="17:17" x14ac:dyDescent="0.3">
      <c r="Q19" s="9" t="s">
        <v>233</v>
      </c>
    </row>
    <row r="20" spans="17:17" x14ac:dyDescent="0.3">
      <c r="Q20" s="9" t="s">
        <v>234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FD94-12B4-42F7-9857-CF1028DEFD4D}">
  <dimension ref="A1:AY572"/>
  <sheetViews>
    <sheetView topLeftCell="I545" workbookViewId="0">
      <selection activeCell="S1" sqref="S1:V572"/>
    </sheetView>
  </sheetViews>
  <sheetFormatPr defaultRowHeight="14.4" x14ac:dyDescent="0.3"/>
  <sheetData>
    <row r="1" spans="1:5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191</v>
      </c>
      <c r="Q1" s="11" t="s">
        <v>192</v>
      </c>
      <c r="R1" s="11" t="s">
        <v>211</v>
      </c>
      <c r="S1" s="11" t="s">
        <v>194</v>
      </c>
      <c r="T1" s="11" t="s">
        <v>195</v>
      </c>
      <c r="U1" s="11" t="s">
        <v>196</v>
      </c>
      <c r="V1" s="11" t="s">
        <v>210</v>
      </c>
    </row>
    <row r="2" spans="1:51" x14ac:dyDescent="0.3">
      <c r="A2" s="10" t="s">
        <v>15</v>
      </c>
      <c r="B2" s="10">
        <v>2025</v>
      </c>
      <c r="C2" s="10">
        <v>2364315000000</v>
      </c>
      <c r="D2" s="10">
        <v>137587000000</v>
      </c>
      <c r="E2" s="10">
        <v>27047104000000</v>
      </c>
      <c r="F2" s="10">
        <v>8662790000000</v>
      </c>
      <c r="G2" s="10">
        <v>2889470000000</v>
      </c>
      <c r="H2" s="10">
        <v>2000352000000</v>
      </c>
      <c r="I2" s="10">
        <v>23556137000000</v>
      </c>
      <c r="J2" s="10">
        <v>18555742000000</v>
      </c>
      <c r="K2" s="10">
        <v>6662438000000</v>
      </c>
      <c r="L2" s="10"/>
      <c r="M2" s="10">
        <v>28654648000000</v>
      </c>
      <c r="N2" s="10">
        <v>1471714000000</v>
      </c>
      <c r="O2" s="10">
        <v>0</v>
      </c>
      <c r="P2" s="10">
        <v>12.999893599346811</v>
      </c>
      <c r="Q2" s="10">
        <v>0</v>
      </c>
      <c r="R2" s="10" t="s">
        <v>238</v>
      </c>
      <c r="S2" s="10">
        <v>0.24632722231555729</v>
      </c>
      <c r="T2" s="10">
        <v>0.68605282103400056</v>
      </c>
      <c r="U2" s="10">
        <v>8.7414719150708337E-2</v>
      </c>
      <c r="V2" s="10">
        <v>8.1524075349458549</v>
      </c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</row>
    <row r="3" spans="1:51" x14ac:dyDescent="0.3">
      <c r="A3" s="10" t="s">
        <v>15</v>
      </c>
      <c r="B3" s="10">
        <v>2024</v>
      </c>
      <c r="C3" s="10">
        <v>1961859000000</v>
      </c>
      <c r="D3" s="10">
        <v>254731000000</v>
      </c>
      <c r="E3" s="10">
        <v>28793225000000</v>
      </c>
      <c r="F3" s="10">
        <v>8433638000000</v>
      </c>
      <c r="G3" s="10">
        <v>5591163000000</v>
      </c>
      <c r="H3" s="10">
        <v>3237653000000</v>
      </c>
      <c r="I3" s="10">
        <v>22641918000000</v>
      </c>
      <c r="J3" s="10">
        <v>17641523000000</v>
      </c>
      <c r="K3" s="10">
        <v>5195985000000</v>
      </c>
      <c r="L3" s="10"/>
      <c r="M3" s="10">
        <v>21815035000000</v>
      </c>
      <c r="N3" s="10">
        <v>1147547000000</v>
      </c>
      <c r="O3" s="10">
        <v>3189537000000</v>
      </c>
      <c r="P3" s="10">
        <v>7.8911450216384882</v>
      </c>
      <c r="Q3" s="10">
        <v>0</v>
      </c>
      <c r="R3" s="10" t="s">
        <v>238</v>
      </c>
      <c r="S3" s="10">
        <v>0.18045859746520229</v>
      </c>
      <c r="T3" s="10">
        <v>0.61269701466230342</v>
      </c>
      <c r="U3" s="10">
        <v>6.8136132718721154E-2</v>
      </c>
      <c r="V3" s="10">
        <v>4.0495900405693774</v>
      </c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</row>
    <row r="4" spans="1:51" x14ac:dyDescent="0.3">
      <c r="A4" s="10" t="s">
        <v>15</v>
      </c>
      <c r="B4" s="10">
        <v>2023</v>
      </c>
      <c r="C4" s="10">
        <v>1753833000000</v>
      </c>
      <c r="D4" s="10">
        <v>255431000000</v>
      </c>
      <c r="E4" s="10">
        <v>28846243000000</v>
      </c>
      <c r="F4" s="10">
        <v>7118202000000</v>
      </c>
      <c r="G4" s="10">
        <v>6280237000000</v>
      </c>
      <c r="H4" s="10">
        <v>3882141000000</v>
      </c>
      <c r="I4" s="10">
        <v>22016045000000</v>
      </c>
      <c r="J4" s="10">
        <v>17026742000000</v>
      </c>
      <c r="K4" s="10">
        <v>3236061000000</v>
      </c>
      <c r="L4" s="10"/>
      <c r="M4" s="10">
        <v>20745473000000</v>
      </c>
      <c r="N4" s="10">
        <v>1055897000000</v>
      </c>
      <c r="O4" s="10">
        <v>4005052000000</v>
      </c>
      <c r="P4" s="10">
        <v>6.7496234590305981</v>
      </c>
      <c r="Q4" s="10">
        <v>0</v>
      </c>
      <c r="R4" s="10" t="s">
        <v>238</v>
      </c>
      <c r="S4" s="10">
        <v>0.11218310127942829</v>
      </c>
      <c r="T4" s="10">
        <v>0.5902585650408616</v>
      </c>
      <c r="U4" s="10">
        <v>6.0799356089456781E-2</v>
      </c>
      <c r="V4" s="10">
        <v>3.5056073520792288</v>
      </c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</row>
    <row r="5" spans="1:51" x14ac:dyDescent="0.3">
      <c r="A5" s="10" t="s">
        <v>15</v>
      </c>
      <c r="B5" s="10">
        <v>2022</v>
      </c>
      <c r="C5" s="10">
        <v>2777558000000</v>
      </c>
      <c r="D5" s="10">
        <v>348380000000</v>
      </c>
      <c r="E5" s="10">
        <v>29249340000000</v>
      </c>
      <c r="F5" s="10">
        <v>7390608000000</v>
      </c>
      <c r="G5" s="10">
        <v>7006119000000</v>
      </c>
      <c r="H5" s="10">
        <v>2052939000000</v>
      </c>
      <c r="I5" s="10">
        <v>21684037000000</v>
      </c>
      <c r="J5" s="10">
        <v>16727788000000</v>
      </c>
      <c r="K5" s="10">
        <v>5337669000000</v>
      </c>
      <c r="L5" s="10"/>
      <c r="M5" s="10">
        <v>21828591000000</v>
      </c>
      <c r="N5" s="10">
        <v>1726607000000</v>
      </c>
      <c r="O5" s="10">
        <v>4053767000000</v>
      </c>
      <c r="P5" s="10">
        <v>6.9494341609539134</v>
      </c>
      <c r="Q5" s="10">
        <v>0</v>
      </c>
      <c r="R5" s="10" t="s">
        <v>238</v>
      </c>
      <c r="S5" s="10">
        <v>0.1824885279462716</v>
      </c>
      <c r="T5" s="10">
        <v>0.57190309251422422</v>
      </c>
      <c r="U5" s="10">
        <v>9.4961390581804583E-2</v>
      </c>
      <c r="V5" s="10">
        <v>3.095014086971688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</row>
    <row r="6" spans="1:51" x14ac:dyDescent="0.3">
      <c r="A6" s="10" t="s">
        <v>16</v>
      </c>
      <c r="B6" s="10">
        <v>2025</v>
      </c>
      <c r="C6" s="10">
        <v>937223000000</v>
      </c>
      <c r="D6" s="10">
        <v>44000000</v>
      </c>
      <c r="E6" s="10">
        <v>3568781000000</v>
      </c>
      <c r="F6" s="10">
        <v>2070722000000</v>
      </c>
      <c r="G6" s="10">
        <v>568078000000</v>
      </c>
      <c r="H6" s="10">
        <v>513128000000</v>
      </c>
      <c r="I6" s="10">
        <v>3000703000000</v>
      </c>
      <c r="J6" s="10">
        <v>2176377000000</v>
      </c>
      <c r="K6" s="10">
        <v>1557594000000</v>
      </c>
      <c r="L6" s="10"/>
      <c r="M6" s="10">
        <v>2726974000000</v>
      </c>
      <c r="N6" s="10">
        <v>741580000000</v>
      </c>
      <c r="O6" s="10">
        <v>7000000</v>
      </c>
      <c r="P6" s="10">
        <v>12.16228149792054</v>
      </c>
      <c r="Q6" s="10">
        <v>0</v>
      </c>
      <c r="R6" s="10" t="s">
        <v>238</v>
      </c>
      <c r="S6" s="10">
        <v>0.43644986901689958</v>
      </c>
      <c r="T6" s="10">
        <v>0.60983764484287495</v>
      </c>
      <c r="U6" s="10">
        <v>0.26261712332586401</v>
      </c>
      <c r="V6" s="10">
        <v>5.282202444030573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</row>
    <row r="7" spans="1:51" x14ac:dyDescent="0.3">
      <c r="A7" s="10" t="s">
        <v>16</v>
      </c>
      <c r="B7" s="10">
        <v>2024</v>
      </c>
      <c r="C7" s="10">
        <v>667772000000</v>
      </c>
      <c r="D7" s="10">
        <v>44000000</v>
      </c>
      <c r="E7" s="10">
        <v>2696874000000</v>
      </c>
      <c r="F7" s="10">
        <v>1551646000000</v>
      </c>
      <c r="G7" s="10">
        <v>438373000000</v>
      </c>
      <c r="H7" s="10">
        <v>383789000000</v>
      </c>
      <c r="I7" s="10">
        <v>2258501000000</v>
      </c>
      <c r="J7" s="10">
        <v>1434797000000</v>
      </c>
      <c r="K7" s="10">
        <v>1167857000000</v>
      </c>
      <c r="L7" s="10"/>
      <c r="M7" s="10">
        <v>1956431000000</v>
      </c>
      <c r="N7" s="10">
        <v>527368000000</v>
      </c>
      <c r="O7" s="10">
        <v>150000000</v>
      </c>
      <c r="P7" s="10">
        <v>11.64868618739494</v>
      </c>
      <c r="Q7" s="10">
        <v>0</v>
      </c>
      <c r="R7" s="10" t="s">
        <v>238</v>
      </c>
      <c r="S7" s="10">
        <v>0.4330409948703573</v>
      </c>
      <c r="T7" s="10">
        <v>0.53202225984602913</v>
      </c>
      <c r="U7" s="10">
        <v>0.24760963990160459</v>
      </c>
      <c r="V7" s="10">
        <v>5.152007536960534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</row>
    <row r="8" spans="1:51" x14ac:dyDescent="0.3">
      <c r="A8" s="10" t="s">
        <v>16</v>
      </c>
      <c r="B8" s="10">
        <v>2023</v>
      </c>
      <c r="C8" s="10">
        <v>503837000000</v>
      </c>
      <c r="D8" s="10">
        <v>173000000</v>
      </c>
      <c r="E8" s="10">
        <v>2085182000000</v>
      </c>
      <c r="F8" s="10">
        <v>1230110000000</v>
      </c>
      <c r="G8" s="10">
        <v>355374000000</v>
      </c>
      <c r="H8" s="10">
        <v>298814000000</v>
      </c>
      <c r="I8" s="10">
        <v>1729808000000</v>
      </c>
      <c r="J8" s="10">
        <v>907429000000</v>
      </c>
      <c r="K8" s="10">
        <v>931296000000</v>
      </c>
      <c r="L8" s="10"/>
      <c r="M8" s="10">
        <v>1525445000000</v>
      </c>
      <c r="N8" s="10">
        <v>395798000000</v>
      </c>
      <c r="O8" s="10">
        <v>682000000</v>
      </c>
      <c r="P8" s="10">
        <v>11.083235831130279</v>
      </c>
      <c r="Q8" s="10">
        <v>0</v>
      </c>
      <c r="R8" s="10" t="s">
        <v>238</v>
      </c>
      <c r="S8" s="10">
        <v>0.44662576216368638</v>
      </c>
      <c r="T8" s="10">
        <v>0.43517975888915211</v>
      </c>
      <c r="U8" s="10">
        <v>0.24162734955509879</v>
      </c>
      <c r="V8" s="10">
        <v>4.8675705031881904</v>
      </c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</row>
    <row r="9" spans="1:51" x14ac:dyDescent="0.3">
      <c r="A9" s="10" t="s">
        <v>16</v>
      </c>
      <c r="B9" s="10">
        <v>2022</v>
      </c>
      <c r="C9" s="10">
        <v>464729000000</v>
      </c>
      <c r="D9" s="10">
        <v>421000000</v>
      </c>
      <c r="E9" s="10">
        <v>1645582000000</v>
      </c>
      <c r="F9" s="10">
        <v>815319000000</v>
      </c>
      <c r="G9" s="10">
        <v>310746000000</v>
      </c>
      <c r="H9" s="10">
        <v>254719000000</v>
      </c>
      <c r="I9" s="10">
        <v>1334836000000</v>
      </c>
      <c r="J9" s="10">
        <v>511631000000</v>
      </c>
      <c r="K9" s="10">
        <v>560600000000</v>
      </c>
      <c r="L9" s="10"/>
      <c r="M9" s="10">
        <v>1290992000000</v>
      </c>
      <c r="N9" s="10">
        <v>364972000000</v>
      </c>
      <c r="O9" s="10">
        <v>2412000000</v>
      </c>
      <c r="P9" s="10">
        <v>9.6565269683651564</v>
      </c>
      <c r="Q9" s="10">
        <v>0</v>
      </c>
      <c r="R9" s="10" t="s">
        <v>238</v>
      </c>
      <c r="S9" s="10">
        <v>0.34066974480761208</v>
      </c>
      <c r="T9" s="10">
        <v>0.31091188406290299</v>
      </c>
      <c r="U9" s="10">
        <v>0.28241011386852799</v>
      </c>
      <c r="V9" s="10">
        <v>4.2955854620815712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</row>
    <row r="10" spans="1:51" x14ac:dyDescent="0.3">
      <c r="A10" s="10" t="s">
        <v>17</v>
      </c>
      <c r="B10" s="10">
        <v>2023</v>
      </c>
      <c r="C10" s="10">
        <v>-18994895</v>
      </c>
      <c r="D10" s="10">
        <v>120378</v>
      </c>
      <c r="E10" s="10">
        <v>158715638</v>
      </c>
      <c r="F10" s="10">
        <v>55259401</v>
      </c>
      <c r="G10" s="10">
        <v>32716223</v>
      </c>
      <c r="H10" s="10">
        <v>27434627</v>
      </c>
      <c r="I10" s="10">
        <v>126010937</v>
      </c>
      <c r="J10" s="10">
        <v>-145311362</v>
      </c>
      <c r="K10" s="10">
        <v>27824774</v>
      </c>
      <c r="L10" s="10"/>
      <c r="M10" s="10">
        <v>104802680</v>
      </c>
      <c r="N10" s="10">
        <v>-19115427</v>
      </c>
      <c r="O10" s="10">
        <v>0</v>
      </c>
      <c r="P10" s="10">
        <v>1.4053445732513661</v>
      </c>
      <c r="Q10" s="10">
        <v>0</v>
      </c>
      <c r="R10" s="10" t="s">
        <v>239</v>
      </c>
      <c r="S10" s="10">
        <v>0.17531211385736301</v>
      </c>
      <c r="T10" s="10">
        <v>-0.91554533523659465</v>
      </c>
      <c r="U10" s="10">
        <v>-0.1196787867872226</v>
      </c>
      <c r="V10" s="10">
        <v>3.8516346156461889</v>
      </c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</row>
    <row r="11" spans="1:51" x14ac:dyDescent="0.3">
      <c r="A11" s="10" t="s">
        <v>17</v>
      </c>
      <c r="B11" s="10">
        <v>2022</v>
      </c>
      <c r="C11" s="10">
        <v>-26475916</v>
      </c>
      <c r="D11" s="10">
        <v>163017</v>
      </c>
      <c r="E11" s="10">
        <v>172000176</v>
      </c>
      <c r="F11" s="10">
        <v>58105339</v>
      </c>
      <c r="G11" s="10">
        <v>26737653</v>
      </c>
      <c r="H11" s="10">
        <v>21395255</v>
      </c>
      <c r="I11" s="10">
        <v>145269594</v>
      </c>
      <c r="J11" s="10">
        <v>-126195935</v>
      </c>
      <c r="K11" s="10">
        <v>36710084</v>
      </c>
      <c r="L11" s="10"/>
      <c r="M11" s="10">
        <v>142773920</v>
      </c>
      <c r="N11" s="10">
        <v>-26743893</v>
      </c>
      <c r="O11" s="10"/>
      <c r="P11" s="10">
        <v>3.6786506814397759</v>
      </c>
      <c r="Q11" s="10">
        <v>0</v>
      </c>
      <c r="R11" s="10" t="s">
        <v>238</v>
      </c>
      <c r="S11" s="10">
        <v>0.21343050253623</v>
      </c>
      <c r="T11" s="10">
        <v>-0.73369654575237175</v>
      </c>
      <c r="U11" s="10">
        <v>-0.15392958667670201</v>
      </c>
      <c r="V11" s="10">
        <v>5.4331468061164534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</row>
    <row r="12" spans="1:51" x14ac:dyDescent="0.3">
      <c r="A12" s="10" t="s">
        <v>18</v>
      </c>
      <c r="B12" s="10">
        <v>2025</v>
      </c>
      <c r="C12" s="10">
        <v>416203000000</v>
      </c>
      <c r="D12" s="10">
        <v>325939000000</v>
      </c>
      <c r="E12" s="10">
        <v>8459645000000</v>
      </c>
      <c r="F12" s="10">
        <v>2025870000000</v>
      </c>
      <c r="G12" s="10">
        <v>4612426000000</v>
      </c>
      <c r="H12" s="10">
        <v>1004800000000</v>
      </c>
      <c r="I12" s="10">
        <v>3755965000000</v>
      </c>
      <c r="J12" s="10">
        <v>865916000000</v>
      </c>
      <c r="K12" s="10">
        <v>1021070000000</v>
      </c>
      <c r="L12" s="10"/>
      <c r="M12" s="10">
        <v>3008803000000</v>
      </c>
      <c r="N12" s="10">
        <v>58379000000</v>
      </c>
      <c r="O12" s="10">
        <v>3984911000000</v>
      </c>
      <c r="P12" s="10">
        <v>2.3111183709736549</v>
      </c>
      <c r="Q12" s="10">
        <v>0</v>
      </c>
      <c r="R12" s="10" t="s">
        <v>239</v>
      </c>
      <c r="S12" s="10">
        <v>0.12069891821701741</v>
      </c>
      <c r="T12" s="10">
        <v>0.102358432298282</v>
      </c>
      <c r="U12" s="10">
        <v>4.9198636585814179E-2</v>
      </c>
      <c r="V12" s="10">
        <v>0.81431441935328608</v>
      </c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</row>
    <row r="13" spans="1:51" x14ac:dyDescent="0.3">
      <c r="A13" s="10" t="s">
        <v>18</v>
      </c>
      <c r="B13" s="10">
        <v>2024</v>
      </c>
      <c r="C13" s="10">
        <v>429237000000</v>
      </c>
      <c r="D13" s="10">
        <v>314178000000</v>
      </c>
      <c r="E13" s="10">
        <v>8005185000000</v>
      </c>
      <c r="F13" s="10">
        <v>1626757000000</v>
      </c>
      <c r="G13" s="10">
        <v>4221635000000</v>
      </c>
      <c r="H13" s="10">
        <v>580916000000</v>
      </c>
      <c r="I13" s="10">
        <v>3694069000000</v>
      </c>
      <c r="J13" s="10">
        <v>838789000000</v>
      </c>
      <c r="K13" s="10">
        <v>1045841000000</v>
      </c>
      <c r="L13" s="10"/>
      <c r="M13" s="10">
        <v>2907675000000</v>
      </c>
      <c r="N13" s="10">
        <v>104947000000</v>
      </c>
      <c r="O13" s="10">
        <v>3629527000000</v>
      </c>
      <c r="P13" s="10">
        <v>2.4777292428486368</v>
      </c>
      <c r="Q13" s="10">
        <v>0</v>
      </c>
      <c r="R13" s="10" t="s">
        <v>239</v>
      </c>
      <c r="S13" s="10">
        <v>0.13064545041744821</v>
      </c>
      <c r="T13" s="10">
        <v>0.1047807139997389</v>
      </c>
      <c r="U13" s="10">
        <v>5.3619872620058122E-2</v>
      </c>
      <c r="V13" s="10">
        <v>0.87503277758498776</v>
      </c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</row>
    <row r="14" spans="1:51" x14ac:dyDescent="0.3">
      <c r="A14" s="10" t="s">
        <v>18</v>
      </c>
      <c r="B14" s="10">
        <v>2023</v>
      </c>
      <c r="C14" s="10">
        <v>504644000000</v>
      </c>
      <c r="D14" s="10">
        <v>291421000000</v>
      </c>
      <c r="E14" s="10">
        <v>7797759000000</v>
      </c>
      <c r="F14" s="10">
        <v>1644481000000</v>
      </c>
      <c r="G14" s="10">
        <v>4069613000000</v>
      </c>
      <c r="H14" s="10">
        <v>948726000000</v>
      </c>
      <c r="I14" s="10">
        <v>3640045000000</v>
      </c>
      <c r="J14" s="10">
        <v>771962000000</v>
      </c>
      <c r="K14" s="10">
        <v>695755000000</v>
      </c>
      <c r="L14" s="10"/>
      <c r="M14" s="10">
        <v>2822745000000</v>
      </c>
      <c r="N14" s="10">
        <v>165413000000</v>
      </c>
      <c r="O14" s="10">
        <v>3433897000000</v>
      </c>
      <c r="P14" s="10">
        <v>2.2821116267667811</v>
      </c>
      <c r="Q14" s="10">
        <v>0</v>
      </c>
      <c r="R14" s="10" t="s">
        <v>239</v>
      </c>
      <c r="S14" s="10">
        <v>8.9224994001481706E-2</v>
      </c>
      <c r="T14" s="10">
        <v>9.8997930046312022E-2</v>
      </c>
      <c r="U14" s="10">
        <v>6.4716542278364847E-2</v>
      </c>
      <c r="V14" s="10">
        <v>0.89444500005283056</v>
      </c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  <row r="15" spans="1:51" x14ac:dyDescent="0.3">
      <c r="A15" s="10" t="s">
        <v>18</v>
      </c>
      <c r="B15" s="10">
        <v>2022</v>
      </c>
      <c r="C15" s="10">
        <v>472917000000</v>
      </c>
      <c r="D15" s="10">
        <v>337627000000</v>
      </c>
      <c r="E15" s="10">
        <v>7955474000000</v>
      </c>
      <c r="F15" s="10">
        <v>1842947000000</v>
      </c>
      <c r="G15" s="10">
        <v>4404660000000</v>
      </c>
      <c r="H15" s="10">
        <v>1677690000000</v>
      </c>
      <c r="I15" s="10">
        <v>3463071000000</v>
      </c>
      <c r="J15" s="10">
        <v>626453000000</v>
      </c>
      <c r="K15" s="10">
        <v>165257000000</v>
      </c>
      <c r="L15" s="10"/>
      <c r="M15" s="10">
        <v>2612464000000</v>
      </c>
      <c r="N15" s="10">
        <v>88382000000</v>
      </c>
      <c r="O15" s="10">
        <v>3801127000000</v>
      </c>
      <c r="P15" s="10">
        <v>1.6179915509585869</v>
      </c>
      <c r="Q15" s="10">
        <v>0</v>
      </c>
      <c r="R15" s="10" t="s">
        <v>239</v>
      </c>
      <c r="S15" s="10">
        <v>2.0772740882567149E-2</v>
      </c>
      <c r="T15" s="10">
        <v>7.874489942396895E-2</v>
      </c>
      <c r="U15" s="10">
        <v>5.9445483700908332E-2</v>
      </c>
      <c r="V15" s="10">
        <v>0.78622890302543214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</row>
    <row r="16" spans="1:51" x14ac:dyDescent="0.3">
      <c r="A16" s="10" t="s">
        <v>20</v>
      </c>
      <c r="B16" s="10">
        <v>2025</v>
      </c>
      <c r="C16" s="10">
        <v>98259938000</v>
      </c>
      <c r="D16" s="10">
        <v>70168251000</v>
      </c>
      <c r="E16" s="10">
        <v>3637136641000</v>
      </c>
      <c r="F16" s="10">
        <v>1289999217000</v>
      </c>
      <c r="G16" s="10">
        <v>1860257837000</v>
      </c>
      <c r="H16" s="10">
        <v>1125117540000</v>
      </c>
      <c r="I16" s="10">
        <v>1776967263000</v>
      </c>
      <c r="J16" s="10">
        <v>738901717000</v>
      </c>
      <c r="K16" s="10">
        <v>164881677000</v>
      </c>
      <c r="L16" s="10"/>
      <c r="M16" s="10">
        <v>2938710803000</v>
      </c>
      <c r="N16" s="10">
        <v>12662908000</v>
      </c>
      <c r="O16" s="10">
        <v>1340652754000</v>
      </c>
      <c r="P16" s="10">
        <v>2.1442013495935059</v>
      </c>
      <c r="Q16" s="10">
        <v>0</v>
      </c>
      <c r="R16" s="10" t="s">
        <v>239</v>
      </c>
      <c r="S16" s="10">
        <v>4.5332824492034247E-2</v>
      </c>
      <c r="T16" s="10">
        <v>0.20315478628728259</v>
      </c>
      <c r="U16" s="10">
        <v>2.7015740044614951E-2</v>
      </c>
      <c r="V16" s="10">
        <v>0.95522632812324504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</row>
    <row r="17" spans="1:22" x14ac:dyDescent="0.3">
      <c r="A17" s="10" t="s">
        <v>20</v>
      </c>
      <c r="B17" s="10">
        <v>2024</v>
      </c>
      <c r="C17" s="10">
        <v>110854444000</v>
      </c>
      <c r="D17" s="10">
        <v>76403210000</v>
      </c>
      <c r="E17" s="10">
        <v>3354191904000</v>
      </c>
      <c r="F17" s="10">
        <v>1259516805000</v>
      </c>
      <c r="G17" s="10">
        <v>1619702570000</v>
      </c>
      <c r="H17" s="10">
        <v>1057869607000</v>
      </c>
      <c r="I17" s="10">
        <v>1734584140000</v>
      </c>
      <c r="J17" s="10">
        <v>734805906000</v>
      </c>
      <c r="K17" s="10">
        <v>201647198000</v>
      </c>
      <c r="L17" s="10"/>
      <c r="M17" s="10">
        <v>3025035536000</v>
      </c>
      <c r="N17" s="10">
        <v>10625480000</v>
      </c>
      <c r="O17" s="10">
        <v>1071690996000</v>
      </c>
      <c r="P17" s="10">
        <v>2.45511180986475</v>
      </c>
      <c r="Q17" s="10">
        <v>0</v>
      </c>
      <c r="R17" s="10" t="s">
        <v>239</v>
      </c>
      <c r="S17" s="10">
        <v>6.011796694146454E-2</v>
      </c>
      <c r="T17" s="10">
        <v>0.2190709199207464</v>
      </c>
      <c r="U17" s="10">
        <v>3.304952345386139E-2</v>
      </c>
      <c r="V17" s="10">
        <v>1.0709275715972959</v>
      </c>
    </row>
    <row r="18" spans="1:22" x14ac:dyDescent="0.3">
      <c r="A18" s="10" t="s">
        <v>20</v>
      </c>
      <c r="B18" s="10">
        <v>2023</v>
      </c>
      <c r="C18" s="10">
        <v>29390590000</v>
      </c>
      <c r="D18" s="10">
        <v>71359749000</v>
      </c>
      <c r="E18" s="10">
        <v>3351569378000</v>
      </c>
      <c r="F18" s="10">
        <v>1245292854000</v>
      </c>
      <c r="G18" s="10">
        <v>1699640104000</v>
      </c>
      <c r="H18" s="10">
        <v>1065296093000</v>
      </c>
      <c r="I18" s="10">
        <v>1652032849000</v>
      </c>
      <c r="J18" s="10">
        <v>721346251000</v>
      </c>
      <c r="K18" s="10">
        <v>179996761000</v>
      </c>
      <c r="L18" s="10"/>
      <c r="M18" s="10">
        <v>2723631493000</v>
      </c>
      <c r="N18" s="10">
        <v>-29647091000</v>
      </c>
      <c r="O18" s="10">
        <v>1131272121000</v>
      </c>
      <c r="P18" s="10">
        <v>2.1334626586625851</v>
      </c>
      <c r="Q18" s="10">
        <v>0</v>
      </c>
      <c r="R18" s="10" t="s">
        <v>239</v>
      </c>
      <c r="S18" s="10">
        <v>5.3705217078755627E-2</v>
      </c>
      <c r="T18" s="10">
        <v>0.2152264117624958</v>
      </c>
      <c r="U18" s="10">
        <v>8.7692023303836252E-3</v>
      </c>
      <c r="V18" s="10">
        <v>0.97198980249526989</v>
      </c>
    </row>
    <row r="19" spans="1:22" x14ac:dyDescent="0.3">
      <c r="A19" s="10" t="s">
        <v>20</v>
      </c>
      <c r="B19" s="10">
        <v>2022</v>
      </c>
      <c r="C19" s="10">
        <v>324696332000</v>
      </c>
      <c r="D19" s="10">
        <v>54029437000</v>
      </c>
      <c r="E19" s="10">
        <v>3590544759000</v>
      </c>
      <c r="F19" s="10">
        <v>1377131019000</v>
      </c>
      <c r="G19" s="10">
        <v>1844891328000</v>
      </c>
      <c r="H19" s="10">
        <v>1110996412000</v>
      </c>
      <c r="I19" s="10">
        <v>1745769138000</v>
      </c>
      <c r="J19" s="10">
        <v>762525667000</v>
      </c>
      <c r="K19" s="10">
        <v>266134607000</v>
      </c>
      <c r="L19" s="10"/>
      <c r="M19" s="10">
        <v>3105631649000</v>
      </c>
      <c r="N19" s="10">
        <v>195539417000</v>
      </c>
      <c r="O19" s="10">
        <v>1037776431000</v>
      </c>
      <c r="P19" s="10">
        <v>2.7798427687926002</v>
      </c>
      <c r="Q19" s="10">
        <v>0</v>
      </c>
      <c r="R19" s="10" t="s">
        <v>238</v>
      </c>
      <c r="S19" s="10">
        <v>7.4120955137214603E-2</v>
      </c>
      <c r="T19" s="10">
        <v>0.2123704669294724</v>
      </c>
      <c r="U19" s="10">
        <v>9.0430938421285953E-2</v>
      </c>
      <c r="V19" s="10">
        <v>0.9462720711536674</v>
      </c>
    </row>
    <row r="20" spans="1:22" x14ac:dyDescent="0.3">
      <c r="A20" s="10" t="s">
        <v>21</v>
      </c>
      <c r="B20" s="10">
        <v>2025</v>
      </c>
      <c r="C20" s="10">
        <v>3355829729000</v>
      </c>
      <c r="D20" s="10">
        <v>73767925000</v>
      </c>
      <c r="E20" s="10">
        <v>36562281257000</v>
      </c>
      <c r="F20" s="10">
        <v>23323716152000</v>
      </c>
      <c r="G20" s="10">
        <v>20952331788000</v>
      </c>
      <c r="H20" s="10">
        <v>15837200190000</v>
      </c>
      <c r="I20" s="10">
        <v>12155935632000</v>
      </c>
      <c r="J20" s="10">
        <v>10136709446000</v>
      </c>
      <c r="K20" s="10">
        <v>7486515962000</v>
      </c>
      <c r="L20" s="10"/>
      <c r="M20" s="10">
        <v>46018468072000</v>
      </c>
      <c r="N20" s="10">
        <v>2472616076000</v>
      </c>
      <c r="O20" s="10">
        <v>5712782285000</v>
      </c>
      <c r="P20" s="10">
        <v>3.4730160043484428</v>
      </c>
      <c r="Q20" s="10">
        <v>0</v>
      </c>
      <c r="R20" s="10" t="s">
        <v>238</v>
      </c>
      <c r="S20" s="10">
        <v>0.20476063595092761</v>
      </c>
      <c r="T20" s="10">
        <v>0.27724499395286728</v>
      </c>
      <c r="U20" s="10">
        <v>9.178392632044842E-2</v>
      </c>
      <c r="V20" s="10">
        <v>0.58017101652437808</v>
      </c>
    </row>
    <row r="21" spans="1:22" x14ac:dyDescent="0.3">
      <c r="A21" s="10" t="s">
        <v>21</v>
      </c>
      <c r="B21" s="10">
        <v>2024</v>
      </c>
      <c r="C21" s="10">
        <v>2897260201000</v>
      </c>
      <c r="D21" s="10">
        <v>84909111000</v>
      </c>
      <c r="E21" s="10">
        <v>33108684368000</v>
      </c>
      <c r="F21" s="10">
        <v>20998111740000</v>
      </c>
      <c r="G21" s="10">
        <v>18484691894000</v>
      </c>
      <c r="H21" s="10">
        <v>13454247427000</v>
      </c>
      <c r="I21" s="10">
        <v>11562536639000</v>
      </c>
      <c r="J21" s="10">
        <v>9647271262000</v>
      </c>
      <c r="K21" s="10">
        <v>7543864313000</v>
      </c>
      <c r="L21" s="10"/>
      <c r="M21" s="10">
        <v>38729493298000</v>
      </c>
      <c r="N21" s="10">
        <v>2225117975000</v>
      </c>
      <c r="O21" s="10">
        <v>5317111993000</v>
      </c>
      <c r="P21" s="10">
        <v>3.6894573678667641</v>
      </c>
      <c r="Q21" s="10">
        <v>0</v>
      </c>
      <c r="R21" s="10" t="s">
        <v>238</v>
      </c>
      <c r="S21" s="10">
        <v>0.22785152768834421</v>
      </c>
      <c r="T21" s="10">
        <v>0.29138189711108609</v>
      </c>
      <c r="U21" s="10">
        <v>8.7507560517875546E-2</v>
      </c>
      <c r="V21" s="10">
        <v>0.62551957616091602</v>
      </c>
    </row>
    <row r="22" spans="1:22" x14ac:dyDescent="0.3">
      <c r="A22" s="10" t="s">
        <v>21</v>
      </c>
      <c r="B22" s="10">
        <v>2023</v>
      </c>
      <c r="C22" s="10">
        <v>3736147627000</v>
      </c>
      <c r="D22" s="10">
        <v>68489236000</v>
      </c>
      <c r="E22" s="10">
        <v>30296571806000</v>
      </c>
      <c r="F22" s="10">
        <v>18163000346000</v>
      </c>
      <c r="G22" s="10">
        <v>16253614293000</v>
      </c>
      <c r="H22" s="10">
        <v>12575326497000</v>
      </c>
      <c r="I22" s="10">
        <v>11262624208000</v>
      </c>
      <c r="J22" s="10">
        <v>9392897529000</v>
      </c>
      <c r="K22" s="10">
        <v>5587673849000</v>
      </c>
      <c r="L22" s="10"/>
      <c r="M22" s="10">
        <v>42086952436000</v>
      </c>
      <c r="N22" s="10">
        <v>2780349511000</v>
      </c>
      <c r="O22" s="10">
        <v>4628766141000</v>
      </c>
      <c r="P22" s="10">
        <v>3.7768625129605531</v>
      </c>
      <c r="Q22" s="10">
        <v>0</v>
      </c>
      <c r="R22" s="10" t="s">
        <v>238</v>
      </c>
      <c r="S22" s="10">
        <v>0.18443254519950031</v>
      </c>
      <c r="T22" s="10">
        <v>0.31003169563692379</v>
      </c>
      <c r="U22" s="10">
        <v>0.12331915475202659</v>
      </c>
      <c r="V22" s="10">
        <v>0.69293044642080093</v>
      </c>
    </row>
    <row r="23" spans="1:22" x14ac:dyDescent="0.3">
      <c r="A23" s="10" t="s">
        <v>21</v>
      </c>
      <c r="B23" s="10">
        <v>2022</v>
      </c>
      <c r="C23" s="10">
        <v>3081029091000</v>
      </c>
      <c r="D23" s="10">
        <v>57212531000</v>
      </c>
      <c r="E23" s="10">
        <v>27187608036000</v>
      </c>
      <c r="F23" s="10">
        <v>15841294251000</v>
      </c>
      <c r="G23" s="10">
        <v>14032797261000</v>
      </c>
      <c r="H23" s="10">
        <v>11280491593000</v>
      </c>
      <c r="I23" s="10">
        <v>10968862687000</v>
      </c>
      <c r="J23" s="10">
        <v>9090404725000</v>
      </c>
      <c r="K23" s="10">
        <v>4560802658000</v>
      </c>
      <c r="L23" s="10"/>
      <c r="M23" s="10">
        <v>47539986604000</v>
      </c>
      <c r="N23" s="10">
        <v>2403334889000</v>
      </c>
      <c r="O23" s="10">
        <v>3016563253000</v>
      </c>
      <c r="P23" s="10">
        <v>3.7727523315280642</v>
      </c>
      <c r="Q23" s="10">
        <v>0</v>
      </c>
      <c r="R23" s="10" t="s">
        <v>238</v>
      </c>
      <c r="S23" s="10">
        <v>0.16775299437747121</v>
      </c>
      <c r="T23" s="10">
        <v>0.33435838537038998</v>
      </c>
      <c r="U23" s="10">
        <v>0.11332475762193971</v>
      </c>
      <c r="V23" s="10">
        <v>0.78165902941423537</v>
      </c>
    </row>
    <row r="24" spans="1:22" x14ac:dyDescent="0.3">
      <c r="A24" s="10" t="s">
        <v>22</v>
      </c>
      <c r="B24" s="10">
        <v>2025</v>
      </c>
      <c r="C24" s="10">
        <v>93805837241</v>
      </c>
      <c r="D24" s="10">
        <v>46361128337</v>
      </c>
      <c r="E24" s="10">
        <v>2088153839835</v>
      </c>
      <c r="F24" s="10">
        <v>1025554589240</v>
      </c>
      <c r="G24" s="10">
        <v>1031624941322</v>
      </c>
      <c r="H24" s="10">
        <v>851473350517</v>
      </c>
      <c r="I24" s="10">
        <v>1049126800036</v>
      </c>
      <c r="J24" s="10">
        <v>360527659034</v>
      </c>
      <c r="K24" s="10">
        <v>174081238723</v>
      </c>
      <c r="L24" s="10"/>
      <c r="M24" s="10">
        <v>2119242447464</v>
      </c>
      <c r="N24" s="10">
        <v>35118202918</v>
      </c>
      <c r="O24" s="10">
        <v>612237488056</v>
      </c>
      <c r="P24" s="10">
        <v>2.4794281370295281</v>
      </c>
      <c r="Q24" s="10">
        <v>0</v>
      </c>
      <c r="R24" s="10" t="s">
        <v>239</v>
      </c>
      <c r="S24" s="10">
        <v>8.3366098513486628E-2</v>
      </c>
      <c r="T24" s="10">
        <v>0.17265378256924199</v>
      </c>
      <c r="U24" s="10">
        <v>4.4922857431046487E-2</v>
      </c>
      <c r="V24" s="10">
        <v>1.016965331113042</v>
      </c>
    </row>
    <row r="25" spans="1:22" x14ac:dyDescent="0.3">
      <c r="A25" s="10" t="s">
        <v>22</v>
      </c>
      <c r="B25" s="10">
        <v>2024</v>
      </c>
      <c r="C25" s="10">
        <v>34764815987</v>
      </c>
      <c r="D25" s="10">
        <v>45102961696</v>
      </c>
      <c r="E25" s="10">
        <v>2046681278169</v>
      </c>
      <c r="F25" s="10">
        <v>947105255724</v>
      </c>
      <c r="G25" s="10">
        <v>1019907046039</v>
      </c>
      <c r="H25" s="10">
        <v>767212518685</v>
      </c>
      <c r="I25" s="10">
        <v>1019581996947</v>
      </c>
      <c r="J25" s="10">
        <v>328732516045</v>
      </c>
      <c r="K25" s="10">
        <v>179892737039</v>
      </c>
      <c r="L25" s="10"/>
      <c r="M25" s="10">
        <v>1856914462624</v>
      </c>
      <c r="N25" s="10">
        <v>-8642229912</v>
      </c>
      <c r="O25" s="10">
        <v>580966123579</v>
      </c>
      <c r="P25" s="10">
        <v>2.2640136552236778</v>
      </c>
      <c r="Q25" s="10">
        <v>0</v>
      </c>
      <c r="R25" s="10" t="s">
        <v>239</v>
      </c>
      <c r="S25" s="10">
        <v>8.7894846626991902E-2</v>
      </c>
      <c r="T25" s="10">
        <v>0.16061734650697071</v>
      </c>
      <c r="U25" s="10">
        <v>1.698594517760052E-2</v>
      </c>
      <c r="V25" s="10">
        <v>0.99968129537563022</v>
      </c>
    </row>
    <row r="26" spans="1:22" x14ac:dyDescent="0.3">
      <c r="A26" s="10" t="s">
        <v>22</v>
      </c>
      <c r="B26" s="10">
        <v>2023</v>
      </c>
      <c r="C26" s="10">
        <v>46663715245</v>
      </c>
      <c r="D26" s="10">
        <v>42658220003</v>
      </c>
      <c r="E26" s="10">
        <v>1751702567743</v>
      </c>
      <c r="F26" s="10">
        <v>876816259095</v>
      </c>
      <c r="G26" s="10">
        <v>941764934889</v>
      </c>
      <c r="H26" s="10">
        <v>680008440675</v>
      </c>
      <c r="I26" s="10">
        <v>803523306242</v>
      </c>
      <c r="J26" s="10">
        <v>338564745577</v>
      </c>
      <c r="K26" s="10">
        <v>196807818420</v>
      </c>
      <c r="L26" s="10"/>
      <c r="M26" s="10">
        <v>1652496343253</v>
      </c>
      <c r="N26" s="10">
        <v>2718710415</v>
      </c>
      <c r="O26" s="10">
        <v>574709740379</v>
      </c>
      <c r="P26" s="10">
        <v>2.4420009138379699</v>
      </c>
      <c r="Q26" s="10">
        <v>0</v>
      </c>
      <c r="R26" s="10" t="s">
        <v>239</v>
      </c>
      <c r="S26" s="10">
        <v>0.1123523034356107</v>
      </c>
      <c r="T26" s="10">
        <v>0.19327752999370629</v>
      </c>
      <c r="U26" s="10">
        <v>2.6639063105972589E-2</v>
      </c>
      <c r="V26" s="10">
        <v>0.85321004899880493</v>
      </c>
    </row>
    <row r="27" spans="1:22" x14ac:dyDescent="0.3">
      <c r="A27" s="10" t="s">
        <v>22</v>
      </c>
      <c r="B27" s="10">
        <v>2022</v>
      </c>
      <c r="C27" s="10">
        <v>100368036323</v>
      </c>
      <c r="D27" s="10">
        <v>15523445910</v>
      </c>
      <c r="E27" s="10">
        <v>1568806950187</v>
      </c>
      <c r="F27" s="10">
        <v>714110899271</v>
      </c>
      <c r="G27" s="10">
        <v>803638004050</v>
      </c>
      <c r="H27" s="10">
        <v>508007638970</v>
      </c>
      <c r="I27" s="10">
        <v>758960288347</v>
      </c>
      <c r="J27" s="10">
        <v>340889319182</v>
      </c>
      <c r="K27" s="10">
        <v>206103260301</v>
      </c>
      <c r="L27" s="10"/>
      <c r="M27" s="10">
        <v>1401914243306</v>
      </c>
      <c r="N27" s="10">
        <v>65304232607</v>
      </c>
      <c r="O27" s="10">
        <v>519668782856</v>
      </c>
      <c r="P27" s="10">
        <v>2.991750808408606</v>
      </c>
      <c r="Q27" s="10">
        <v>0</v>
      </c>
      <c r="R27" s="10" t="s">
        <v>238</v>
      </c>
      <c r="S27" s="10">
        <v>0.13137579501189281</v>
      </c>
      <c r="T27" s="10">
        <v>0.2172920760845472</v>
      </c>
      <c r="U27" s="10">
        <v>6.3977302185610693E-2</v>
      </c>
      <c r="V27" s="10">
        <v>0.94440567086444027</v>
      </c>
    </row>
    <row r="28" spans="1:22" x14ac:dyDescent="0.3">
      <c r="A28" s="10" t="s">
        <v>23</v>
      </c>
      <c r="B28" s="10">
        <v>2025</v>
      </c>
      <c r="C28" s="10">
        <v>225095000000</v>
      </c>
      <c r="D28" s="10">
        <v>84016000000</v>
      </c>
      <c r="E28" s="10">
        <v>7077828000000</v>
      </c>
      <c r="F28" s="10">
        <v>2286743000000</v>
      </c>
      <c r="G28" s="10">
        <v>2396846000000</v>
      </c>
      <c r="H28" s="10">
        <v>1345435000000</v>
      </c>
      <c r="I28" s="10">
        <v>4680982000000</v>
      </c>
      <c r="J28" s="10">
        <v>4216399000000</v>
      </c>
      <c r="K28" s="10">
        <v>941308000000</v>
      </c>
      <c r="L28" s="10"/>
      <c r="M28" s="10">
        <v>5085991000000</v>
      </c>
      <c r="N28" s="10">
        <v>79631000000</v>
      </c>
      <c r="O28" s="10">
        <v>1112833000000</v>
      </c>
      <c r="P28" s="10">
        <v>5.0788246103227017</v>
      </c>
      <c r="Q28" s="10">
        <v>0</v>
      </c>
      <c r="R28" s="10" t="s">
        <v>238</v>
      </c>
      <c r="S28" s="10">
        <v>0.13299390717039181</v>
      </c>
      <c r="T28" s="10">
        <v>0.59571933649701581</v>
      </c>
      <c r="U28" s="10">
        <v>3.1802835559157423E-2</v>
      </c>
      <c r="V28" s="10">
        <v>1.952975702235354</v>
      </c>
    </row>
    <row r="29" spans="1:22" x14ac:dyDescent="0.3">
      <c r="A29" s="10" t="s">
        <v>23</v>
      </c>
      <c r="B29" s="10">
        <v>2024</v>
      </c>
      <c r="C29" s="10">
        <v>421672000000</v>
      </c>
      <c r="D29" s="10">
        <v>105413000000</v>
      </c>
      <c r="E29" s="10">
        <v>7271566000000</v>
      </c>
      <c r="F29" s="10">
        <v>2128507000000</v>
      </c>
      <c r="G29" s="10">
        <v>2778081000000</v>
      </c>
      <c r="H29" s="10">
        <v>1502915000000</v>
      </c>
      <c r="I29" s="10">
        <v>4493485000000</v>
      </c>
      <c r="J29" s="10">
        <v>4028902000000</v>
      </c>
      <c r="K29" s="10">
        <v>625592000000</v>
      </c>
      <c r="L29" s="10"/>
      <c r="M29" s="10">
        <v>5441260000000</v>
      </c>
      <c r="N29" s="10">
        <v>238610000000</v>
      </c>
      <c r="O29" s="10">
        <v>1304086000000</v>
      </c>
      <c r="P29" s="10">
        <v>4.4586569231009703</v>
      </c>
      <c r="Q29" s="10">
        <v>0</v>
      </c>
      <c r="R29" s="10" t="s">
        <v>238</v>
      </c>
      <c r="S29" s="10">
        <v>8.6032637261354711E-2</v>
      </c>
      <c r="T29" s="10">
        <v>0.55406249492887771</v>
      </c>
      <c r="U29" s="10">
        <v>5.7989159419030233E-2</v>
      </c>
      <c r="V29" s="10">
        <v>1.61747803609758</v>
      </c>
    </row>
    <row r="30" spans="1:22" x14ac:dyDescent="0.3">
      <c r="A30" s="10" t="s">
        <v>23</v>
      </c>
      <c r="B30" s="10">
        <v>2023</v>
      </c>
      <c r="C30" s="10">
        <v>899375000000</v>
      </c>
      <c r="D30" s="10">
        <v>143625000000</v>
      </c>
      <c r="E30" s="10">
        <v>7500664000000</v>
      </c>
      <c r="F30" s="10">
        <v>2776505000000</v>
      </c>
      <c r="G30" s="10">
        <v>3259927000000</v>
      </c>
      <c r="H30" s="10">
        <v>1922939000000</v>
      </c>
      <c r="I30" s="10">
        <v>4240737000000</v>
      </c>
      <c r="J30" s="10">
        <v>3776154000000</v>
      </c>
      <c r="K30" s="10">
        <v>853566000000</v>
      </c>
      <c r="L30" s="10"/>
      <c r="M30" s="10">
        <v>5913565000000</v>
      </c>
      <c r="N30" s="10">
        <v>583297000000</v>
      </c>
      <c r="O30" s="10">
        <v>1841580000000</v>
      </c>
      <c r="P30" s="10">
        <v>4.5594234032582177</v>
      </c>
      <c r="Q30" s="10">
        <v>0</v>
      </c>
      <c r="R30" s="10" t="s">
        <v>238</v>
      </c>
      <c r="S30" s="10">
        <v>0.1137987250195449</v>
      </c>
      <c r="T30" s="10">
        <v>0.50344262854595279</v>
      </c>
      <c r="U30" s="10">
        <v>0.11990605098428619</v>
      </c>
      <c r="V30" s="10">
        <v>1.30086870043409</v>
      </c>
    </row>
    <row r="31" spans="1:22" x14ac:dyDescent="0.3">
      <c r="A31" s="10" t="s">
        <v>23</v>
      </c>
      <c r="B31" s="10">
        <v>2022</v>
      </c>
      <c r="C31" s="10">
        <v>660571000000</v>
      </c>
      <c r="D31" s="10">
        <v>94731000000</v>
      </c>
      <c r="E31" s="10">
        <v>7466520000000</v>
      </c>
      <c r="F31" s="10">
        <v>2392927000000</v>
      </c>
      <c r="G31" s="10">
        <v>3746348000000</v>
      </c>
      <c r="H31" s="10">
        <v>1986252000000</v>
      </c>
      <c r="I31" s="10">
        <v>3720172000000</v>
      </c>
      <c r="J31" s="10">
        <v>3255589000000</v>
      </c>
      <c r="K31" s="10">
        <v>406675000000</v>
      </c>
      <c r="L31" s="10"/>
      <c r="M31" s="10">
        <v>5571767000000</v>
      </c>
      <c r="N31" s="10">
        <v>437370000000</v>
      </c>
      <c r="O31" s="10">
        <v>2399562000000</v>
      </c>
      <c r="P31" s="10">
        <v>3.4159305403659181</v>
      </c>
      <c r="Q31" s="10">
        <v>0</v>
      </c>
      <c r="R31" s="10" t="s">
        <v>238</v>
      </c>
      <c r="S31" s="10">
        <v>5.4466471662836233E-2</v>
      </c>
      <c r="T31" s="10">
        <v>0.43602494870434949</v>
      </c>
      <c r="U31" s="10">
        <v>8.8471068181696422E-2</v>
      </c>
      <c r="V31" s="10">
        <v>0.99301292885765013</v>
      </c>
    </row>
    <row r="32" spans="1:22" x14ac:dyDescent="0.3">
      <c r="A32" s="10" t="s">
        <v>24</v>
      </c>
      <c r="B32" s="10">
        <v>2022</v>
      </c>
      <c r="C32" s="10">
        <v>2965672400</v>
      </c>
      <c r="D32" s="10">
        <v>14969816054</v>
      </c>
      <c r="E32" s="10">
        <v>444210370402</v>
      </c>
      <c r="F32" s="10">
        <v>77817661367</v>
      </c>
      <c r="G32" s="10">
        <v>205516461751</v>
      </c>
      <c r="H32" s="10">
        <v>51320417645</v>
      </c>
      <c r="I32" s="10">
        <v>238693908651</v>
      </c>
      <c r="J32" s="10">
        <v>-19285693307</v>
      </c>
      <c r="K32" s="10">
        <v>26497243722</v>
      </c>
      <c r="L32" s="10"/>
      <c r="M32" s="10">
        <v>317855645702</v>
      </c>
      <c r="N32" s="10">
        <v>-10787670426</v>
      </c>
      <c r="O32" s="10">
        <v>167401015283</v>
      </c>
      <c r="P32" s="10">
        <v>1.5141411212162159</v>
      </c>
      <c r="Q32" s="10">
        <v>0</v>
      </c>
      <c r="R32" s="10" t="s">
        <v>239</v>
      </c>
      <c r="S32" s="10">
        <v>5.9650214149707073E-2</v>
      </c>
      <c r="T32" s="10">
        <v>-4.3415675526771023E-2</v>
      </c>
      <c r="U32" s="10">
        <v>6.6762790731700744E-3</v>
      </c>
      <c r="V32" s="10">
        <v>1.1614344983235321</v>
      </c>
    </row>
    <row r="33" spans="1:22" x14ac:dyDescent="0.3">
      <c r="A33" s="10" t="s">
        <v>25</v>
      </c>
      <c r="B33" s="10">
        <v>2025</v>
      </c>
      <c r="C33" s="10">
        <v>-355238671258.30548</v>
      </c>
      <c r="D33" s="10">
        <v>95303361140.608734</v>
      </c>
      <c r="E33" s="10">
        <v>5296889315042.1709</v>
      </c>
      <c r="F33" s="10">
        <v>1654952034475.521</v>
      </c>
      <c r="G33" s="10">
        <v>1508920870942.217</v>
      </c>
      <c r="H33" s="10">
        <v>1372093634310.5129</v>
      </c>
      <c r="I33" s="10">
        <v>3781489973632.5532</v>
      </c>
      <c r="J33" s="10">
        <v>2771387099277.3042</v>
      </c>
      <c r="K33" s="10">
        <v>282858400165.00873</v>
      </c>
      <c r="L33" s="10"/>
      <c r="M33" s="10">
        <v>3959007262981.5591</v>
      </c>
      <c r="N33" s="10">
        <v>-990540425917.89453</v>
      </c>
      <c r="O33" s="10">
        <v>975546909963.55994</v>
      </c>
      <c r="P33" s="10">
        <v>4.2366882915013493</v>
      </c>
      <c r="Q33" s="10">
        <v>0</v>
      </c>
      <c r="R33" s="10" t="s">
        <v>238</v>
      </c>
      <c r="S33" s="10">
        <v>5.3400851583162968E-2</v>
      </c>
      <c r="T33" s="10">
        <v>0.52321030975804705</v>
      </c>
      <c r="U33" s="10">
        <v>-6.7065526600583167E-2</v>
      </c>
      <c r="V33" s="10">
        <v>2.5060889848195109</v>
      </c>
    </row>
    <row r="34" spans="1:22" x14ac:dyDescent="0.3">
      <c r="A34" s="10" t="s">
        <v>25</v>
      </c>
      <c r="B34" s="10">
        <v>2024</v>
      </c>
      <c r="C34" s="10">
        <v>486022783729.83978</v>
      </c>
      <c r="D34" s="10">
        <v>162136571787.37439</v>
      </c>
      <c r="E34" s="10">
        <v>7684349394118.4268</v>
      </c>
      <c r="F34" s="10">
        <v>1022393506611.043</v>
      </c>
      <c r="G34" s="10">
        <v>2968866437408.4932</v>
      </c>
      <c r="H34" s="10">
        <v>814262577614.98267</v>
      </c>
      <c r="I34" s="10">
        <v>4701537781703.0498</v>
      </c>
      <c r="J34" s="10">
        <v>3514033594701.7031</v>
      </c>
      <c r="K34" s="10">
        <v>208130928996.06</v>
      </c>
      <c r="L34" s="10"/>
      <c r="M34" s="10">
        <v>3756333790950.0708</v>
      </c>
      <c r="N34" s="10">
        <v>61039352300.518082</v>
      </c>
      <c r="O34" s="10">
        <v>2379592639622.1572</v>
      </c>
      <c r="P34" s="10">
        <v>3.7562913470531951</v>
      </c>
      <c r="Q34" s="10">
        <v>0</v>
      </c>
      <c r="R34" s="10" t="s">
        <v>238</v>
      </c>
      <c r="S34" s="10">
        <v>2.7085042379171701E-2</v>
      </c>
      <c r="T34" s="10">
        <v>0.45729747757062322</v>
      </c>
      <c r="U34" s="10">
        <v>6.3248397333655837E-2</v>
      </c>
      <c r="V34" s="10">
        <v>1.58361377341279</v>
      </c>
    </row>
    <row r="35" spans="1:22" x14ac:dyDescent="0.3">
      <c r="A35" s="10" t="s">
        <v>25</v>
      </c>
      <c r="B35" s="10">
        <v>2023</v>
      </c>
      <c r="C35" s="10">
        <v>340571883576.50488</v>
      </c>
      <c r="D35" s="10">
        <v>151672491033.45309</v>
      </c>
      <c r="E35" s="10">
        <v>7629213408802.9482</v>
      </c>
      <c r="F35" s="10">
        <v>856553364098.76575</v>
      </c>
      <c r="G35" s="10">
        <v>2940729126130.4941</v>
      </c>
      <c r="H35" s="10">
        <v>819262831477.85901</v>
      </c>
      <c r="I35" s="10">
        <v>4666163691180.3486</v>
      </c>
      <c r="J35" s="10">
        <v>3310873830238.585</v>
      </c>
      <c r="K35" s="10">
        <v>37290532620.906723</v>
      </c>
      <c r="L35" s="10"/>
      <c r="M35" s="10">
        <v>3709638746393.2441</v>
      </c>
      <c r="N35" s="10">
        <v>80509735936.095367</v>
      </c>
      <c r="O35" s="10">
        <v>2356968332367.834</v>
      </c>
      <c r="P35" s="10">
        <v>3.41287484625009</v>
      </c>
      <c r="Q35" s="10">
        <v>0</v>
      </c>
      <c r="R35" s="10" t="s">
        <v>238</v>
      </c>
      <c r="S35" s="10">
        <v>4.8878607298989884E-3</v>
      </c>
      <c r="T35" s="10">
        <v>0.43397315723510133</v>
      </c>
      <c r="U35" s="10">
        <v>4.4640497693187717E-2</v>
      </c>
      <c r="V35" s="10">
        <v>1.5867369931212389</v>
      </c>
    </row>
    <row r="36" spans="1:22" x14ac:dyDescent="0.3">
      <c r="A36" s="10" t="s">
        <v>25</v>
      </c>
      <c r="B36" s="10">
        <v>2022</v>
      </c>
      <c r="C36" s="10">
        <v>615702272789.02051</v>
      </c>
      <c r="D36" s="10">
        <v>78829633649.853699</v>
      </c>
      <c r="E36" s="10">
        <v>8816155182835.2734</v>
      </c>
      <c r="F36" s="10">
        <v>920224253173.68616</v>
      </c>
      <c r="G36" s="10">
        <v>2776781298377.6021</v>
      </c>
      <c r="H36" s="10">
        <v>629633718004.78479</v>
      </c>
      <c r="I36" s="10">
        <v>6006619199938.8271</v>
      </c>
      <c r="J36" s="10">
        <v>4739967235429.1973</v>
      </c>
      <c r="K36" s="10">
        <v>290590535168.90143</v>
      </c>
      <c r="L36" s="10"/>
      <c r="M36" s="10">
        <v>4187696747026.5151</v>
      </c>
      <c r="N36" s="10">
        <v>337939684774.2746</v>
      </c>
      <c r="O36" s="10">
        <v>2105455523039.5471</v>
      </c>
      <c r="P36" s="10">
        <v>4.7095777416784568</v>
      </c>
      <c r="Q36" s="10">
        <v>0</v>
      </c>
      <c r="R36" s="10" t="s">
        <v>238</v>
      </c>
      <c r="S36" s="10">
        <v>3.2961141125858399E-2</v>
      </c>
      <c r="T36" s="10">
        <v>0.53764562183044795</v>
      </c>
      <c r="U36" s="10">
        <v>6.9837957706072359E-2</v>
      </c>
      <c r="V36" s="10">
        <v>2.163158907562627</v>
      </c>
    </row>
    <row r="37" spans="1:22" x14ac:dyDescent="0.3">
      <c r="A37" s="10" t="s">
        <v>26</v>
      </c>
      <c r="B37" s="10">
        <v>2025</v>
      </c>
      <c r="C37" s="10">
        <v>8353312187</v>
      </c>
      <c r="D37" s="10">
        <v>1371194957</v>
      </c>
      <c r="E37" s="10">
        <v>470635044033</v>
      </c>
      <c r="F37" s="10">
        <v>209603656629</v>
      </c>
      <c r="G37" s="10">
        <v>120235936616</v>
      </c>
      <c r="H37" s="10">
        <v>52232386545</v>
      </c>
      <c r="I37" s="10">
        <v>350527066726</v>
      </c>
      <c r="J37" s="10">
        <v>198330004998</v>
      </c>
      <c r="K37" s="10">
        <v>157371270084</v>
      </c>
      <c r="L37" s="10"/>
      <c r="M37" s="10">
        <v>300472069089</v>
      </c>
      <c r="N37" s="10">
        <v>5635165158</v>
      </c>
      <c r="O37" s="10">
        <v>21029235757</v>
      </c>
      <c r="P37" s="10">
        <v>6.7476985118401904</v>
      </c>
      <c r="Q37" s="10">
        <v>0</v>
      </c>
      <c r="R37" s="10" t="s">
        <v>238</v>
      </c>
      <c r="S37" s="10">
        <v>0.33438068855953162</v>
      </c>
      <c r="T37" s="10">
        <v>0.42140934363590121</v>
      </c>
      <c r="U37" s="10">
        <v>1.7749022927443289E-2</v>
      </c>
      <c r="V37" s="10">
        <v>2.9153269529182899</v>
      </c>
    </row>
    <row r="38" spans="1:22" x14ac:dyDescent="0.3">
      <c r="A38" s="10" t="s">
        <v>26</v>
      </c>
      <c r="B38" s="10">
        <v>2024</v>
      </c>
      <c r="C38" s="10">
        <v>24332928464</v>
      </c>
      <c r="D38" s="10">
        <v>1578812031</v>
      </c>
      <c r="E38" s="10">
        <v>464607373995</v>
      </c>
      <c r="F38" s="10">
        <v>211735232721</v>
      </c>
      <c r="G38" s="10">
        <v>121043838704</v>
      </c>
      <c r="H38" s="10">
        <v>51722852799</v>
      </c>
      <c r="I38" s="10">
        <v>343686823816</v>
      </c>
      <c r="J38" s="10">
        <v>192794839840</v>
      </c>
      <c r="K38" s="10">
        <v>160012379922</v>
      </c>
      <c r="L38" s="10"/>
      <c r="M38" s="10">
        <v>399693178434</v>
      </c>
      <c r="N38" s="10">
        <v>16970253071</v>
      </c>
      <c r="O38" s="10">
        <v>22423729680</v>
      </c>
      <c r="P38" s="10">
        <v>6.9453391758599512</v>
      </c>
      <c r="Q38" s="10">
        <v>0</v>
      </c>
      <c r="R38" s="10" t="s">
        <v>238</v>
      </c>
      <c r="S38" s="10">
        <v>0.34440344445269611</v>
      </c>
      <c r="T38" s="10">
        <v>0.4149629356551599</v>
      </c>
      <c r="U38" s="10">
        <v>5.2373100010810129E-2</v>
      </c>
      <c r="V38" s="10">
        <v>2.8393582647064761</v>
      </c>
    </row>
    <row r="39" spans="1:22" x14ac:dyDescent="0.3">
      <c r="A39" s="10" t="s">
        <v>26</v>
      </c>
      <c r="B39" s="10">
        <v>2023</v>
      </c>
      <c r="C39" s="10">
        <v>69976074490</v>
      </c>
      <c r="D39" s="10">
        <v>3264815658</v>
      </c>
      <c r="E39" s="10">
        <v>490506911907</v>
      </c>
      <c r="F39" s="10">
        <v>231702143731</v>
      </c>
      <c r="G39" s="10">
        <v>156657593788</v>
      </c>
      <c r="H39" s="10">
        <v>90785195067</v>
      </c>
      <c r="I39" s="10">
        <v>333959719337</v>
      </c>
      <c r="J39" s="10">
        <v>183419279469</v>
      </c>
      <c r="K39" s="10">
        <v>140916948664</v>
      </c>
      <c r="L39" s="10"/>
      <c r="M39" s="10">
        <v>469138780462</v>
      </c>
      <c r="N39" s="10">
        <v>50415186821</v>
      </c>
      <c r="O39" s="10">
        <v>47854281546</v>
      </c>
      <c r="P39" s="10">
        <v>6.3007009355494841</v>
      </c>
      <c r="Q39" s="10">
        <v>0</v>
      </c>
      <c r="R39" s="10" t="s">
        <v>238</v>
      </c>
      <c r="S39" s="10">
        <v>0.2872884056131666</v>
      </c>
      <c r="T39" s="10">
        <v>0.37393821578558362</v>
      </c>
      <c r="U39" s="10">
        <v>0.1426607307488206</v>
      </c>
      <c r="V39" s="10">
        <v>2.1317812386990802</v>
      </c>
    </row>
    <row r="40" spans="1:22" x14ac:dyDescent="0.3">
      <c r="A40" s="10" t="s">
        <v>26</v>
      </c>
      <c r="B40" s="10">
        <v>2022</v>
      </c>
      <c r="C40" s="10">
        <v>65839405408</v>
      </c>
      <c r="D40" s="10">
        <v>4606363851</v>
      </c>
      <c r="E40" s="10">
        <v>468541883266</v>
      </c>
      <c r="F40" s="10">
        <v>223008531561</v>
      </c>
      <c r="G40" s="10">
        <v>189586990363</v>
      </c>
      <c r="H40" s="10">
        <v>124402291984</v>
      </c>
      <c r="I40" s="10">
        <v>279050286209</v>
      </c>
      <c r="J40" s="10">
        <v>133104092648</v>
      </c>
      <c r="K40" s="10">
        <v>98606239577</v>
      </c>
      <c r="L40" s="10"/>
      <c r="M40" s="10">
        <v>526828140182</v>
      </c>
      <c r="N40" s="10">
        <v>46609418559</v>
      </c>
      <c r="O40" s="10">
        <v>65936796982</v>
      </c>
      <c r="P40" s="10">
        <v>4.7964526065792086</v>
      </c>
      <c r="Q40" s="10">
        <v>0</v>
      </c>
      <c r="R40" s="10" t="s">
        <v>238</v>
      </c>
      <c r="S40" s="10">
        <v>0.21045341536952711</v>
      </c>
      <c r="T40" s="10">
        <v>0.28408152483656263</v>
      </c>
      <c r="U40" s="10">
        <v>0.14051978651099961</v>
      </c>
      <c r="V40" s="10">
        <v>1.4718852051752369</v>
      </c>
    </row>
    <row r="41" spans="1:22" x14ac:dyDescent="0.3">
      <c r="A41" s="10" t="s">
        <v>28</v>
      </c>
      <c r="B41" s="10">
        <v>2025</v>
      </c>
      <c r="C41" s="10">
        <v>530934807639</v>
      </c>
      <c r="D41" s="10">
        <v>7373715678</v>
      </c>
      <c r="E41" s="10">
        <v>2883857831018</v>
      </c>
      <c r="F41" s="10">
        <v>1429219004893</v>
      </c>
      <c r="G41" s="10">
        <v>949185148205</v>
      </c>
      <c r="H41" s="10">
        <v>740050715581</v>
      </c>
      <c r="I41" s="10">
        <v>1896801133401</v>
      </c>
      <c r="J41" s="10">
        <v>1982351130667</v>
      </c>
      <c r="K41" s="10">
        <v>689168289312</v>
      </c>
      <c r="L41" s="10"/>
      <c r="M41" s="10">
        <v>2914327066752</v>
      </c>
      <c r="N41" s="10">
        <v>400475916944</v>
      </c>
      <c r="O41" s="10">
        <v>72965355889</v>
      </c>
      <c r="P41" s="10">
        <v>7.1440366846799179</v>
      </c>
      <c r="Q41" s="10">
        <v>0</v>
      </c>
      <c r="R41" s="10" t="s">
        <v>238</v>
      </c>
      <c r="S41" s="10">
        <v>0.23897443275444821</v>
      </c>
      <c r="T41" s="10">
        <v>0.68739558148302726</v>
      </c>
      <c r="U41" s="10">
        <v>0.184105749572121</v>
      </c>
      <c r="V41" s="10">
        <v>1.998346831477539</v>
      </c>
    </row>
    <row r="42" spans="1:22" x14ac:dyDescent="0.3">
      <c r="A42" s="10" t="s">
        <v>28</v>
      </c>
      <c r="B42" s="10">
        <v>2024</v>
      </c>
      <c r="C42" s="10">
        <v>558959347118</v>
      </c>
      <c r="D42" s="10">
        <v>10966453175</v>
      </c>
      <c r="E42" s="10">
        <v>2661363620207</v>
      </c>
      <c r="F42" s="10">
        <v>1506249726473</v>
      </c>
      <c r="G42" s="10">
        <v>783821572438</v>
      </c>
      <c r="H42" s="10">
        <v>717936133361</v>
      </c>
      <c r="I42" s="10">
        <v>1843642590348</v>
      </c>
      <c r="J42" s="10">
        <v>1891705174469</v>
      </c>
      <c r="K42" s="10">
        <v>788313593112</v>
      </c>
      <c r="L42" s="10"/>
      <c r="M42" s="10">
        <v>2632310100626</v>
      </c>
      <c r="N42" s="10">
        <v>425971673126</v>
      </c>
      <c r="O42" s="10">
        <v>106568230327</v>
      </c>
      <c r="P42" s="10">
        <v>8.1414438468409323</v>
      </c>
      <c r="Q42" s="10">
        <v>0</v>
      </c>
      <c r="R42" s="10" t="s">
        <v>238</v>
      </c>
      <c r="S42" s="10">
        <v>0.29620664652005918</v>
      </c>
      <c r="T42" s="10">
        <v>0.71080297337267417</v>
      </c>
      <c r="U42" s="10">
        <v>0.21002742461570301</v>
      </c>
      <c r="V42" s="10">
        <v>2.3521202467208591</v>
      </c>
    </row>
    <row r="43" spans="1:22" x14ac:dyDescent="0.3">
      <c r="A43" s="10" t="s">
        <v>28</v>
      </c>
      <c r="B43" s="10">
        <v>2023</v>
      </c>
      <c r="C43" s="10">
        <v>583861933626</v>
      </c>
      <c r="D43" s="10">
        <v>8194237641</v>
      </c>
      <c r="E43" s="10">
        <v>2620491657384</v>
      </c>
      <c r="F43" s="10">
        <v>1573862491967</v>
      </c>
      <c r="G43" s="10">
        <v>765455201158</v>
      </c>
      <c r="H43" s="10">
        <v>652036510074</v>
      </c>
      <c r="I43" s="10">
        <v>1823503151831</v>
      </c>
      <c r="J43" s="10">
        <v>1775632474057</v>
      </c>
      <c r="K43" s="10">
        <v>921825981893</v>
      </c>
      <c r="L43" s="10"/>
      <c r="M43" s="10">
        <v>2447442037597</v>
      </c>
      <c r="N43" s="10">
        <v>445291325550</v>
      </c>
      <c r="O43" s="10">
        <v>172981827834</v>
      </c>
      <c r="P43" s="10">
        <v>8.5152276712990371</v>
      </c>
      <c r="Q43" s="10">
        <v>0</v>
      </c>
      <c r="R43" s="10" t="s">
        <v>238</v>
      </c>
      <c r="S43" s="10">
        <v>0.35177596513062198</v>
      </c>
      <c r="T43" s="10">
        <v>0.67759516388981333</v>
      </c>
      <c r="U43" s="10">
        <v>0.22280625545240659</v>
      </c>
      <c r="V43" s="10">
        <v>2.3822467324963741</v>
      </c>
    </row>
    <row r="44" spans="1:22" x14ac:dyDescent="0.3">
      <c r="A44" s="10" t="s">
        <v>28</v>
      </c>
      <c r="B44" s="10">
        <v>2022</v>
      </c>
      <c r="C44" s="10">
        <v>749457719976</v>
      </c>
      <c r="D44" s="10">
        <v>3361625979</v>
      </c>
      <c r="E44" s="10">
        <v>2578868615545</v>
      </c>
      <c r="F44" s="10">
        <v>1601724616560</v>
      </c>
      <c r="G44" s="10">
        <v>745695258308</v>
      </c>
      <c r="H44" s="10">
        <v>685894904063</v>
      </c>
      <c r="I44" s="10">
        <v>1804073110104</v>
      </c>
      <c r="J44" s="10">
        <v>1733056303542</v>
      </c>
      <c r="K44" s="10">
        <v>915829712497</v>
      </c>
      <c r="L44" s="10"/>
      <c r="M44" s="10">
        <v>2586665297217</v>
      </c>
      <c r="N44" s="10">
        <v>576213564285</v>
      </c>
      <c r="O44" s="10">
        <v>50488037774</v>
      </c>
      <c r="P44" s="10">
        <v>9.0136494493479535</v>
      </c>
      <c r="Q44" s="10">
        <v>0</v>
      </c>
      <c r="R44" s="10" t="s">
        <v>238</v>
      </c>
      <c r="S44" s="10">
        <v>0.35512848811937442</v>
      </c>
      <c r="T44" s="10">
        <v>0.67202194524196346</v>
      </c>
      <c r="U44" s="10">
        <v>0.29061492914310988</v>
      </c>
      <c r="V44" s="10">
        <v>2.4193168590041521</v>
      </c>
    </row>
    <row r="45" spans="1:22" x14ac:dyDescent="0.3">
      <c r="A45" s="10" t="s">
        <v>29</v>
      </c>
      <c r="B45" s="10">
        <v>2025</v>
      </c>
      <c r="C45" s="10">
        <v>2677089000000</v>
      </c>
      <c r="D45" s="10">
        <v>37546000000</v>
      </c>
      <c r="E45" s="10">
        <v>22615479000000</v>
      </c>
      <c r="F45" s="10">
        <v>9973987000000</v>
      </c>
      <c r="G45" s="10">
        <v>5651097000000</v>
      </c>
      <c r="H45" s="10">
        <v>4523347000000</v>
      </c>
      <c r="I45" s="10">
        <v>15687936000000</v>
      </c>
      <c r="J45" s="10">
        <v>11693278000000</v>
      </c>
      <c r="K45" s="10">
        <v>5450640000000</v>
      </c>
      <c r="L45" s="10"/>
      <c r="M45" s="10">
        <v>19906774000000</v>
      </c>
      <c r="N45" s="10">
        <v>2205022000000</v>
      </c>
      <c r="O45" s="10">
        <v>597489000000</v>
      </c>
      <c r="P45" s="10">
        <v>6.9769905390052642</v>
      </c>
      <c r="Q45" s="10">
        <v>0</v>
      </c>
      <c r="R45" s="10" t="s">
        <v>238</v>
      </c>
      <c r="S45" s="10">
        <v>0.24101368801430209</v>
      </c>
      <c r="T45" s="10">
        <v>0.51704754960087296</v>
      </c>
      <c r="U45" s="10">
        <v>0.1183741896424126</v>
      </c>
      <c r="V45" s="10">
        <v>2.7760868376529371</v>
      </c>
    </row>
    <row r="46" spans="1:22" x14ac:dyDescent="0.3">
      <c r="A46" s="10" t="s">
        <v>29</v>
      </c>
      <c r="B46" s="10">
        <v>2024</v>
      </c>
      <c r="C46" s="10">
        <v>2530134000000</v>
      </c>
      <c r="D46" s="10">
        <v>40971000000</v>
      </c>
      <c r="E46" s="10">
        <v>21030018000000</v>
      </c>
      <c r="F46" s="10">
        <v>8883749000000</v>
      </c>
      <c r="G46" s="10">
        <v>5441894000000</v>
      </c>
      <c r="H46" s="10">
        <v>4481577000000</v>
      </c>
      <c r="I46" s="10">
        <v>14372275000000</v>
      </c>
      <c r="J46" s="10">
        <v>10380994000000</v>
      </c>
      <c r="K46" s="10">
        <v>4402172000000</v>
      </c>
      <c r="L46" s="10"/>
      <c r="M46" s="10">
        <v>19073703000000</v>
      </c>
      <c r="N46" s="10">
        <v>2033641000000</v>
      </c>
      <c r="O46" s="10">
        <v>654998000000</v>
      </c>
      <c r="P46" s="10">
        <v>6.5639994163369826</v>
      </c>
      <c r="Q46" s="10">
        <v>0</v>
      </c>
      <c r="R46" s="10" t="s">
        <v>238</v>
      </c>
      <c r="S46" s="10">
        <v>0.209328018644587</v>
      </c>
      <c r="T46" s="10">
        <v>0.49362744244916962</v>
      </c>
      <c r="U46" s="10">
        <v>0.1203105960251675</v>
      </c>
      <c r="V46" s="10">
        <v>2.641042806052452</v>
      </c>
    </row>
    <row r="47" spans="1:22" x14ac:dyDescent="0.3">
      <c r="A47" s="10" t="s">
        <v>29</v>
      </c>
      <c r="B47" s="10">
        <v>2023</v>
      </c>
      <c r="C47" s="10">
        <v>2351840000000</v>
      </c>
      <c r="D47" s="10">
        <v>36885000000</v>
      </c>
      <c r="E47" s="10">
        <v>19613043000000</v>
      </c>
      <c r="F47" s="10">
        <v>7957495000000</v>
      </c>
      <c r="G47" s="10">
        <v>5073319000000</v>
      </c>
      <c r="H47" s="10">
        <v>4336152000000</v>
      </c>
      <c r="I47" s="10">
        <v>13333307000000</v>
      </c>
      <c r="J47" s="10">
        <v>9338669000000</v>
      </c>
      <c r="K47" s="10">
        <v>3621343000000</v>
      </c>
      <c r="L47" s="10"/>
      <c r="M47" s="10">
        <v>18649065000000</v>
      </c>
      <c r="N47" s="10">
        <v>1842435000000</v>
      </c>
      <c r="O47" s="10">
        <v>446773000000</v>
      </c>
      <c r="P47" s="10">
        <v>6.3288089633123983</v>
      </c>
      <c r="Q47" s="10">
        <v>0</v>
      </c>
      <c r="R47" s="10" t="s">
        <v>238</v>
      </c>
      <c r="S47" s="10">
        <v>0.18463952788968041</v>
      </c>
      <c r="T47" s="10">
        <v>0.47614584845401092</v>
      </c>
      <c r="U47" s="10">
        <v>0.1199120401663322</v>
      </c>
      <c r="V47" s="10">
        <v>2.6281231280745412</v>
      </c>
    </row>
    <row r="48" spans="1:22" x14ac:dyDescent="0.3">
      <c r="A48" s="10" t="s">
        <v>29</v>
      </c>
      <c r="B48" s="10">
        <v>2022</v>
      </c>
      <c r="C48" s="10">
        <v>1760922000000</v>
      </c>
      <c r="D48" s="10">
        <v>30016000000</v>
      </c>
      <c r="E48" s="10">
        <v>18521261000000</v>
      </c>
      <c r="F48" s="10">
        <v>7825596000000</v>
      </c>
      <c r="G48" s="10">
        <v>5469696000000</v>
      </c>
      <c r="H48" s="10">
        <v>4652198000000</v>
      </c>
      <c r="I48" s="10">
        <v>11933213000000</v>
      </c>
      <c r="J48" s="10">
        <v>8130778000000</v>
      </c>
      <c r="K48" s="10">
        <v>3173398000000</v>
      </c>
      <c r="L48" s="10"/>
      <c r="M48" s="10">
        <v>18579927000000</v>
      </c>
      <c r="N48" s="10">
        <v>1326575000000</v>
      </c>
      <c r="O48" s="10">
        <v>504694000000</v>
      </c>
      <c r="P48" s="10">
        <v>5.4847976574638633</v>
      </c>
      <c r="Q48" s="10">
        <v>0</v>
      </c>
      <c r="R48" s="10" t="s">
        <v>238</v>
      </c>
      <c r="S48" s="10">
        <v>0.1713381178527747</v>
      </c>
      <c r="T48" s="10">
        <v>0.43899699917840368</v>
      </c>
      <c r="U48" s="10">
        <v>9.5075707858120459E-2</v>
      </c>
      <c r="V48" s="10">
        <v>2.181695838306188</v>
      </c>
    </row>
    <row r="49" spans="1:22" x14ac:dyDescent="0.3">
      <c r="A49" s="10" t="s">
        <v>30</v>
      </c>
      <c r="B49" s="10">
        <v>2025</v>
      </c>
      <c r="C49" s="10">
        <v>2178342000000</v>
      </c>
      <c r="D49" s="10">
        <v>2526000000</v>
      </c>
      <c r="E49" s="10">
        <v>11084379000000</v>
      </c>
      <c r="F49" s="10">
        <v>7821844000000</v>
      </c>
      <c r="G49" s="10">
        <v>1544155000000</v>
      </c>
      <c r="H49" s="10">
        <v>1457408000000</v>
      </c>
      <c r="I49" s="10">
        <v>9537181000000</v>
      </c>
      <c r="J49" s="10">
        <v>1954615000000</v>
      </c>
      <c r="K49" s="10">
        <v>6364436000000</v>
      </c>
      <c r="L49" s="10"/>
      <c r="M49" s="10">
        <v>8123685000000</v>
      </c>
      <c r="N49" s="10">
        <v>1747462000000</v>
      </c>
      <c r="O49" s="10">
        <v>86208000000</v>
      </c>
      <c r="P49" s="10">
        <v>12.14725696248507</v>
      </c>
      <c r="Q49" s="10">
        <v>0</v>
      </c>
      <c r="R49" s="10" t="s">
        <v>238</v>
      </c>
      <c r="S49" s="10">
        <v>0.57418065549725428</v>
      </c>
      <c r="T49" s="10">
        <v>0.17633960368911961</v>
      </c>
      <c r="U49" s="10">
        <v>0.1965235941499294</v>
      </c>
      <c r="V49" s="10">
        <v>6.1763106682943096</v>
      </c>
    </row>
    <row r="50" spans="1:22" x14ac:dyDescent="0.3">
      <c r="A50" s="10" t="s">
        <v>30</v>
      </c>
      <c r="B50" s="10">
        <v>2024</v>
      </c>
      <c r="C50" s="10">
        <v>2071133000000</v>
      </c>
      <c r="D50" s="10">
        <v>2539000000</v>
      </c>
      <c r="E50" s="10">
        <v>11060975000000</v>
      </c>
      <c r="F50" s="10">
        <v>8493362000000</v>
      </c>
      <c r="G50" s="10">
        <v>1429095000000</v>
      </c>
      <c r="H50" s="10">
        <v>1351585000000</v>
      </c>
      <c r="I50" s="10">
        <v>9625393000000</v>
      </c>
      <c r="J50" s="10">
        <v>1527177000000</v>
      </c>
      <c r="K50" s="10">
        <v>7141777000000</v>
      </c>
      <c r="L50" s="10"/>
      <c r="M50" s="10">
        <v>7471356000000</v>
      </c>
      <c r="N50" s="10">
        <v>1664341000000</v>
      </c>
      <c r="O50" s="10">
        <v>93382000000</v>
      </c>
      <c r="P50" s="10">
        <v>13.01609296048056</v>
      </c>
      <c r="Q50" s="10">
        <v>0</v>
      </c>
      <c r="R50" s="10" t="s">
        <v>238</v>
      </c>
      <c r="S50" s="10">
        <v>0.64567336966225852</v>
      </c>
      <c r="T50" s="10">
        <v>0.1380689315363248</v>
      </c>
      <c r="U50" s="10">
        <v>0.1872468747104121</v>
      </c>
      <c r="V50" s="10">
        <v>6.7353066101273882</v>
      </c>
    </row>
    <row r="51" spans="1:22" x14ac:dyDescent="0.3">
      <c r="A51" s="10" t="s">
        <v>30</v>
      </c>
      <c r="B51" s="10">
        <v>2023</v>
      </c>
      <c r="C51" s="10">
        <v>1996220000000</v>
      </c>
      <c r="D51" s="10">
        <v>4077000000</v>
      </c>
      <c r="E51" s="10">
        <v>11166987000000</v>
      </c>
      <c r="F51" s="10">
        <v>8910802000000</v>
      </c>
      <c r="G51" s="10">
        <v>1245498000000</v>
      </c>
      <c r="H51" s="10">
        <v>1175130000000</v>
      </c>
      <c r="I51" s="10">
        <v>9914367000000</v>
      </c>
      <c r="J51" s="10">
        <v>1210978000000</v>
      </c>
      <c r="K51" s="10">
        <v>7735672000000</v>
      </c>
      <c r="L51" s="10"/>
      <c r="M51" s="10">
        <v>7016882000000</v>
      </c>
      <c r="N51" s="10">
        <v>1642166000000</v>
      </c>
      <c r="O51" s="10">
        <v>31912000000</v>
      </c>
      <c r="P51" s="10">
        <v>14.457255360861989</v>
      </c>
      <c r="Q51" s="10">
        <v>0</v>
      </c>
      <c r="R51" s="10" t="s">
        <v>238</v>
      </c>
      <c r="S51" s="10">
        <v>0.69272687431265034</v>
      </c>
      <c r="T51" s="10">
        <v>0.10844268019654719</v>
      </c>
      <c r="U51" s="10">
        <v>0.17876084211435009</v>
      </c>
      <c r="V51" s="10">
        <v>7.9601629227826942</v>
      </c>
    </row>
    <row r="52" spans="1:22" x14ac:dyDescent="0.3">
      <c r="A52" s="10" t="s">
        <v>30</v>
      </c>
      <c r="B52" s="10">
        <v>2022</v>
      </c>
      <c r="C52" s="10">
        <v>1751710000000</v>
      </c>
      <c r="D52" s="10">
        <v>6463000000</v>
      </c>
      <c r="E52" s="10">
        <v>10792122000000</v>
      </c>
      <c r="F52" s="10">
        <v>8716715000000</v>
      </c>
      <c r="G52" s="10">
        <v>1217237000000</v>
      </c>
      <c r="H52" s="10">
        <v>1108163000000</v>
      </c>
      <c r="I52" s="10">
        <v>9570106000000</v>
      </c>
      <c r="J52" s="10">
        <v>931790000000</v>
      </c>
      <c r="K52" s="10">
        <v>7608552000000</v>
      </c>
      <c r="L52" s="10"/>
      <c r="M52" s="10">
        <v>6694171000000</v>
      </c>
      <c r="N52" s="10">
        <v>1400561000000</v>
      </c>
      <c r="O52" s="10">
        <v>80762000000</v>
      </c>
      <c r="P52" s="10">
        <v>14.252343587205701</v>
      </c>
      <c r="Q52" s="10">
        <v>0</v>
      </c>
      <c r="R52" s="10" t="s">
        <v>238</v>
      </c>
      <c r="S52" s="10">
        <v>0.7050098210528013</v>
      </c>
      <c r="T52" s="10">
        <v>8.6339831962611246E-2</v>
      </c>
      <c r="U52" s="10">
        <v>0.16231376924760491</v>
      </c>
      <c r="V52" s="10">
        <v>7.862155028149818</v>
      </c>
    </row>
    <row r="53" spans="1:22" x14ac:dyDescent="0.3">
      <c r="A53" s="10" t="s">
        <v>31</v>
      </c>
      <c r="B53" s="10">
        <v>2024</v>
      </c>
      <c r="C53" s="10">
        <v>13211151021</v>
      </c>
      <c r="D53" s="10">
        <v>2653109582</v>
      </c>
      <c r="E53" s="10">
        <v>467820444645</v>
      </c>
      <c r="F53" s="10">
        <v>229565296215</v>
      </c>
      <c r="G53" s="10">
        <v>260070186113</v>
      </c>
      <c r="H53" s="10">
        <v>233644681605</v>
      </c>
      <c r="I53" s="10">
        <v>207750258532</v>
      </c>
      <c r="J53" s="10">
        <v>50642908546</v>
      </c>
      <c r="K53" s="10">
        <v>-4079385390</v>
      </c>
      <c r="L53" s="10"/>
      <c r="M53" s="10">
        <v>361344059586</v>
      </c>
      <c r="N53" s="10">
        <v>7728820325</v>
      </c>
      <c r="O53" s="10">
        <v>47076580246</v>
      </c>
      <c r="P53" s="10">
        <v>1.3242376945062331</v>
      </c>
      <c r="Q53" s="10">
        <v>0</v>
      </c>
      <c r="R53" s="10" t="s">
        <v>239</v>
      </c>
      <c r="S53" s="10">
        <v>-8.7199810027447453E-3</v>
      </c>
      <c r="T53" s="10">
        <v>0.1082528759178744</v>
      </c>
      <c r="U53" s="10">
        <v>2.82397898001767E-2</v>
      </c>
      <c r="V53" s="10">
        <v>0.79882381612836206</v>
      </c>
    </row>
    <row r="54" spans="1:22" x14ac:dyDescent="0.3">
      <c r="A54" s="10" t="s">
        <v>31</v>
      </c>
      <c r="B54" s="10">
        <v>2023</v>
      </c>
      <c r="C54" s="10">
        <v>13910802449</v>
      </c>
      <c r="D54" s="10">
        <v>1534110411</v>
      </c>
      <c r="E54" s="10">
        <v>355759037821</v>
      </c>
      <c r="F54" s="10">
        <v>112172204006</v>
      </c>
      <c r="G54" s="10">
        <v>155010662197</v>
      </c>
      <c r="H54" s="10">
        <v>144009919896</v>
      </c>
      <c r="I54" s="10">
        <v>200748375624</v>
      </c>
      <c r="J54" s="10">
        <v>42914088221</v>
      </c>
      <c r="K54" s="10">
        <v>-31837715890</v>
      </c>
      <c r="L54" s="10"/>
      <c r="M54" s="10">
        <v>352261975649</v>
      </c>
      <c r="N54" s="10">
        <v>9634070208</v>
      </c>
      <c r="O54" s="10">
        <v>25258221398</v>
      </c>
      <c r="P54" s="10">
        <v>1.4287522135991571</v>
      </c>
      <c r="Q54" s="10">
        <v>0</v>
      </c>
      <c r="R54" s="10" t="s">
        <v>239</v>
      </c>
      <c r="S54" s="10">
        <v>-8.9492360011438787E-2</v>
      </c>
      <c r="T54" s="10">
        <v>0.1206268391207877</v>
      </c>
      <c r="U54" s="10">
        <v>3.9101754193520202E-2</v>
      </c>
      <c r="V54" s="10">
        <v>1.295061725295211</v>
      </c>
    </row>
    <row r="55" spans="1:22" x14ac:dyDescent="0.3">
      <c r="A55" s="10" t="s">
        <v>32</v>
      </c>
      <c r="B55" s="10">
        <v>2025</v>
      </c>
      <c r="C55" s="10">
        <v>220086829991</v>
      </c>
      <c r="D55" s="10">
        <v>18218458905</v>
      </c>
      <c r="E55" s="10">
        <v>1232630823230</v>
      </c>
      <c r="F55" s="10">
        <v>767238988666</v>
      </c>
      <c r="G55" s="10">
        <v>696676897249</v>
      </c>
      <c r="H55" s="10">
        <v>595184402062</v>
      </c>
      <c r="I55" s="10">
        <v>535877913083</v>
      </c>
      <c r="J55" s="10">
        <v>266175839507</v>
      </c>
      <c r="K55" s="10">
        <v>172054586604</v>
      </c>
      <c r="L55" s="10"/>
      <c r="M55" s="10">
        <v>1732944872499</v>
      </c>
      <c r="N55" s="10">
        <v>155548239865</v>
      </c>
      <c r="O55" s="10">
        <v>376612770590</v>
      </c>
      <c r="P55" s="10">
        <v>3.627144708303748</v>
      </c>
      <c r="Q55" s="10">
        <v>0</v>
      </c>
      <c r="R55" s="10" t="s">
        <v>238</v>
      </c>
      <c r="S55" s="10">
        <v>0.13958322586250621</v>
      </c>
      <c r="T55" s="10">
        <v>0.21594124898605871</v>
      </c>
      <c r="U55" s="10">
        <v>0.1785504839269571</v>
      </c>
      <c r="V55" s="10">
        <v>0.76919145044000403</v>
      </c>
    </row>
    <row r="56" spans="1:22" x14ac:dyDescent="0.3">
      <c r="A56" s="10" t="s">
        <v>32</v>
      </c>
      <c r="B56" s="10">
        <v>2024</v>
      </c>
      <c r="C56" s="10">
        <v>114596001636</v>
      </c>
      <c r="D56" s="10">
        <v>8549497409</v>
      </c>
      <c r="E56" s="10">
        <v>815608114271</v>
      </c>
      <c r="F56" s="10">
        <v>683343711817</v>
      </c>
      <c r="G56" s="10">
        <v>381594447554</v>
      </c>
      <c r="H56" s="10">
        <v>363015902146</v>
      </c>
      <c r="I56" s="10">
        <v>433921323891</v>
      </c>
      <c r="J56" s="10">
        <v>164219250315</v>
      </c>
      <c r="K56" s="10">
        <v>320327809671</v>
      </c>
      <c r="L56" s="10"/>
      <c r="M56" s="10">
        <v>1240838719683</v>
      </c>
      <c r="N56" s="10">
        <v>78746115328</v>
      </c>
      <c r="O56" s="10">
        <v>121420756298</v>
      </c>
      <c r="P56" s="10">
        <v>5.3709774255686806</v>
      </c>
      <c r="Q56" s="10">
        <v>0</v>
      </c>
      <c r="R56" s="10" t="s">
        <v>238</v>
      </c>
      <c r="S56" s="10">
        <v>0.39274720796189322</v>
      </c>
      <c r="T56" s="10">
        <v>0.20134577800489531</v>
      </c>
      <c r="U56" s="10">
        <v>0.14050375374014909</v>
      </c>
      <c r="V56" s="10">
        <v>1.1371269332465721</v>
      </c>
    </row>
    <row r="57" spans="1:22" x14ac:dyDescent="0.3">
      <c r="A57" s="10" t="s">
        <v>32</v>
      </c>
      <c r="B57" s="10">
        <v>2023</v>
      </c>
      <c r="C57" s="10">
        <v>72338169102</v>
      </c>
      <c r="D57" s="10">
        <v>7286136310</v>
      </c>
      <c r="E57" s="10">
        <v>680277911372</v>
      </c>
      <c r="F57" s="10">
        <v>579843781178</v>
      </c>
      <c r="G57" s="10">
        <v>308454908772</v>
      </c>
      <c r="H57" s="10">
        <v>290674627079</v>
      </c>
      <c r="I57" s="10">
        <v>371727542379</v>
      </c>
      <c r="J57" s="10">
        <v>102025468803</v>
      </c>
      <c r="K57" s="10">
        <v>289169154099</v>
      </c>
      <c r="L57" s="10"/>
      <c r="M57" s="10">
        <v>1004155159435</v>
      </c>
      <c r="N57" s="10">
        <v>34297540237</v>
      </c>
      <c r="O57" s="10">
        <v>121868493298</v>
      </c>
      <c r="P57" s="10">
        <v>5.2573778003331419</v>
      </c>
      <c r="Q57" s="10">
        <v>0</v>
      </c>
      <c r="R57" s="10" t="s">
        <v>238</v>
      </c>
      <c r="S57" s="10">
        <v>0.42507503075588188</v>
      </c>
      <c r="T57" s="10">
        <v>0.14997615988623339</v>
      </c>
      <c r="U57" s="10">
        <v>0.10633620156225081</v>
      </c>
      <c r="V57" s="10">
        <v>1.205127659854391</v>
      </c>
    </row>
    <row r="58" spans="1:22" x14ac:dyDescent="0.3">
      <c r="A58" s="10" t="s">
        <v>33</v>
      </c>
      <c r="B58" s="10">
        <v>2023</v>
      </c>
      <c r="C58" s="10">
        <v>16816497718</v>
      </c>
      <c r="D58" s="10">
        <v>17886301399</v>
      </c>
      <c r="E58" s="10">
        <v>726111487745</v>
      </c>
      <c r="F58" s="10">
        <v>519939671621</v>
      </c>
      <c r="G58" s="10">
        <v>615100361501</v>
      </c>
      <c r="H58" s="10">
        <v>289523226246</v>
      </c>
      <c r="I58" s="10">
        <v>111011126244</v>
      </c>
      <c r="J58" s="10">
        <v>-127147805423</v>
      </c>
      <c r="K58" s="10">
        <v>230416445375</v>
      </c>
      <c r="L58" s="10"/>
      <c r="M58" s="10">
        <v>950454205479</v>
      </c>
      <c r="N58" s="10">
        <v>-1296781540</v>
      </c>
      <c r="O58" s="10">
        <v>370885998997</v>
      </c>
      <c r="P58" s="10">
        <v>1.855961851558209</v>
      </c>
      <c r="Q58" s="10">
        <v>0</v>
      </c>
      <c r="R58" s="10" t="s">
        <v>239</v>
      </c>
      <c r="S58" s="10">
        <v>0.31732929345406391</v>
      </c>
      <c r="T58" s="10">
        <v>-0.17510782788724111</v>
      </c>
      <c r="U58" s="10">
        <v>2.315966349771581E-2</v>
      </c>
      <c r="V58" s="10">
        <v>0.18047644448314881</v>
      </c>
    </row>
    <row r="59" spans="1:22" x14ac:dyDescent="0.3">
      <c r="A59" s="10" t="s">
        <v>35</v>
      </c>
      <c r="B59" s="10">
        <v>2025</v>
      </c>
      <c r="C59" s="10">
        <v>243771000000</v>
      </c>
      <c r="D59" s="10">
        <v>66000000</v>
      </c>
      <c r="E59" s="10">
        <v>3738296000000</v>
      </c>
      <c r="F59" s="10">
        <v>2640362000000</v>
      </c>
      <c r="G59" s="10">
        <v>243726000000</v>
      </c>
      <c r="H59" s="10">
        <v>184465000000</v>
      </c>
      <c r="I59" s="10">
        <v>3492961000000</v>
      </c>
      <c r="J59" s="10">
        <v>3028767000000</v>
      </c>
      <c r="K59" s="10">
        <v>2455897000000</v>
      </c>
      <c r="L59" s="10"/>
      <c r="M59" s="10">
        <v>1696438000000</v>
      </c>
      <c r="N59" s="10">
        <v>190294000000</v>
      </c>
      <c r="O59" s="10">
        <v>16806000000</v>
      </c>
      <c r="P59" s="10">
        <v>22.43717296021552</v>
      </c>
      <c r="Q59" s="10">
        <v>0</v>
      </c>
      <c r="R59" s="10" t="s">
        <v>238</v>
      </c>
      <c r="S59" s="10">
        <v>0.65695627098549714</v>
      </c>
      <c r="T59" s="10">
        <v>0.8101998878633474</v>
      </c>
      <c r="U59" s="10">
        <v>6.5209122017090143E-2</v>
      </c>
      <c r="V59" s="10">
        <v>14.33150751253457</v>
      </c>
    </row>
    <row r="60" spans="1:22" x14ac:dyDescent="0.3">
      <c r="A60" s="10" t="s">
        <v>35</v>
      </c>
      <c r="B60" s="10">
        <v>2024</v>
      </c>
      <c r="C60" s="10">
        <v>235215000000</v>
      </c>
      <c r="D60" s="10">
        <v>235000000</v>
      </c>
      <c r="E60" s="10">
        <v>3634529000000</v>
      </c>
      <c r="F60" s="10">
        <v>2572633000000</v>
      </c>
      <c r="G60" s="10">
        <v>244074000000</v>
      </c>
      <c r="H60" s="10">
        <v>192052000000</v>
      </c>
      <c r="I60" s="10">
        <v>3387723000000</v>
      </c>
      <c r="J60" s="10">
        <v>2923141000000</v>
      </c>
      <c r="K60" s="10">
        <v>2380581000000</v>
      </c>
      <c r="L60" s="10"/>
      <c r="M60" s="10">
        <v>1367926000000</v>
      </c>
      <c r="N60" s="10">
        <v>178507000000</v>
      </c>
      <c r="O60" s="10">
        <v>109000000</v>
      </c>
      <c r="P60" s="10">
        <v>21.92744763740793</v>
      </c>
      <c r="Q60" s="10">
        <v>0</v>
      </c>
      <c r="R60" s="10" t="s">
        <v>238</v>
      </c>
      <c r="S60" s="10">
        <v>0.65499023394778255</v>
      </c>
      <c r="T60" s="10">
        <v>0.80426954909425674</v>
      </c>
      <c r="U60" s="10">
        <v>6.4716776231528217E-2</v>
      </c>
      <c r="V60" s="10">
        <v>13.879901177511741</v>
      </c>
    </row>
    <row r="61" spans="1:22" x14ac:dyDescent="0.3">
      <c r="A61" s="10" t="s">
        <v>35</v>
      </c>
      <c r="B61" s="10">
        <v>2023</v>
      </c>
      <c r="C61" s="10">
        <v>734175000000</v>
      </c>
      <c r="D61" s="10">
        <v>280000000</v>
      </c>
      <c r="E61" s="10">
        <v>3901820000000</v>
      </c>
      <c r="F61" s="10">
        <v>2945199000000</v>
      </c>
      <c r="G61" s="10">
        <v>455124000000</v>
      </c>
      <c r="H61" s="10">
        <v>401461000000</v>
      </c>
      <c r="I61" s="10">
        <v>3445748000000</v>
      </c>
      <c r="J61" s="10">
        <v>2981166000000</v>
      </c>
      <c r="K61" s="10">
        <v>2543738000000</v>
      </c>
      <c r="L61" s="10"/>
      <c r="M61" s="10">
        <v>2298131000000</v>
      </c>
      <c r="N61" s="10">
        <v>595629000000</v>
      </c>
      <c r="O61" s="10">
        <v>373000000</v>
      </c>
      <c r="P61" s="10">
        <v>15.98149822193988</v>
      </c>
      <c r="Q61" s="10">
        <v>0</v>
      </c>
      <c r="R61" s="10" t="s">
        <v>238</v>
      </c>
      <c r="S61" s="10">
        <v>0.65193627589176328</v>
      </c>
      <c r="T61" s="10">
        <v>0.76404498413560851</v>
      </c>
      <c r="U61" s="10">
        <v>0.1881621909775438</v>
      </c>
      <c r="V61" s="10">
        <v>7.5710092194654646</v>
      </c>
    </row>
    <row r="62" spans="1:22" x14ac:dyDescent="0.3">
      <c r="A62" s="10" t="s">
        <v>35</v>
      </c>
      <c r="B62" s="10">
        <v>2022</v>
      </c>
      <c r="C62" s="10">
        <v>644958000000</v>
      </c>
      <c r="D62" s="10">
        <v>64000000</v>
      </c>
      <c r="E62" s="10">
        <v>3410481000000</v>
      </c>
      <c r="F62" s="10">
        <v>2699403000000</v>
      </c>
      <c r="G62" s="10">
        <v>360231000000</v>
      </c>
      <c r="H62" s="10">
        <v>306752000000</v>
      </c>
      <c r="I62" s="10">
        <v>3049414000000</v>
      </c>
      <c r="J62" s="10">
        <v>2584832000000</v>
      </c>
      <c r="K62" s="10">
        <v>2392651000000</v>
      </c>
      <c r="L62" s="10"/>
      <c r="M62" s="10">
        <v>2415592000000</v>
      </c>
      <c r="N62" s="10">
        <v>523086000000</v>
      </c>
      <c r="O62" s="10">
        <v>546000000</v>
      </c>
      <c r="P62" s="10">
        <v>17.232246939182058</v>
      </c>
      <c r="Q62" s="10">
        <v>0</v>
      </c>
      <c r="R62" s="10" t="s">
        <v>238</v>
      </c>
      <c r="S62" s="10">
        <v>0.7015582259511195</v>
      </c>
      <c r="T62" s="10">
        <v>0.75790834196114854</v>
      </c>
      <c r="U62" s="10">
        <v>0.18911056827468031</v>
      </c>
      <c r="V62" s="10">
        <v>8.4651626317557351</v>
      </c>
    </row>
    <row r="63" spans="1:22" x14ac:dyDescent="0.3">
      <c r="A63" s="10" t="s">
        <v>36</v>
      </c>
      <c r="B63" s="10">
        <v>2025</v>
      </c>
      <c r="C63" s="10">
        <v>149398907099</v>
      </c>
      <c r="D63" s="10">
        <v>42141208540</v>
      </c>
      <c r="E63" s="10">
        <v>2038211205893</v>
      </c>
      <c r="F63" s="10">
        <v>289387075195</v>
      </c>
      <c r="G63" s="10">
        <v>917334446677</v>
      </c>
      <c r="H63" s="10">
        <v>401805208412</v>
      </c>
      <c r="I63" s="10">
        <v>1120465677679</v>
      </c>
      <c r="J63" s="10">
        <v>310257427915</v>
      </c>
      <c r="K63" s="10">
        <v>-112418133217</v>
      </c>
      <c r="L63" s="10"/>
      <c r="M63" s="10">
        <v>1503351559061</v>
      </c>
      <c r="N63" s="10">
        <v>83944824537</v>
      </c>
      <c r="O63" s="10">
        <v>604106194355</v>
      </c>
      <c r="P63" s="10">
        <v>1.9094976595754609</v>
      </c>
      <c r="Q63" s="10">
        <v>0</v>
      </c>
      <c r="R63" s="10" t="s">
        <v>239</v>
      </c>
      <c r="S63" s="10">
        <v>-5.5155291508539393E-2</v>
      </c>
      <c r="T63" s="10">
        <v>0.15222045047047381</v>
      </c>
      <c r="U63" s="10">
        <v>7.3299031359973302E-2</v>
      </c>
      <c r="V63" s="10">
        <v>1.2214363929511569</v>
      </c>
    </row>
    <row r="64" spans="1:22" x14ac:dyDescent="0.3">
      <c r="A64" s="10" t="s">
        <v>36</v>
      </c>
      <c r="B64" s="10">
        <v>2024</v>
      </c>
      <c r="C64" s="10">
        <v>235448250090</v>
      </c>
      <c r="D64" s="10">
        <v>32163504034</v>
      </c>
      <c r="E64" s="10">
        <v>1838051990503</v>
      </c>
      <c r="F64" s="10">
        <v>274510240655</v>
      </c>
      <c r="G64" s="10">
        <v>768905727774</v>
      </c>
      <c r="H64" s="10">
        <v>433454857970</v>
      </c>
      <c r="I64" s="10">
        <v>1068872125799</v>
      </c>
      <c r="J64" s="10">
        <v>253265010778</v>
      </c>
      <c r="K64" s="10">
        <v>-158944617315</v>
      </c>
      <c r="L64" s="10"/>
      <c r="M64" s="10">
        <v>1462916419126</v>
      </c>
      <c r="N64" s="10">
        <v>160301504071</v>
      </c>
      <c r="O64" s="10">
        <v>467167095336</v>
      </c>
      <c r="P64" s="10">
        <v>2.2023589264511578</v>
      </c>
      <c r="Q64" s="10">
        <v>0</v>
      </c>
      <c r="R64" s="10" t="s">
        <v>239</v>
      </c>
      <c r="S64" s="10">
        <v>-8.6474494810945657E-2</v>
      </c>
      <c r="T64" s="10">
        <v>0.13778990588220069</v>
      </c>
      <c r="U64" s="10">
        <v>0.1280966214810754</v>
      </c>
      <c r="V64" s="10">
        <v>1.3901211646496761</v>
      </c>
    </row>
    <row r="65" spans="1:22" x14ac:dyDescent="0.3">
      <c r="A65" s="10" t="s">
        <v>36</v>
      </c>
      <c r="B65" s="10">
        <v>2023</v>
      </c>
      <c r="C65" s="10">
        <v>228636284449</v>
      </c>
      <c r="D65" s="10">
        <v>36057982429</v>
      </c>
      <c r="E65" s="10">
        <v>1528735512291</v>
      </c>
      <c r="F65" s="10">
        <v>372835223474</v>
      </c>
      <c r="G65" s="10">
        <v>776374455758</v>
      </c>
      <c r="H65" s="10">
        <v>365479869843</v>
      </c>
      <c r="I65" s="10">
        <v>745384048544</v>
      </c>
      <c r="J65" s="10">
        <v>116370957327</v>
      </c>
      <c r="K65" s="10">
        <v>7355353631</v>
      </c>
      <c r="L65" s="10"/>
      <c r="M65" s="10">
        <v>1363133590935</v>
      </c>
      <c r="N65" s="10">
        <v>147360259891</v>
      </c>
      <c r="O65" s="10">
        <v>481806112974</v>
      </c>
      <c r="P65" s="10">
        <v>2.292846043342545</v>
      </c>
      <c r="Q65" s="10">
        <v>0</v>
      </c>
      <c r="R65" s="10" t="s">
        <v>239</v>
      </c>
      <c r="S65" s="10">
        <v>4.811397113407204E-3</v>
      </c>
      <c r="T65" s="10">
        <v>7.612236151471595E-2</v>
      </c>
      <c r="U65" s="10">
        <v>0.14955908501553691</v>
      </c>
      <c r="V65" s="10">
        <v>0.96008316993924914</v>
      </c>
    </row>
    <row r="66" spans="1:22" x14ac:dyDescent="0.3">
      <c r="A66" s="10" t="s">
        <v>36</v>
      </c>
      <c r="B66" s="10">
        <v>2022</v>
      </c>
      <c r="C66" s="10">
        <v>101571660786</v>
      </c>
      <c r="D66" s="10">
        <v>32833724510</v>
      </c>
      <c r="E66" s="10">
        <v>1024105627635</v>
      </c>
      <c r="F66" s="10">
        <v>179231528228</v>
      </c>
      <c r="G66" s="10">
        <v>650197009960</v>
      </c>
      <c r="H66" s="10">
        <v>304134437750</v>
      </c>
      <c r="I66" s="10">
        <v>370350045500</v>
      </c>
      <c r="J66" s="10">
        <v>261900172903</v>
      </c>
      <c r="K66" s="10">
        <v>-124902909522</v>
      </c>
      <c r="L66" s="10"/>
      <c r="M66" s="10">
        <v>1115459007191</v>
      </c>
      <c r="N66" s="10">
        <v>65563666004</v>
      </c>
      <c r="O66" s="10">
        <v>452162673092</v>
      </c>
      <c r="P66" s="10">
        <v>1.298192788433469</v>
      </c>
      <c r="Q66" s="10">
        <v>0</v>
      </c>
      <c r="R66" s="10" t="s">
        <v>239</v>
      </c>
      <c r="S66" s="10">
        <v>-0.1219629168628262</v>
      </c>
      <c r="T66" s="10">
        <v>0.25573550797471389</v>
      </c>
      <c r="U66" s="10">
        <v>9.9180844285137557E-2</v>
      </c>
      <c r="V66" s="10">
        <v>0.56959666043801693</v>
      </c>
    </row>
    <row r="67" spans="1:22" x14ac:dyDescent="0.3">
      <c r="A67" s="10" t="s">
        <v>37</v>
      </c>
      <c r="B67" s="10">
        <v>2025</v>
      </c>
      <c r="C67" s="10">
        <v>96029908810</v>
      </c>
      <c r="D67" s="10">
        <v>47179917524</v>
      </c>
      <c r="E67" s="10">
        <v>1814266357774</v>
      </c>
      <c r="F67" s="10">
        <v>1520738101234</v>
      </c>
      <c r="G67" s="10">
        <v>852017755175</v>
      </c>
      <c r="H67" s="10">
        <v>825131739721</v>
      </c>
      <c r="I67" s="10">
        <v>959399887403</v>
      </c>
      <c r="J67" s="10">
        <v>336391388169</v>
      </c>
      <c r="K67" s="10">
        <v>695606361513</v>
      </c>
      <c r="L67" s="10"/>
      <c r="M67" s="10">
        <v>3621551039319</v>
      </c>
      <c r="N67" s="10">
        <v>46669494321</v>
      </c>
      <c r="O67" s="10">
        <v>367570389878</v>
      </c>
      <c r="P67" s="10">
        <v>4.6576425185940487</v>
      </c>
      <c r="Q67" s="10">
        <v>0</v>
      </c>
      <c r="R67" s="10" t="s">
        <v>238</v>
      </c>
      <c r="S67" s="10">
        <v>0.38340917171967448</v>
      </c>
      <c r="T67" s="10">
        <v>0.1854145543335394</v>
      </c>
      <c r="U67" s="10">
        <v>5.2930435709463937E-2</v>
      </c>
      <c r="V67" s="10">
        <v>1.126032740017189</v>
      </c>
    </row>
    <row r="68" spans="1:22" x14ac:dyDescent="0.3">
      <c r="A68" s="10" t="s">
        <v>37</v>
      </c>
      <c r="B68" s="10">
        <v>2024</v>
      </c>
      <c r="C68" s="10">
        <v>49740024205</v>
      </c>
      <c r="D68" s="10">
        <v>34049555812</v>
      </c>
      <c r="E68" s="10">
        <v>1789756273498</v>
      </c>
      <c r="F68" s="10">
        <v>1470696531082</v>
      </c>
      <c r="G68" s="10">
        <v>951321762836</v>
      </c>
      <c r="H68" s="10">
        <v>920465207161</v>
      </c>
      <c r="I68" s="10">
        <v>835814762546</v>
      </c>
      <c r="J68" s="10">
        <v>289821893848</v>
      </c>
      <c r="K68" s="10">
        <v>550231323921</v>
      </c>
      <c r="L68" s="10"/>
      <c r="M68" s="10">
        <v>3013056320674</v>
      </c>
      <c r="N68" s="10">
        <v>9765550608</v>
      </c>
      <c r="O68" s="10">
        <v>333716708365</v>
      </c>
      <c r="P68" s="10">
        <v>3.6539394238061762</v>
      </c>
      <c r="Q68" s="10">
        <v>0</v>
      </c>
      <c r="R68" s="10" t="s">
        <v>238</v>
      </c>
      <c r="S68" s="10">
        <v>0.3074336612580198</v>
      </c>
      <c r="T68" s="10">
        <v>0.16193372144552171</v>
      </c>
      <c r="U68" s="10">
        <v>2.7791507112745199E-2</v>
      </c>
      <c r="V68" s="10">
        <v>0.87858261547001693</v>
      </c>
    </row>
    <row r="69" spans="1:22" x14ac:dyDescent="0.3">
      <c r="A69" s="10" t="s">
        <v>37</v>
      </c>
      <c r="B69" s="10">
        <v>2023</v>
      </c>
      <c r="C69" s="10">
        <v>233818831757</v>
      </c>
      <c r="D69" s="10">
        <v>23559221924</v>
      </c>
      <c r="E69" s="10">
        <v>1551246449863</v>
      </c>
      <c r="F69" s="10">
        <v>1320976894084</v>
      </c>
      <c r="G69" s="10">
        <v>722076066644</v>
      </c>
      <c r="H69" s="10">
        <v>697098889524</v>
      </c>
      <c r="I69" s="10">
        <v>823559592474</v>
      </c>
      <c r="J69" s="10">
        <v>276021187003</v>
      </c>
      <c r="K69" s="10">
        <v>623878004560</v>
      </c>
      <c r="L69" s="10"/>
      <c r="M69" s="10">
        <v>3859879267941</v>
      </c>
      <c r="N69" s="10">
        <v>174797980396</v>
      </c>
      <c r="O69" s="10">
        <v>283632276067</v>
      </c>
      <c r="P69" s="10">
        <v>5.4288340537739934</v>
      </c>
      <c r="Q69" s="10">
        <v>0</v>
      </c>
      <c r="R69" s="10" t="s">
        <v>238</v>
      </c>
      <c r="S69" s="10">
        <v>0.40217852206211241</v>
      </c>
      <c r="T69" s="10">
        <v>0.17793509666202759</v>
      </c>
      <c r="U69" s="10">
        <v>0.1507296482629501</v>
      </c>
      <c r="V69" s="10">
        <v>1.1405440929536219</v>
      </c>
    </row>
    <row r="70" spans="1:22" x14ac:dyDescent="0.3">
      <c r="A70" s="10" t="s">
        <v>37</v>
      </c>
      <c r="B70" s="10">
        <v>2022</v>
      </c>
      <c r="C70" s="10">
        <v>433889881728</v>
      </c>
      <c r="D70" s="10">
        <v>26732786444</v>
      </c>
      <c r="E70" s="10">
        <v>1555132539181</v>
      </c>
      <c r="F70" s="10">
        <v>1429719554727</v>
      </c>
      <c r="G70" s="10">
        <v>873881732905</v>
      </c>
      <c r="H70" s="10">
        <v>821297807289</v>
      </c>
      <c r="I70" s="10">
        <v>676298440107</v>
      </c>
      <c r="J70" s="10">
        <v>102223206607</v>
      </c>
      <c r="K70" s="10">
        <v>608421747438</v>
      </c>
      <c r="L70" s="10"/>
      <c r="M70" s="10">
        <v>4830287518791</v>
      </c>
      <c r="N70" s="10">
        <v>375486730238</v>
      </c>
      <c r="O70" s="10">
        <v>180570320800</v>
      </c>
      <c r="P70" s="10">
        <v>5.4682990598502528</v>
      </c>
      <c r="Q70" s="10">
        <v>0</v>
      </c>
      <c r="R70" s="10" t="s">
        <v>238</v>
      </c>
      <c r="S70" s="10">
        <v>0.39123465821017489</v>
      </c>
      <c r="T70" s="10">
        <v>6.5732793849735252E-2</v>
      </c>
      <c r="U70" s="10">
        <v>0.27900508207262198</v>
      </c>
      <c r="V70" s="10">
        <v>0.77390156429842738</v>
      </c>
    </row>
    <row r="71" spans="1:22" x14ac:dyDescent="0.3">
      <c r="A71" s="10" t="s">
        <v>38</v>
      </c>
      <c r="B71" s="10">
        <v>2025</v>
      </c>
      <c r="C71" s="10">
        <v>214049631808</v>
      </c>
      <c r="D71" s="10">
        <v>18965143422</v>
      </c>
      <c r="E71" s="10">
        <v>1618061936923</v>
      </c>
      <c r="F71" s="10">
        <v>762174873749</v>
      </c>
      <c r="G71" s="10">
        <v>565544980692</v>
      </c>
      <c r="H71" s="10">
        <v>447965743270</v>
      </c>
      <c r="I71" s="10">
        <v>893349045424</v>
      </c>
      <c r="J71" s="10">
        <v>417083858868</v>
      </c>
      <c r="K71" s="10">
        <v>314209130479</v>
      </c>
      <c r="L71" s="10"/>
      <c r="M71" s="10">
        <v>1666625980482</v>
      </c>
      <c r="N71" s="10">
        <v>132213735007</v>
      </c>
      <c r="O71" s="10">
        <v>335169943272</v>
      </c>
      <c r="P71" s="10">
        <v>4.6617786606714198</v>
      </c>
      <c r="Q71" s="10">
        <v>0</v>
      </c>
      <c r="R71" s="10" t="s">
        <v>238</v>
      </c>
      <c r="S71" s="10">
        <v>0.19418856800779721</v>
      </c>
      <c r="T71" s="10">
        <v>0.25776754854091111</v>
      </c>
      <c r="U71" s="10">
        <v>0.13228766274240969</v>
      </c>
      <c r="V71" s="10">
        <v>1.579625097778959</v>
      </c>
    </row>
    <row r="72" spans="1:22" x14ac:dyDescent="0.3">
      <c r="A72" s="10" t="s">
        <v>38</v>
      </c>
      <c r="B72" s="10">
        <v>2024</v>
      </c>
      <c r="C72" s="10">
        <v>184551865707</v>
      </c>
      <c r="D72" s="10">
        <v>21375709598</v>
      </c>
      <c r="E72" s="10">
        <v>1670258299132</v>
      </c>
      <c r="F72" s="10">
        <v>846217763932</v>
      </c>
      <c r="G72" s="10">
        <v>553311070016</v>
      </c>
      <c r="H72" s="10">
        <v>427378159220</v>
      </c>
      <c r="I72" s="10">
        <v>952464394864</v>
      </c>
      <c r="J72" s="10">
        <v>336476781875</v>
      </c>
      <c r="K72" s="10">
        <v>418839604712</v>
      </c>
      <c r="L72" s="10"/>
      <c r="M72" s="10">
        <v>1698709259431</v>
      </c>
      <c r="N72" s="10">
        <v>94532420362</v>
      </c>
      <c r="O72" s="10">
        <v>309645224814</v>
      </c>
      <c r="P72" s="10">
        <v>4.8517140652430308</v>
      </c>
      <c r="Q72" s="10">
        <v>0</v>
      </c>
      <c r="R72" s="10" t="s">
        <v>238</v>
      </c>
      <c r="S72" s="10">
        <v>0.25076337290445588</v>
      </c>
      <c r="T72" s="10">
        <v>0.2014519443189477</v>
      </c>
      <c r="U72" s="10">
        <v>0.11049300925665689</v>
      </c>
      <c r="V72" s="10">
        <v>1.7213904555288539</v>
      </c>
    </row>
    <row r="73" spans="1:22" x14ac:dyDescent="0.3">
      <c r="A73" s="10" t="s">
        <v>38</v>
      </c>
      <c r="B73" s="10">
        <v>2023</v>
      </c>
      <c r="C73" s="10">
        <v>176865300877</v>
      </c>
      <c r="D73" s="10">
        <v>23588464908</v>
      </c>
      <c r="E73" s="10">
        <v>1623175343958</v>
      </c>
      <c r="F73" s="10">
        <v>790910037577</v>
      </c>
      <c r="G73" s="10">
        <v>507200293546</v>
      </c>
      <c r="H73" s="10">
        <v>384885378906</v>
      </c>
      <c r="I73" s="10">
        <v>948991600451</v>
      </c>
      <c r="J73" s="10">
        <v>329540930395</v>
      </c>
      <c r="K73" s="10">
        <v>406024658671</v>
      </c>
      <c r="L73" s="10"/>
      <c r="M73" s="10">
        <v>1465497596463</v>
      </c>
      <c r="N73" s="10">
        <v>111306377610</v>
      </c>
      <c r="O73" s="10">
        <v>267871398886</v>
      </c>
      <c r="P73" s="10">
        <v>4.9996051712388816</v>
      </c>
      <c r="Q73" s="10">
        <v>0</v>
      </c>
      <c r="R73" s="10" t="s">
        <v>238</v>
      </c>
      <c r="S73" s="10">
        <v>0.25014220440346091</v>
      </c>
      <c r="T73" s="10">
        <v>0.2030223854875946</v>
      </c>
      <c r="U73" s="10">
        <v>0.1089625354003507</v>
      </c>
      <c r="V73" s="10">
        <v>1.871039138830727</v>
      </c>
    </row>
    <row r="74" spans="1:22" x14ac:dyDescent="0.3">
      <c r="A74" s="10" t="s">
        <v>38</v>
      </c>
      <c r="B74" s="10">
        <v>2022</v>
      </c>
      <c r="C74" s="10">
        <v>106729626672</v>
      </c>
      <c r="D74" s="10">
        <v>27476701926</v>
      </c>
      <c r="E74" s="10">
        <v>1436511645894</v>
      </c>
      <c r="F74" s="10">
        <v>724398522593</v>
      </c>
      <c r="G74" s="10">
        <v>576646375306</v>
      </c>
      <c r="H74" s="10">
        <v>444401360976</v>
      </c>
      <c r="I74" s="10">
        <v>797188013554</v>
      </c>
      <c r="J74" s="10">
        <v>277849732961</v>
      </c>
      <c r="K74" s="10">
        <v>279997161617</v>
      </c>
      <c r="L74" s="10"/>
      <c r="M74" s="10">
        <v>1422635343390</v>
      </c>
      <c r="N74" s="10">
        <v>79480451922</v>
      </c>
      <c r="O74" s="10">
        <v>376498156850</v>
      </c>
      <c r="P74" s="10">
        <v>3.8600479653944539</v>
      </c>
      <c r="Q74" s="10">
        <v>0</v>
      </c>
      <c r="R74" s="10" t="s">
        <v>238</v>
      </c>
      <c r="S74" s="10">
        <v>0.1949146478675057</v>
      </c>
      <c r="T74" s="10">
        <v>0.1934197566411533</v>
      </c>
      <c r="U74" s="10">
        <v>7.4297780304856342E-2</v>
      </c>
      <c r="V74" s="10">
        <v>1.3824556048426879</v>
      </c>
    </row>
    <row r="75" spans="1:22" x14ac:dyDescent="0.3">
      <c r="A75" s="10" t="s">
        <v>39</v>
      </c>
      <c r="B75" s="10">
        <v>2025</v>
      </c>
      <c r="C75" s="10">
        <v>910746</v>
      </c>
      <c r="D75" s="10">
        <v>173276</v>
      </c>
      <c r="E75" s="10">
        <v>270144921</v>
      </c>
      <c r="F75" s="10">
        <v>101921154</v>
      </c>
      <c r="G75" s="10">
        <v>46945189</v>
      </c>
      <c r="H75" s="10">
        <v>34979505</v>
      </c>
      <c r="I75" s="10">
        <v>212444709</v>
      </c>
      <c r="J75" s="10">
        <v>69487486</v>
      </c>
      <c r="K75" s="10">
        <v>66941649</v>
      </c>
      <c r="L75" s="10"/>
      <c r="M75" s="10">
        <v>124279595</v>
      </c>
      <c r="N75" s="10">
        <v>-2320728</v>
      </c>
      <c r="O75" s="10">
        <v>2595839</v>
      </c>
      <c r="P75" s="10">
        <v>7.2384104219571466</v>
      </c>
      <c r="Q75" s="10">
        <v>0</v>
      </c>
      <c r="R75" s="10" t="s">
        <v>238</v>
      </c>
      <c r="S75" s="10">
        <v>0.24779902858140351</v>
      </c>
      <c r="T75" s="10">
        <v>0.25722299624504141</v>
      </c>
      <c r="U75" s="10">
        <v>3.3713237940164718E-3</v>
      </c>
      <c r="V75" s="10">
        <v>4.5253776483890604</v>
      </c>
    </row>
    <row r="76" spans="1:22" x14ac:dyDescent="0.3">
      <c r="A76" s="10" t="s">
        <v>39</v>
      </c>
      <c r="B76" s="10">
        <v>2024</v>
      </c>
      <c r="C76" s="10">
        <v>20566834</v>
      </c>
      <c r="D76" s="10">
        <v>427541</v>
      </c>
      <c r="E76" s="10">
        <v>292744260</v>
      </c>
      <c r="F76" s="10">
        <v>113755596</v>
      </c>
      <c r="G76" s="10">
        <v>66727705</v>
      </c>
      <c r="H76" s="10">
        <v>52544552</v>
      </c>
      <c r="I76" s="10">
        <v>213928448</v>
      </c>
      <c r="J76" s="10">
        <v>72133427</v>
      </c>
      <c r="K76" s="10">
        <v>61211044</v>
      </c>
      <c r="L76" s="10"/>
      <c r="M76" s="10">
        <v>230915213</v>
      </c>
      <c r="N76" s="10">
        <v>11967185</v>
      </c>
      <c r="O76" s="10">
        <v>7844452</v>
      </c>
      <c r="P76" s="10">
        <v>6.0133404575888996</v>
      </c>
      <c r="Q76" s="10">
        <v>0</v>
      </c>
      <c r="R76" s="10" t="s">
        <v>238</v>
      </c>
      <c r="S76" s="10">
        <v>0.20909391699089161</v>
      </c>
      <c r="T76" s="10">
        <v>0.2464042403427483</v>
      </c>
      <c r="U76" s="10">
        <v>7.0255293818570513E-2</v>
      </c>
      <c r="V76" s="10">
        <v>3.205991394429045</v>
      </c>
    </row>
    <row r="77" spans="1:22" x14ac:dyDescent="0.3">
      <c r="A77" s="10" t="s">
        <v>39</v>
      </c>
      <c r="B77" s="10">
        <v>2023</v>
      </c>
      <c r="C77" s="10">
        <v>25229866</v>
      </c>
      <c r="D77" s="10">
        <v>324338</v>
      </c>
      <c r="E77" s="10">
        <v>298865582</v>
      </c>
      <c r="F77" s="10">
        <v>119147229</v>
      </c>
      <c r="G77" s="10">
        <v>72841131</v>
      </c>
      <c r="H77" s="10">
        <v>58366726</v>
      </c>
      <c r="I77" s="10">
        <v>212875799</v>
      </c>
      <c r="J77" s="10">
        <v>71447493</v>
      </c>
      <c r="K77" s="10">
        <v>60780503</v>
      </c>
      <c r="L77" s="10"/>
      <c r="M77" s="10">
        <v>251962129</v>
      </c>
      <c r="N77" s="10">
        <v>15315409</v>
      </c>
      <c r="O77" s="10">
        <v>8591342</v>
      </c>
      <c r="P77" s="10">
        <v>5.7493393671992692</v>
      </c>
      <c r="Q77" s="10">
        <v>0</v>
      </c>
      <c r="R77" s="10" t="s">
        <v>238</v>
      </c>
      <c r="S77" s="10">
        <v>0.2033707012806848</v>
      </c>
      <c r="T77" s="10">
        <v>0.2390622985821097</v>
      </c>
      <c r="U77" s="10">
        <v>8.4418773922251111E-2</v>
      </c>
      <c r="V77" s="10">
        <v>2.9224669644407362</v>
      </c>
    </row>
    <row r="78" spans="1:22" x14ac:dyDescent="0.3">
      <c r="A78" s="10" t="s">
        <v>39</v>
      </c>
      <c r="B78" s="10">
        <v>2022</v>
      </c>
      <c r="C78" s="10">
        <v>46376334</v>
      </c>
      <c r="D78" s="10">
        <v>1026045</v>
      </c>
      <c r="E78" s="10">
        <v>290896966</v>
      </c>
      <c r="F78" s="10">
        <v>128612798</v>
      </c>
      <c r="G78" s="10">
        <v>68418098</v>
      </c>
      <c r="H78" s="10">
        <v>53168710</v>
      </c>
      <c r="I78" s="10">
        <v>209250911</v>
      </c>
      <c r="J78" s="10">
        <v>67154471</v>
      </c>
      <c r="K78" s="10">
        <v>75444088</v>
      </c>
      <c r="L78" s="10"/>
      <c r="M78" s="10">
        <v>335234244</v>
      </c>
      <c r="N78" s="10">
        <v>31985804</v>
      </c>
      <c r="O78" s="10">
        <v>9892671</v>
      </c>
      <c r="P78" s="10">
        <v>6.7365895688315964</v>
      </c>
      <c r="Q78" s="10">
        <v>0</v>
      </c>
      <c r="R78" s="10" t="s">
        <v>238</v>
      </c>
      <c r="S78" s="10">
        <v>0.25934986204015609</v>
      </c>
      <c r="T78" s="10">
        <v>0.23085311587608651</v>
      </c>
      <c r="U78" s="10">
        <v>0.15942529287156609</v>
      </c>
      <c r="V78" s="10">
        <v>3.0584146171382902</v>
      </c>
    </row>
    <row r="79" spans="1:22" x14ac:dyDescent="0.3">
      <c r="A79" s="10" t="s">
        <v>41</v>
      </c>
      <c r="B79" s="10">
        <v>2025</v>
      </c>
      <c r="C79" s="10">
        <v>1993520000</v>
      </c>
      <c r="D79" s="10">
        <v>390532000</v>
      </c>
      <c r="E79" s="10">
        <v>17353211000</v>
      </c>
      <c r="F79" s="10">
        <v>6236536000</v>
      </c>
      <c r="G79" s="10">
        <v>11307579000</v>
      </c>
      <c r="H79" s="10">
        <v>2667147000</v>
      </c>
      <c r="I79" s="10">
        <v>2243416000</v>
      </c>
      <c r="J79" s="10">
        <v>850226000</v>
      </c>
      <c r="K79" s="10">
        <v>3569389000</v>
      </c>
      <c r="L79" s="10"/>
      <c r="M79" s="10">
        <v>7630662000</v>
      </c>
      <c r="N79" s="10">
        <v>489807000</v>
      </c>
      <c r="O79" s="10">
        <v>8108389000</v>
      </c>
      <c r="P79" s="10">
        <v>2.4893601276668851</v>
      </c>
      <c r="Q79" s="10">
        <v>0</v>
      </c>
      <c r="R79" s="10" t="s">
        <v>239</v>
      </c>
      <c r="S79" s="10">
        <v>0.20569040507834541</v>
      </c>
      <c r="T79" s="10">
        <v>4.8995312740679517E-2</v>
      </c>
      <c r="U79" s="10">
        <v>0.1148790272878028</v>
      </c>
      <c r="V79" s="10">
        <v>0.1983993213755128</v>
      </c>
    </row>
    <row r="80" spans="1:22" x14ac:dyDescent="0.3">
      <c r="A80" s="10" t="s">
        <v>41</v>
      </c>
      <c r="B80" s="10">
        <v>2024</v>
      </c>
      <c r="C80" s="10">
        <v>552924000</v>
      </c>
      <c r="D80" s="10">
        <v>320228000</v>
      </c>
      <c r="E80" s="10">
        <v>10532564000</v>
      </c>
      <c r="F80" s="10">
        <v>3493519000</v>
      </c>
      <c r="G80" s="10">
        <v>6344579000</v>
      </c>
      <c r="H80" s="10">
        <v>1433953000</v>
      </c>
      <c r="I80" s="10">
        <v>1727829000</v>
      </c>
      <c r="J80" s="10">
        <v>360979000</v>
      </c>
      <c r="K80" s="10">
        <v>2059566000</v>
      </c>
      <c r="L80" s="10"/>
      <c r="M80" s="10">
        <v>2386995000</v>
      </c>
      <c r="N80" s="10">
        <v>56484000</v>
      </c>
      <c r="O80" s="10">
        <v>4642935000</v>
      </c>
      <c r="P80" s="10">
        <v>2.033214388800292</v>
      </c>
      <c r="Q80" s="10">
        <v>0</v>
      </c>
      <c r="R80" s="10" t="s">
        <v>239</v>
      </c>
      <c r="S80" s="10">
        <v>0.19554269976427391</v>
      </c>
      <c r="T80" s="10">
        <v>3.4272661433626228E-2</v>
      </c>
      <c r="U80" s="10">
        <v>5.2496619056860233E-2</v>
      </c>
      <c r="V80" s="10">
        <v>0.27233154477231658</v>
      </c>
    </row>
    <row r="81" spans="1:22" x14ac:dyDescent="0.3">
      <c r="A81" s="10" t="s">
        <v>41</v>
      </c>
      <c r="B81" s="10">
        <v>2023</v>
      </c>
      <c r="C81" s="10">
        <v>524061000</v>
      </c>
      <c r="D81" s="10">
        <v>300843000</v>
      </c>
      <c r="E81" s="10">
        <v>10149666000</v>
      </c>
      <c r="F81" s="10">
        <v>3624849000</v>
      </c>
      <c r="G81" s="10">
        <v>6037737000</v>
      </c>
      <c r="H81" s="10">
        <v>1137497000</v>
      </c>
      <c r="I81" s="10">
        <v>1688393000</v>
      </c>
      <c r="J81" s="10">
        <v>309755000</v>
      </c>
      <c r="K81" s="10">
        <v>2487352000</v>
      </c>
      <c r="L81" s="10"/>
      <c r="M81" s="10">
        <v>2760359000</v>
      </c>
      <c r="N81" s="10">
        <v>26116000</v>
      </c>
      <c r="O81" s="10">
        <v>4272270000</v>
      </c>
      <c r="P81" s="10">
        <v>2.3477310453331248</v>
      </c>
      <c r="Q81" s="10">
        <v>0</v>
      </c>
      <c r="R81" s="10" t="s">
        <v>239</v>
      </c>
      <c r="S81" s="10">
        <v>0.2450673746308499</v>
      </c>
      <c r="T81" s="10">
        <v>3.0518738252076471E-2</v>
      </c>
      <c r="U81" s="10">
        <v>5.1633324682802371E-2</v>
      </c>
      <c r="V81" s="10">
        <v>0.27964003731861792</v>
      </c>
    </row>
    <row r="82" spans="1:22" x14ac:dyDescent="0.3">
      <c r="A82" s="10" t="s">
        <v>41</v>
      </c>
      <c r="B82" s="10">
        <v>2022</v>
      </c>
      <c r="C82" s="10">
        <v>347281000</v>
      </c>
      <c r="D82" s="10">
        <v>191858000</v>
      </c>
      <c r="E82" s="10">
        <v>9248254000</v>
      </c>
      <c r="F82" s="10">
        <v>2878122000</v>
      </c>
      <c r="G82" s="10">
        <v>5526357000</v>
      </c>
      <c r="H82" s="10">
        <v>778629000</v>
      </c>
      <c r="I82" s="10">
        <v>1579950000</v>
      </c>
      <c r="J82" s="10">
        <v>293659000</v>
      </c>
      <c r="K82" s="10">
        <v>2099493000</v>
      </c>
      <c r="L82" s="10"/>
      <c r="M82" s="10">
        <v>2961532000</v>
      </c>
      <c r="N82" s="10">
        <v>1759000</v>
      </c>
      <c r="O82" s="10">
        <v>3970480000</v>
      </c>
      <c r="P82" s="10">
        <v>2.145264179567091</v>
      </c>
      <c r="Q82" s="10">
        <v>0</v>
      </c>
      <c r="R82" s="10" t="s">
        <v>239</v>
      </c>
      <c r="S82" s="10">
        <v>0.2270150668439686</v>
      </c>
      <c r="T82" s="10">
        <v>3.1752912495699191E-2</v>
      </c>
      <c r="U82" s="10">
        <v>3.7550979893069547E-2</v>
      </c>
      <c r="V82" s="10">
        <v>0.28589358233642892</v>
      </c>
    </row>
    <row r="83" spans="1:22" x14ac:dyDescent="0.3">
      <c r="A83" s="10" t="s">
        <v>43</v>
      </c>
      <c r="B83" s="10">
        <v>2025</v>
      </c>
      <c r="C83" s="10">
        <v>288756000000</v>
      </c>
      <c r="D83" s="10">
        <v>163256000000</v>
      </c>
      <c r="E83" s="10">
        <v>4098252000000</v>
      </c>
      <c r="F83" s="10">
        <v>2563668000000</v>
      </c>
      <c r="G83" s="10">
        <v>2409174000000</v>
      </c>
      <c r="H83" s="10">
        <v>1479391000000</v>
      </c>
      <c r="I83" s="10">
        <v>1551443000000</v>
      </c>
      <c r="J83" s="10">
        <v>642825000000</v>
      </c>
      <c r="K83" s="10">
        <v>1084277000000</v>
      </c>
      <c r="L83" s="10"/>
      <c r="M83" s="10">
        <v>3177730000000</v>
      </c>
      <c r="N83" s="10">
        <v>106550000000</v>
      </c>
      <c r="O83" s="10">
        <v>2005818000000</v>
      </c>
      <c r="P83" s="10">
        <v>3.3965770631301151</v>
      </c>
      <c r="Q83" s="10">
        <v>0</v>
      </c>
      <c r="R83" s="10" t="s">
        <v>238</v>
      </c>
      <c r="S83" s="10">
        <v>0.26457060229580809</v>
      </c>
      <c r="T83" s="10">
        <v>0.15685345849889171</v>
      </c>
      <c r="U83" s="10">
        <v>7.0458331991297751E-2</v>
      </c>
      <c r="V83" s="10">
        <v>0.64397299655400564</v>
      </c>
    </row>
    <row r="84" spans="1:22" x14ac:dyDescent="0.3">
      <c r="A84" s="10" t="s">
        <v>43</v>
      </c>
      <c r="B84" s="10">
        <v>2024</v>
      </c>
      <c r="C84" s="10">
        <v>222558000000</v>
      </c>
      <c r="D84" s="10">
        <v>137566000000</v>
      </c>
      <c r="E84" s="10">
        <v>3817011000000</v>
      </c>
      <c r="F84" s="10">
        <v>2265184000000</v>
      </c>
      <c r="G84" s="10">
        <v>2197787000000</v>
      </c>
      <c r="H84" s="10">
        <v>1569209000000</v>
      </c>
      <c r="I84" s="10">
        <v>1487906000000</v>
      </c>
      <c r="J84" s="10">
        <v>578032000000</v>
      </c>
      <c r="K84" s="10">
        <v>695975000000</v>
      </c>
      <c r="L84" s="10"/>
      <c r="M84" s="10">
        <v>4009264000000</v>
      </c>
      <c r="N84" s="10">
        <v>61624000000</v>
      </c>
      <c r="O84" s="10">
        <v>1696566000000</v>
      </c>
      <c r="P84" s="10">
        <v>2.792472961238512</v>
      </c>
      <c r="Q84" s="10">
        <v>0</v>
      </c>
      <c r="R84" s="10" t="s">
        <v>238</v>
      </c>
      <c r="S84" s="10">
        <v>0.1823350784160695</v>
      </c>
      <c r="T84" s="10">
        <v>0.1514357700305291</v>
      </c>
      <c r="U84" s="10">
        <v>5.8306879388086652E-2</v>
      </c>
      <c r="V84" s="10">
        <v>0.67700191146821775</v>
      </c>
    </row>
    <row r="85" spans="1:22" x14ac:dyDescent="0.3">
      <c r="A85" s="10" t="s">
        <v>43</v>
      </c>
      <c r="B85" s="10">
        <v>2023</v>
      </c>
      <c r="C85" s="10">
        <v>247866000000</v>
      </c>
      <c r="D85" s="10">
        <v>120555000000</v>
      </c>
      <c r="E85" s="10">
        <v>3327846000000</v>
      </c>
      <c r="F85" s="10">
        <v>1708152000000</v>
      </c>
      <c r="G85" s="10">
        <v>1736519000000</v>
      </c>
      <c r="H85" s="10">
        <v>1251674000000</v>
      </c>
      <c r="I85" s="10">
        <v>1466981000000</v>
      </c>
      <c r="J85" s="10">
        <v>557607000000</v>
      </c>
      <c r="K85" s="10">
        <v>456478000000</v>
      </c>
      <c r="L85" s="10"/>
      <c r="M85" s="10">
        <v>3944953000000</v>
      </c>
      <c r="N85" s="10">
        <v>100802000000</v>
      </c>
      <c r="O85" s="10">
        <v>1305110000000</v>
      </c>
      <c r="P85" s="10">
        <v>2.8336123919550631</v>
      </c>
      <c r="Q85" s="10">
        <v>0</v>
      </c>
      <c r="R85" s="10" t="s">
        <v>238</v>
      </c>
      <c r="S85" s="10">
        <v>0.13716920795012749</v>
      </c>
      <c r="T85" s="10">
        <v>0.167557933870738</v>
      </c>
      <c r="U85" s="10">
        <v>7.4482412948195326E-2</v>
      </c>
      <c r="V85" s="10">
        <v>0.84478257940166501</v>
      </c>
    </row>
    <row r="86" spans="1:22" x14ac:dyDescent="0.3">
      <c r="A86" s="10" t="s">
        <v>43</v>
      </c>
      <c r="B86" s="10">
        <v>2022</v>
      </c>
      <c r="C86" s="10">
        <v>223688000000</v>
      </c>
      <c r="D86" s="10">
        <v>107657000000</v>
      </c>
      <c r="E86" s="10">
        <v>3173651000000</v>
      </c>
      <c r="F86" s="10">
        <v>1582322000000</v>
      </c>
      <c r="G86" s="10">
        <v>1728614000000</v>
      </c>
      <c r="H86" s="10">
        <v>1189965000000</v>
      </c>
      <c r="I86" s="10">
        <v>1331990000000</v>
      </c>
      <c r="J86" s="10">
        <v>523272000000</v>
      </c>
      <c r="K86" s="10">
        <v>392357000000</v>
      </c>
      <c r="L86" s="10"/>
      <c r="M86" s="10">
        <v>3382326000000</v>
      </c>
      <c r="N86" s="10">
        <v>88961000000</v>
      </c>
      <c r="O86" s="10">
        <v>1251614000000</v>
      </c>
      <c r="P86" s="10">
        <v>2.631245248201044</v>
      </c>
      <c r="Q86" s="10">
        <v>0</v>
      </c>
      <c r="R86" s="10" t="s">
        <v>238</v>
      </c>
      <c r="S86" s="10">
        <v>0.12362953582482759</v>
      </c>
      <c r="T86" s="10">
        <v>0.1648801333227882</v>
      </c>
      <c r="U86" s="10">
        <v>7.048286027669709E-2</v>
      </c>
      <c r="V86" s="10">
        <v>0.77055374999855375</v>
      </c>
    </row>
    <row r="87" spans="1:22" x14ac:dyDescent="0.3">
      <c r="A87" s="10" t="s">
        <v>45</v>
      </c>
      <c r="B87" s="10">
        <v>2025</v>
      </c>
      <c r="C87" s="10">
        <v>92816469958</v>
      </c>
      <c r="D87" s="10"/>
      <c r="E87" s="10">
        <v>1174542531856</v>
      </c>
      <c r="F87" s="10">
        <v>530058622675</v>
      </c>
      <c r="G87" s="10">
        <v>167882013531</v>
      </c>
      <c r="H87" s="10">
        <v>105346450531</v>
      </c>
      <c r="I87" s="10">
        <v>1006660518325</v>
      </c>
      <c r="J87" s="10">
        <v>168965806596</v>
      </c>
      <c r="K87" s="10">
        <v>424712172144</v>
      </c>
      <c r="L87" s="10"/>
      <c r="M87" s="10">
        <v>1173936757679</v>
      </c>
      <c r="N87" s="10">
        <v>74768974166</v>
      </c>
      <c r="O87" s="10"/>
      <c r="P87" s="10">
        <v>9.6681433045302843</v>
      </c>
      <c r="Q87" s="10">
        <v>0</v>
      </c>
      <c r="R87" s="10" t="s">
        <v>238</v>
      </c>
      <c r="S87" s="10">
        <v>0.36159795037211151</v>
      </c>
      <c r="T87" s="10">
        <v>0.14385669485208169</v>
      </c>
      <c r="U87" s="10">
        <v>7.9023506974525967E-2</v>
      </c>
      <c r="V87" s="10">
        <v>5.9962380552406032</v>
      </c>
    </row>
    <row r="88" spans="1:22" x14ac:dyDescent="0.3">
      <c r="A88" s="10" t="s">
        <v>45</v>
      </c>
      <c r="B88" s="10">
        <v>2024</v>
      </c>
      <c r="C88" s="10">
        <v>119104833912</v>
      </c>
      <c r="D88" s="10"/>
      <c r="E88" s="10">
        <v>1083173624832</v>
      </c>
      <c r="F88" s="10">
        <v>472552752038</v>
      </c>
      <c r="G88" s="10">
        <v>148194431953</v>
      </c>
      <c r="H88" s="10">
        <v>93604844953</v>
      </c>
      <c r="I88" s="10">
        <v>934979192879</v>
      </c>
      <c r="J88" s="10">
        <v>97110136525</v>
      </c>
      <c r="K88" s="10">
        <v>378947907085</v>
      </c>
      <c r="L88" s="10"/>
      <c r="M88" s="10">
        <v>1158489850210</v>
      </c>
      <c r="N88" s="10">
        <v>97110136525</v>
      </c>
      <c r="O88" s="10"/>
      <c r="P88" s="10">
        <v>9.9508043466037357</v>
      </c>
      <c r="Q88" s="10">
        <v>0</v>
      </c>
      <c r="R88" s="10" t="s">
        <v>238</v>
      </c>
      <c r="S88" s="10">
        <v>0.3498496440437005</v>
      </c>
      <c r="T88" s="10">
        <v>8.9653343008662859E-2</v>
      </c>
      <c r="U88" s="10">
        <v>0.1099591341420201</v>
      </c>
      <c r="V88" s="10">
        <v>6.3091384781280411</v>
      </c>
    </row>
    <row r="89" spans="1:22" x14ac:dyDescent="0.3">
      <c r="A89" s="10" t="s">
        <v>45</v>
      </c>
      <c r="B89" s="10">
        <v>2023</v>
      </c>
      <c r="C89" s="10">
        <v>150104973066</v>
      </c>
      <c r="D89" s="10"/>
      <c r="E89" s="10">
        <v>1088726193209</v>
      </c>
      <c r="F89" s="10">
        <v>501886780991</v>
      </c>
      <c r="G89" s="10">
        <v>136086922155</v>
      </c>
      <c r="H89" s="10">
        <v>78024161155</v>
      </c>
      <c r="I89" s="10">
        <v>952639271054</v>
      </c>
      <c r="J89" s="10">
        <v>127426464539</v>
      </c>
      <c r="K89" s="10">
        <v>423862619836</v>
      </c>
      <c r="L89" s="10"/>
      <c r="M89" s="10">
        <v>1135790489555</v>
      </c>
      <c r="N89" s="10">
        <v>127426464539</v>
      </c>
      <c r="O89" s="10"/>
      <c r="P89" s="10">
        <v>11.212232182177489</v>
      </c>
      <c r="Q89" s="10">
        <v>0</v>
      </c>
      <c r="R89" s="10" t="s">
        <v>238</v>
      </c>
      <c r="S89" s="10">
        <v>0.38931975962355869</v>
      </c>
      <c r="T89" s="10">
        <v>0.11704179189756871</v>
      </c>
      <c r="U89" s="10">
        <v>0.1378721059549127</v>
      </c>
      <c r="V89" s="10">
        <v>7.0002264432798684</v>
      </c>
    </row>
    <row r="90" spans="1:22" x14ac:dyDescent="0.3">
      <c r="A90" s="10" t="s">
        <v>45</v>
      </c>
      <c r="B90" s="10">
        <v>2022</v>
      </c>
      <c r="C90" s="10">
        <v>158256367163</v>
      </c>
      <c r="D90" s="10"/>
      <c r="E90" s="10">
        <v>1074777460412</v>
      </c>
      <c r="F90" s="10">
        <v>772685806645</v>
      </c>
      <c r="G90" s="10">
        <v>133323429397</v>
      </c>
      <c r="H90" s="10">
        <v>72411790397</v>
      </c>
      <c r="I90" s="10">
        <v>941454031015</v>
      </c>
      <c r="J90" s="10">
        <v>124910952844</v>
      </c>
      <c r="K90" s="10">
        <v>700274016248</v>
      </c>
      <c r="L90" s="10"/>
      <c r="M90" s="10">
        <v>1129360552136</v>
      </c>
      <c r="N90" s="10">
        <v>121257336904</v>
      </c>
      <c r="O90" s="10"/>
      <c r="P90" s="10">
        <v>13.057055409039689</v>
      </c>
      <c r="Q90" s="10">
        <v>0</v>
      </c>
      <c r="R90" s="10" t="s">
        <v>238</v>
      </c>
      <c r="S90" s="10">
        <v>0.65155256975668274</v>
      </c>
      <c r="T90" s="10">
        <v>0.1162202943817944</v>
      </c>
      <c r="U90" s="10">
        <v>0.14724570712744081</v>
      </c>
      <c r="V90" s="10">
        <v>7.0614297522426641</v>
      </c>
    </row>
    <row r="91" spans="1:22" x14ac:dyDescent="0.3">
      <c r="A91" s="10" t="s">
        <v>46</v>
      </c>
      <c r="B91" s="10">
        <v>2025</v>
      </c>
      <c r="C91" s="10">
        <v>305243000000</v>
      </c>
      <c r="D91" s="10">
        <v>156802000000</v>
      </c>
      <c r="E91" s="10">
        <v>4117814000000</v>
      </c>
      <c r="F91" s="10">
        <v>2811840000000</v>
      </c>
      <c r="G91" s="10">
        <v>3007199000000</v>
      </c>
      <c r="H91" s="10">
        <v>2286662000000</v>
      </c>
      <c r="I91" s="10">
        <v>1110615000000</v>
      </c>
      <c r="J91" s="10">
        <v>299772000000</v>
      </c>
      <c r="K91" s="10">
        <v>525178000000</v>
      </c>
      <c r="L91" s="10"/>
      <c r="M91" s="10">
        <v>13970811000000</v>
      </c>
      <c r="N91" s="10">
        <v>106175000000</v>
      </c>
      <c r="O91" s="10">
        <v>2094904000000</v>
      </c>
      <c r="P91" s="10">
        <v>1.959894888437955</v>
      </c>
      <c r="Q91" s="10">
        <v>0</v>
      </c>
      <c r="R91" s="10" t="s">
        <v>239</v>
      </c>
      <c r="S91" s="10">
        <v>0.1275380578141703</v>
      </c>
      <c r="T91" s="10">
        <v>7.2798819956413768E-2</v>
      </c>
      <c r="U91" s="10">
        <v>7.4127437519033154E-2</v>
      </c>
      <c r="V91" s="10">
        <v>0.36931875808684428</v>
      </c>
    </row>
    <row r="92" spans="1:22" x14ac:dyDescent="0.3">
      <c r="A92" s="10" t="s">
        <v>46</v>
      </c>
      <c r="B92" s="10">
        <v>2024</v>
      </c>
      <c r="C92" s="10">
        <v>224697000000</v>
      </c>
      <c r="D92" s="10">
        <v>146288000000</v>
      </c>
      <c r="E92" s="10">
        <v>4200319000000</v>
      </c>
      <c r="F92" s="10">
        <v>3591721000000</v>
      </c>
      <c r="G92" s="10">
        <v>3231021000000</v>
      </c>
      <c r="H92" s="10">
        <v>2547153000000</v>
      </c>
      <c r="I92" s="10">
        <v>969298000000</v>
      </c>
      <c r="J92" s="10">
        <v>193116000000</v>
      </c>
      <c r="K92" s="10">
        <v>1044568000000</v>
      </c>
      <c r="L92" s="10"/>
      <c r="M92" s="10">
        <v>9766108000000</v>
      </c>
      <c r="N92" s="10">
        <v>68186000000</v>
      </c>
      <c r="O92" s="10">
        <v>2714137000000</v>
      </c>
      <c r="P92" s="10">
        <v>2.4557604399861979</v>
      </c>
      <c r="Q92" s="10">
        <v>0</v>
      </c>
      <c r="R92" s="10" t="s">
        <v>239</v>
      </c>
      <c r="S92" s="10">
        <v>0.24868777823779581</v>
      </c>
      <c r="T92" s="10">
        <v>4.5976507974751439E-2</v>
      </c>
      <c r="U92" s="10">
        <v>5.3495222624757789E-2</v>
      </c>
      <c r="V92" s="10">
        <v>0.29999743115256761</v>
      </c>
    </row>
    <row r="93" spans="1:22" x14ac:dyDescent="0.3">
      <c r="A93" s="10" t="s">
        <v>46</v>
      </c>
      <c r="B93" s="10">
        <v>2023</v>
      </c>
      <c r="C93" s="10">
        <v>291837000000</v>
      </c>
      <c r="D93" s="10">
        <v>115168000000</v>
      </c>
      <c r="E93" s="10">
        <v>4336194000000</v>
      </c>
      <c r="F93" s="10">
        <v>3925960000000</v>
      </c>
      <c r="G93" s="10">
        <v>3433778000000</v>
      </c>
      <c r="H93" s="10">
        <v>2659659000000</v>
      </c>
      <c r="I93" s="10">
        <v>902416000000</v>
      </c>
      <c r="J93" s="10">
        <v>215359000000</v>
      </c>
      <c r="K93" s="10">
        <v>1266301000000</v>
      </c>
      <c r="L93" s="10"/>
      <c r="M93" s="10">
        <v>10319437000000</v>
      </c>
      <c r="N93" s="10">
        <v>144242000000</v>
      </c>
      <c r="O93" s="10">
        <v>2987469000000</v>
      </c>
      <c r="P93" s="10">
        <v>2.80584869890165</v>
      </c>
      <c r="Q93" s="10">
        <v>0</v>
      </c>
      <c r="R93" s="10" t="s">
        <v>238</v>
      </c>
      <c r="S93" s="10">
        <v>0.29203052261960599</v>
      </c>
      <c r="T93" s="10">
        <v>4.9665443935395882E-2</v>
      </c>
      <c r="U93" s="10">
        <v>6.7302569949591745E-2</v>
      </c>
      <c r="V93" s="10">
        <v>0.26280557450132191</v>
      </c>
    </row>
    <row r="94" spans="1:22" x14ac:dyDescent="0.3">
      <c r="A94" s="10" t="s">
        <v>46</v>
      </c>
      <c r="B94" s="10">
        <v>2022</v>
      </c>
      <c r="C94" s="10">
        <v>361922000000</v>
      </c>
      <c r="D94" s="10">
        <v>76458000000</v>
      </c>
      <c r="E94" s="10">
        <v>3019974000000</v>
      </c>
      <c r="F94" s="10">
        <v>2600405000000</v>
      </c>
      <c r="G94" s="10">
        <v>2250454000000</v>
      </c>
      <c r="H94" s="10">
        <v>2066899000000</v>
      </c>
      <c r="I94" s="10">
        <v>769520000000</v>
      </c>
      <c r="J94" s="10">
        <v>71445000000</v>
      </c>
      <c r="K94" s="10">
        <v>533506000000</v>
      </c>
      <c r="L94" s="10"/>
      <c r="M94" s="10">
        <v>9619267000000</v>
      </c>
      <c r="N94" s="10">
        <v>223147000000</v>
      </c>
      <c r="O94" s="10">
        <v>1241395000000</v>
      </c>
      <c r="P94" s="10">
        <v>2.400387541680252</v>
      </c>
      <c r="Q94" s="10">
        <v>0</v>
      </c>
      <c r="R94" s="10" t="s">
        <v>239</v>
      </c>
      <c r="S94" s="10">
        <v>0.17665913680051551</v>
      </c>
      <c r="T94" s="10">
        <v>2.3657488441953471E-2</v>
      </c>
      <c r="U94" s="10">
        <v>0.1198427536131106</v>
      </c>
      <c r="V94" s="10">
        <v>0.34193989301714228</v>
      </c>
    </row>
    <row r="95" spans="1:22" x14ac:dyDescent="0.3">
      <c r="A95" s="10" t="s">
        <v>47</v>
      </c>
      <c r="B95" s="10">
        <v>2025</v>
      </c>
      <c r="C95" s="10">
        <v>274951132282</v>
      </c>
      <c r="D95" s="10">
        <v>8305889589</v>
      </c>
      <c r="E95" s="10">
        <v>2486504040595</v>
      </c>
      <c r="F95" s="10">
        <v>2207498269180</v>
      </c>
      <c r="G95" s="10">
        <v>473850200451</v>
      </c>
      <c r="H95" s="10">
        <v>430415311837</v>
      </c>
      <c r="I95" s="10">
        <v>2012653840144</v>
      </c>
      <c r="J95" s="10">
        <v>1741689297168</v>
      </c>
      <c r="K95" s="10">
        <v>1777082957343</v>
      </c>
      <c r="L95" s="10"/>
      <c r="M95" s="10">
        <v>9733304188977</v>
      </c>
      <c r="N95" s="10">
        <v>194596328640</v>
      </c>
      <c r="O95" s="10"/>
      <c r="P95" s="10">
        <v>12.174765257893551</v>
      </c>
      <c r="Q95" s="10">
        <v>0</v>
      </c>
      <c r="R95" s="10" t="s">
        <v>238</v>
      </c>
      <c r="S95" s="10">
        <v>0.71469136117621535</v>
      </c>
      <c r="T95" s="10">
        <v>0.70045705485812448</v>
      </c>
      <c r="U95" s="10">
        <v>0.1105773921108153</v>
      </c>
      <c r="V95" s="10">
        <v>4.2474474807194369</v>
      </c>
    </row>
    <row r="96" spans="1:22" x14ac:dyDescent="0.3">
      <c r="A96" s="10" t="s">
        <v>47</v>
      </c>
      <c r="B96" s="10">
        <v>2024</v>
      </c>
      <c r="C96" s="10">
        <v>413215493617</v>
      </c>
      <c r="D96" s="10">
        <v>466811907</v>
      </c>
      <c r="E96" s="10">
        <v>2385281736023</v>
      </c>
      <c r="F96" s="10">
        <v>2076912812377</v>
      </c>
      <c r="G96" s="10">
        <v>476490666860</v>
      </c>
      <c r="H96" s="10">
        <v>437745255246</v>
      </c>
      <c r="I96" s="10">
        <v>1908791069163</v>
      </c>
      <c r="J96" s="10">
        <v>1636842968528</v>
      </c>
      <c r="K96" s="10">
        <v>1639167557131</v>
      </c>
      <c r="L96" s="10"/>
      <c r="M96" s="10">
        <v>8002904770455</v>
      </c>
      <c r="N96" s="10">
        <v>324942516449</v>
      </c>
      <c r="O96" s="10"/>
      <c r="P96" s="10">
        <v>12.115510281977301</v>
      </c>
      <c r="Q96" s="10">
        <v>0</v>
      </c>
      <c r="R96" s="10" t="s">
        <v>238</v>
      </c>
      <c r="S96" s="10">
        <v>0.68720081673203004</v>
      </c>
      <c r="T96" s="10">
        <v>0.68622626158078992</v>
      </c>
      <c r="U96" s="10">
        <v>0.17323550814838229</v>
      </c>
      <c r="V96" s="10">
        <v>4.0059359016235074</v>
      </c>
    </row>
    <row r="97" spans="1:22" x14ac:dyDescent="0.3">
      <c r="A97" s="10" t="s">
        <v>47</v>
      </c>
      <c r="B97" s="10">
        <v>2023</v>
      </c>
      <c r="C97" s="10">
        <v>195870358541</v>
      </c>
      <c r="D97" s="10">
        <v>62737431</v>
      </c>
      <c r="E97" s="10">
        <v>1893560797758</v>
      </c>
      <c r="F97" s="10">
        <v>1581591507205</v>
      </c>
      <c r="G97" s="10">
        <v>251275135465</v>
      </c>
      <c r="H97" s="10">
        <v>217016302851</v>
      </c>
      <c r="I97" s="10">
        <v>1642285662293</v>
      </c>
      <c r="J97" s="10">
        <v>1371900452079</v>
      </c>
      <c r="K97" s="10">
        <v>1364575204354</v>
      </c>
      <c r="L97" s="10"/>
      <c r="M97" s="10">
        <v>6337428625946</v>
      </c>
      <c r="N97" s="10">
        <v>153574779624</v>
      </c>
      <c r="O97" s="10"/>
      <c r="P97" s="10">
        <v>14.64700893913294</v>
      </c>
      <c r="Q97" s="10">
        <v>0</v>
      </c>
      <c r="R97" s="10" t="s">
        <v>238</v>
      </c>
      <c r="S97" s="10">
        <v>0.72063976291105858</v>
      </c>
      <c r="T97" s="10">
        <v>0.72450826701912474</v>
      </c>
      <c r="U97" s="10">
        <v>0.1034402268851959</v>
      </c>
      <c r="V97" s="10">
        <v>6.5358064945576491</v>
      </c>
    </row>
    <row r="98" spans="1:22" x14ac:dyDescent="0.3">
      <c r="A98" s="10" t="s">
        <v>47</v>
      </c>
      <c r="B98" s="10">
        <v>2022</v>
      </c>
      <c r="C98" s="10">
        <v>283578695781</v>
      </c>
      <c r="D98" s="10">
        <v>429589798</v>
      </c>
      <c r="E98" s="10">
        <v>1718287453575</v>
      </c>
      <c r="F98" s="10">
        <v>1383998340429</v>
      </c>
      <c r="G98" s="10">
        <v>168244583827</v>
      </c>
      <c r="H98" s="10">
        <v>139037021213</v>
      </c>
      <c r="I98" s="10">
        <v>1550042869748</v>
      </c>
      <c r="J98" s="10">
        <v>1278325672455</v>
      </c>
      <c r="K98" s="10">
        <v>1244961319216</v>
      </c>
      <c r="L98" s="10"/>
      <c r="M98" s="10">
        <v>6143759424928</v>
      </c>
      <c r="N98" s="10">
        <v>220704543072</v>
      </c>
      <c r="O98" s="10"/>
      <c r="P98" s="10">
        <v>17.96096882768396</v>
      </c>
      <c r="Q98" s="10">
        <v>0</v>
      </c>
      <c r="R98" s="10" t="s">
        <v>238</v>
      </c>
      <c r="S98" s="10">
        <v>0.72453611683294517</v>
      </c>
      <c r="T98" s="10">
        <v>0.7439533296919365</v>
      </c>
      <c r="U98" s="10">
        <v>0.1650356552339351</v>
      </c>
      <c r="V98" s="10">
        <v>9.213032803135313</v>
      </c>
    </row>
    <row r="99" spans="1:22" x14ac:dyDescent="0.3">
      <c r="A99" s="10" t="s">
        <v>48</v>
      </c>
      <c r="B99" s="10">
        <v>2025</v>
      </c>
      <c r="C99" s="10">
        <v>24630351799</v>
      </c>
      <c r="D99" s="10">
        <v>2553994405</v>
      </c>
      <c r="E99" s="10">
        <v>399449291197</v>
      </c>
      <c r="F99" s="10">
        <v>246212226591</v>
      </c>
      <c r="G99" s="10">
        <v>119934781490</v>
      </c>
      <c r="H99" s="10">
        <v>90077002478</v>
      </c>
      <c r="I99" s="10">
        <v>264496418269</v>
      </c>
      <c r="J99" s="10">
        <v>21351694085</v>
      </c>
      <c r="K99" s="10">
        <v>156135224113</v>
      </c>
      <c r="L99" s="10"/>
      <c r="M99" s="10">
        <v>611897173968</v>
      </c>
      <c r="N99" s="10">
        <v>14214805092</v>
      </c>
      <c r="O99" s="10">
        <v>38889329711</v>
      </c>
      <c r="P99" s="10">
        <v>5.4683666912969979</v>
      </c>
      <c r="Q99" s="10">
        <v>0</v>
      </c>
      <c r="R99" s="10" t="s">
        <v>238</v>
      </c>
      <c r="S99" s="10">
        <v>0.39087620770366421</v>
      </c>
      <c r="T99" s="10">
        <v>5.3452827569219027E-2</v>
      </c>
      <c r="U99" s="10">
        <v>6.1660772322794863E-2</v>
      </c>
      <c r="V99" s="10">
        <v>2.2053353913105962</v>
      </c>
    </row>
    <row r="100" spans="1:22" x14ac:dyDescent="0.3">
      <c r="A100" s="10" t="s">
        <v>48</v>
      </c>
      <c r="B100" s="10">
        <v>2024</v>
      </c>
      <c r="C100" s="10">
        <v>19804707955</v>
      </c>
      <c r="D100" s="10">
        <v>5576878170</v>
      </c>
      <c r="E100" s="10">
        <v>361347930430</v>
      </c>
      <c r="F100" s="10">
        <v>239157586204</v>
      </c>
      <c r="G100" s="10">
        <v>97245089290</v>
      </c>
      <c r="H100" s="10">
        <v>64318425815</v>
      </c>
      <c r="I100" s="10">
        <v>253002290261</v>
      </c>
      <c r="J100" s="10">
        <v>12842940097</v>
      </c>
      <c r="K100" s="10">
        <v>174839160389</v>
      </c>
      <c r="L100" s="10"/>
      <c r="M100" s="10">
        <v>508498255069</v>
      </c>
      <c r="N100" s="10">
        <v>9412102208</v>
      </c>
      <c r="O100" s="10">
        <v>21371270715</v>
      </c>
      <c r="P100" s="10">
        <v>6.390030680289124</v>
      </c>
      <c r="Q100" s="10">
        <v>0</v>
      </c>
      <c r="R100" s="10" t="s">
        <v>238</v>
      </c>
      <c r="S100" s="10">
        <v>0.48385266848198999</v>
      </c>
      <c r="T100" s="10">
        <v>3.5541756339152263E-2</v>
      </c>
      <c r="U100" s="10">
        <v>5.4807863245356407E-2</v>
      </c>
      <c r="V100" s="10">
        <v>2.6016973413074651</v>
      </c>
    </row>
    <row r="101" spans="1:22" x14ac:dyDescent="0.3">
      <c r="A101" s="10" t="s">
        <v>48</v>
      </c>
      <c r="B101" s="10">
        <v>2023</v>
      </c>
      <c r="C101" s="10">
        <v>13583890910</v>
      </c>
      <c r="D101" s="10">
        <v>2398373420</v>
      </c>
      <c r="E101" s="10">
        <v>190740337219</v>
      </c>
      <c r="F101" s="10">
        <v>79288196039</v>
      </c>
      <c r="G101" s="10">
        <v>108549642846</v>
      </c>
      <c r="H101" s="10">
        <v>65711215198</v>
      </c>
      <c r="I101" s="10">
        <v>71436900335</v>
      </c>
      <c r="J101" s="10">
        <v>6645124139</v>
      </c>
      <c r="K101" s="10">
        <v>13576980841</v>
      </c>
      <c r="L101" s="10"/>
      <c r="M101" s="10">
        <v>377588881905</v>
      </c>
      <c r="N101" s="10">
        <v>8143343415</v>
      </c>
      <c r="O101" s="10">
        <v>35578485099</v>
      </c>
      <c r="P101" s="10">
        <v>1.750102151025215</v>
      </c>
      <c r="Q101" s="10">
        <v>0</v>
      </c>
      <c r="R101" s="10" t="s">
        <v>239</v>
      </c>
      <c r="S101" s="10">
        <v>7.1180438490110687E-2</v>
      </c>
      <c r="T101" s="10">
        <v>3.4838588606301707E-2</v>
      </c>
      <c r="U101" s="10">
        <v>7.1216666112965663E-2</v>
      </c>
      <c r="V101" s="10">
        <v>0.65810350418515828</v>
      </c>
    </row>
    <row r="102" spans="1:22" x14ac:dyDescent="0.3">
      <c r="A102" s="10" t="s">
        <v>48</v>
      </c>
      <c r="B102" s="10">
        <v>2022</v>
      </c>
      <c r="C102" s="10">
        <v>17828021557</v>
      </c>
      <c r="D102" s="10">
        <v>2575851297</v>
      </c>
      <c r="E102" s="10">
        <v>179775354436</v>
      </c>
      <c r="F102" s="10">
        <v>71158094351</v>
      </c>
      <c r="G102" s="10">
        <v>102275450942</v>
      </c>
      <c r="H102" s="10">
        <v>48945600088</v>
      </c>
      <c r="I102" s="10">
        <v>66863650201</v>
      </c>
      <c r="J102" s="10">
        <v>64501780724</v>
      </c>
      <c r="K102" s="10">
        <v>22212494263</v>
      </c>
      <c r="L102" s="10"/>
      <c r="M102" s="10">
        <v>423553944251</v>
      </c>
      <c r="N102" s="10">
        <v>11331090112</v>
      </c>
      <c r="O102" s="10">
        <v>42434595318</v>
      </c>
      <c r="P102" s="10">
        <v>3.333051972689935</v>
      </c>
      <c r="Q102" s="10">
        <v>0</v>
      </c>
      <c r="R102" s="10" t="s">
        <v>238</v>
      </c>
      <c r="S102" s="10">
        <v>0.1235569487969367</v>
      </c>
      <c r="T102" s="10">
        <v>0.35879100851369827</v>
      </c>
      <c r="U102" s="10">
        <v>9.9168329345982589E-2</v>
      </c>
      <c r="V102" s="10">
        <v>0.65376050249749673</v>
      </c>
    </row>
    <row r="103" spans="1:22" x14ac:dyDescent="0.3">
      <c r="A103" s="10" t="s">
        <v>49</v>
      </c>
      <c r="B103" s="10">
        <v>2025</v>
      </c>
      <c r="C103" s="10">
        <v>522773857643</v>
      </c>
      <c r="D103" s="10">
        <v>26689248524</v>
      </c>
      <c r="E103" s="10">
        <v>3018785594684</v>
      </c>
      <c r="F103" s="10">
        <v>508899817495</v>
      </c>
      <c r="G103" s="10">
        <v>706660921371</v>
      </c>
      <c r="H103" s="10">
        <v>326305467460</v>
      </c>
      <c r="I103" s="10">
        <v>2248986533367</v>
      </c>
      <c r="J103" s="10">
        <v>1698043467969</v>
      </c>
      <c r="K103" s="10">
        <v>182594350035</v>
      </c>
      <c r="L103" s="10"/>
      <c r="M103" s="10">
        <v>2825631197247</v>
      </c>
      <c r="N103" s="10">
        <v>381820570794</v>
      </c>
      <c r="O103" s="10">
        <v>426841963321</v>
      </c>
      <c r="P103" s="10">
        <v>6.7359210738399238</v>
      </c>
      <c r="Q103" s="10">
        <v>0</v>
      </c>
      <c r="R103" s="10" t="s">
        <v>238</v>
      </c>
      <c r="S103" s="10">
        <v>6.0486028009588931E-2</v>
      </c>
      <c r="T103" s="10">
        <v>0.56249223891859323</v>
      </c>
      <c r="U103" s="10">
        <v>0.1731735630922549</v>
      </c>
      <c r="V103" s="10">
        <v>3.182553987849956</v>
      </c>
    </row>
    <row r="104" spans="1:22" x14ac:dyDescent="0.3">
      <c r="A104" s="10" t="s">
        <v>49</v>
      </c>
      <c r="B104" s="10">
        <v>2024</v>
      </c>
      <c r="C104" s="10">
        <v>635171947615</v>
      </c>
      <c r="D104" s="10">
        <v>30332554777</v>
      </c>
      <c r="E104" s="10">
        <v>2663387006912</v>
      </c>
      <c r="F104" s="10">
        <v>457203260191</v>
      </c>
      <c r="G104" s="10">
        <v>733610559278</v>
      </c>
      <c r="H104" s="10">
        <v>379826463148</v>
      </c>
      <c r="I104" s="10">
        <v>1874412809808</v>
      </c>
      <c r="J104" s="10">
        <v>1377222897175</v>
      </c>
      <c r="K104" s="10">
        <v>77376797043</v>
      </c>
      <c r="L104" s="10"/>
      <c r="M104" s="10">
        <v>2696813747786</v>
      </c>
      <c r="N104" s="10">
        <v>465157220395</v>
      </c>
      <c r="O104" s="10">
        <v>452891282279</v>
      </c>
      <c r="P104" s="10">
        <v>6.1617179870879237</v>
      </c>
      <c r="Q104" s="10">
        <v>0</v>
      </c>
      <c r="R104" s="10" t="s">
        <v>238</v>
      </c>
      <c r="S104" s="10">
        <v>2.9052029180210149E-2</v>
      </c>
      <c r="T104" s="10">
        <v>0.51709454675600752</v>
      </c>
      <c r="U104" s="10">
        <v>0.2384827837511436</v>
      </c>
      <c r="V104" s="10">
        <v>2.5550515680318822</v>
      </c>
    </row>
    <row r="105" spans="1:22" x14ac:dyDescent="0.3">
      <c r="A105" s="10" t="s">
        <v>49</v>
      </c>
      <c r="B105" s="10">
        <v>2023</v>
      </c>
      <c r="C105" s="10">
        <v>433002389825</v>
      </c>
      <c r="D105" s="10">
        <v>20794275500</v>
      </c>
      <c r="E105" s="10">
        <v>2296227711688</v>
      </c>
      <c r="F105" s="10">
        <v>533003540931</v>
      </c>
      <c r="G105" s="10">
        <v>781642680910</v>
      </c>
      <c r="H105" s="10">
        <v>441890974677</v>
      </c>
      <c r="I105" s="10">
        <v>1468177503332</v>
      </c>
      <c r="J105" s="10">
        <v>972765098175</v>
      </c>
      <c r="K105" s="10">
        <v>91112566254</v>
      </c>
      <c r="L105" s="10"/>
      <c r="M105" s="10">
        <v>2090115884030</v>
      </c>
      <c r="N105" s="10">
        <v>305779257892</v>
      </c>
      <c r="O105" s="10">
        <v>524227502714</v>
      </c>
      <c r="P105" s="10">
        <v>4.8807873401005946</v>
      </c>
      <c r="Q105" s="10">
        <v>0</v>
      </c>
      <c r="R105" s="10" t="s">
        <v>238</v>
      </c>
      <c r="S105" s="10">
        <v>3.9679238165374053E-2</v>
      </c>
      <c r="T105" s="10">
        <v>0.42363616344474048</v>
      </c>
      <c r="U105" s="10">
        <v>0.18857118900750999</v>
      </c>
      <c r="V105" s="10">
        <v>1.878323099786114</v>
      </c>
    </row>
    <row r="106" spans="1:22" x14ac:dyDescent="0.3">
      <c r="A106" s="10" t="s">
        <v>49</v>
      </c>
      <c r="B106" s="10">
        <v>2022</v>
      </c>
      <c r="C106" s="10">
        <v>265815716753</v>
      </c>
      <c r="D106" s="10">
        <v>15324325106</v>
      </c>
      <c r="E106" s="10">
        <v>1790304606780</v>
      </c>
      <c r="F106" s="10">
        <v>293595993980</v>
      </c>
      <c r="G106" s="10">
        <v>581132890435</v>
      </c>
      <c r="H106" s="10">
        <v>246628098395</v>
      </c>
      <c r="I106" s="10">
        <v>1209171716345</v>
      </c>
      <c r="J106" s="10">
        <v>686666568960</v>
      </c>
      <c r="K106" s="10">
        <v>46967895585</v>
      </c>
      <c r="L106" s="10"/>
      <c r="M106" s="10">
        <v>1674053536287</v>
      </c>
      <c r="N106" s="10">
        <v>192467066577</v>
      </c>
      <c r="O106" s="10">
        <v>389129915857</v>
      </c>
      <c r="P106" s="10">
        <v>4.6049664743984131</v>
      </c>
      <c r="Q106" s="10">
        <v>0</v>
      </c>
      <c r="R106" s="10" t="s">
        <v>238</v>
      </c>
      <c r="S106" s="10">
        <v>2.6234583437438262E-2</v>
      </c>
      <c r="T106" s="10">
        <v>0.38354733957537118</v>
      </c>
      <c r="U106" s="10">
        <v>0.14847513420137479</v>
      </c>
      <c r="V106" s="10">
        <v>2.0807146459046382</v>
      </c>
    </row>
    <row r="107" spans="1:22" x14ac:dyDescent="0.3">
      <c r="A107" s="10" t="s">
        <v>50</v>
      </c>
      <c r="B107" s="10">
        <v>2025</v>
      </c>
      <c r="C107" s="10">
        <v>88332203345</v>
      </c>
      <c r="D107" s="10">
        <v>3389946938</v>
      </c>
      <c r="E107" s="10">
        <v>851024116343</v>
      </c>
      <c r="F107" s="10">
        <v>746563784185</v>
      </c>
      <c r="G107" s="10">
        <v>251098297508</v>
      </c>
      <c r="H107" s="10">
        <v>235594066444</v>
      </c>
      <c r="I107" s="10">
        <v>599820615529</v>
      </c>
      <c r="J107" s="10">
        <v>524152866384</v>
      </c>
      <c r="K107" s="10">
        <v>510969717741</v>
      </c>
      <c r="L107" s="10"/>
      <c r="M107" s="10">
        <v>979334277768</v>
      </c>
      <c r="N107" s="10">
        <v>68188518325</v>
      </c>
      <c r="O107" s="10">
        <v>51923674884</v>
      </c>
      <c r="P107" s="10">
        <v>9.1523307177300133</v>
      </c>
      <c r="Q107" s="10">
        <v>0</v>
      </c>
      <c r="R107" s="10" t="s">
        <v>238</v>
      </c>
      <c r="S107" s="10">
        <v>0.60041743580279083</v>
      </c>
      <c r="T107" s="10">
        <v>0.61590835831583346</v>
      </c>
      <c r="U107" s="10">
        <v>0.1037951823557938</v>
      </c>
      <c r="V107" s="10">
        <v>2.388788062212527</v>
      </c>
    </row>
    <row r="108" spans="1:22" x14ac:dyDescent="0.3">
      <c r="A108" s="10" t="s">
        <v>50</v>
      </c>
      <c r="B108" s="10">
        <v>2024</v>
      </c>
      <c r="C108" s="10">
        <v>74334574166</v>
      </c>
      <c r="D108" s="10">
        <v>4998102583</v>
      </c>
      <c r="E108" s="10">
        <v>801657692915</v>
      </c>
      <c r="F108" s="10">
        <v>692511533906</v>
      </c>
      <c r="G108" s="10">
        <v>228355237745</v>
      </c>
      <c r="H108" s="10">
        <v>214751775520</v>
      </c>
      <c r="I108" s="10">
        <v>573216264460</v>
      </c>
      <c r="J108" s="10">
        <v>500084264932</v>
      </c>
      <c r="K108" s="10">
        <v>477759758386</v>
      </c>
      <c r="L108" s="10"/>
      <c r="M108" s="10">
        <v>913901474488</v>
      </c>
      <c r="N108" s="10">
        <v>56118632101</v>
      </c>
      <c r="O108" s="10">
        <v>62230602536</v>
      </c>
      <c r="P108" s="10">
        <v>9.201982887962032</v>
      </c>
      <c r="Q108" s="10">
        <v>0</v>
      </c>
      <c r="R108" s="10" t="s">
        <v>238</v>
      </c>
      <c r="S108" s="10">
        <v>0.5959647897206134</v>
      </c>
      <c r="T108" s="10">
        <v>0.62381271875978128</v>
      </c>
      <c r="U108" s="10">
        <v>9.2726078503286707E-2</v>
      </c>
      <c r="V108" s="10">
        <v>2.5101953873293672</v>
      </c>
    </row>
    <row r="109" spans="1:22" x14ac:dyDescent="0.3">
      <c r="A109" s="10" t="s">
        <v>50</v>
      </c>
      <c r="B109" s="10">
        <v>2023</v>
      </c>
      <c r="C109" s="10">
        <v>69292770374</v>
      </c>
      <c r="D109" s="10">
        <v>4010851843</v>
      </c>
      <c r="E109" s="10">
        <v>776502261248</v>
      </c>
      <c r="F109" s="10">
        <v>657741165545</v>
      </c>
      <c r="G109" s="10">
        <v>220775281426</v>
      </c>
      <c r="H109" s="10">
        <v>207256474579</v>
      </c>
      <c r="I109" s="10">
        <v>555663540770</v>
      </c>
      <c r="J109" s="10">
        <v>485150799684</v>
      </c>
      <c r="K109" s="10">
        <v>450484690966</v>
      </c>
      <c r="L109" s="10"/>
      <c r="M109" s="10">
        <v>806306849977</v>
      </c>
      <c r="N109" s="10">
        <v>52688967755</v>
      </c>
      <c r="O109" s="10">
        <v>67565984623</v>
      </c>
      <c r="P109" s="10">
        <v>9.0849635946184382</v>
      </c>
      <c r="Q109" s="10">
        <v>0</v>
      </c>
      <c r="R109" s="10" t="s">
        <v>238</v>
      </c>
      <c r="S109" s="10">
        <v>0.580146013022522</v>
      </c>
      <c r="T109" s="10">
        <v>0.62478993802833516</v>
      </c>
      <c r="U109" s="10">
        <v>8.9237049049454356E-2</v>
      </c>
      <c r="V109" s="10">
        <v>2.516873887243797</v>
      </c>
    </row>
    <row r="110" spans="1:22" x14ac:dyDescent="0.3">
      <c r="A110" s="10" t="s">
        <v>50</v>
      </c>
      <c r="B110" s="10">
        <v>2022</v>
      </c>
      <c r="C110" s="10">
        <v>43055360663</v>
      </c>
      <c r="D110" s="10">
        <v>4479475676</v>
      </c>
      <c r="E110" s="10">
        <v>759845633795</v>
      </c>
      <c r="F110" s="10">
        <v>622171694238</v>
      </c>
      <c r="G110" s="10">
        <v>237697849075</v>
      </c>
      <c r="H110" s="10">
        <v>227592989065</v>
      </c>
      <c r="I110" s="10">
        <v>522103670705</v>
      </c>
      <c r="J110" s="10">
        <v>453471526993</v>
      </c>
      <c r="K110" s="10">
        <v>394578705173</v>
      </c>
      <c r="L110" s="10"/>
      <c r="M110" s="10">
        <v>830942437933</v>
      </c>
      <c r="N110" s="10">
        <v>35432155349</v>
      </c>
      <c r="O110" s="10">
        <v>94513063997</v>
      </c>
      <c r="P110" s="10">
        <v>8.039182402288267</v>
      </c>
      <c r="Q110" s="10">
        <v>0</v>
      </c>
      <c r="R110" s="10" t="s">
        <v>238</v>
      </c>
      <c r="S110" s="10">
        <v>0.51928798116836195</v>
      </c>
      <c r="T110" s="10">
        <v>0.59679427876444546</v>
      </c>
      <c r="U110" s="10">
        <v>5.6663299423019363E-2</v>
      </c>
      <c r="V110" s="10">
        <v>2.1965014523133628</v>
      </c>
    </row>
    <row r="111" spans="1:22" x14ac:dyDescent="0.3">
      <c r="A111" s="10" t="s">
        <v>52</v>
      </c>
      <c r="B111" s="10">
        <v>2025</v>
      </c>
      <c r="C111" s="10">
        <v>2560569000000</v>
      </c>
      <c r="D111" s="10">
        <v>77000000</v>
      </c>
      <c r="E111" s="10">
        <v>8741150000000</v>
      </c>
      <c r="F111" s="10">
        <v>4192417000000</v>
      </c>
      <c r="G111" s="10">
        <v>1956403000000</v>
      </c>
      <c r="H111" s="10">
        <v>1882266000000</v>
      </c>
      <c r="I111" s="10">
        <v>6784564000000</v>
      </c>
      <c r="J111" s="10">
        <v>2961830000000</v>
      </c>
      <c r="K111" s="10">
        <v>2310151000000</v>
      </c>
      <c r="L111" s="10"/>
      <c r="M111" s="10">
        <v>10724003000000</v>
      </c>
      <c r="N111" s="10">
        <v>2032840000000</v>
      </c>
      <c r="O111" s="10">
        <v>427000000</v>
      </c>
      <c r="P111" s="10">
        <v>8.4480955247986245</v>
      </c>
      <c r="Q111" s="10">
        <v>0</v>
      </c>
      <c r="R111" s="10" t="s">
        <v>238</v>
      </c>
      <c r="S111" s="10">
        <v>0.26428456209995249</v>
      </c>
      <c r="T111" s="10">
        <v>0.33883756713933522</v>
      </c>
      <c r="U111" s="10">
        <v>0.29293273768325678</v>
      </c>
      <c r="V111" s="10">
        <v>3.467876506016399</v>
      </c>
    </row>
    <row r="112" spans="1:22" x14ac:dyDescent="0.3">
      <c r="A112" s="10" t="s">
        <v>52</v>
      </c>
      <c r="B112" s="10">
        <v>2024</v>
      </c>
      <c r="C112" s="10">
        <v>1904899000000</v>
      </c>
      <c r="D112" s="10">
        <v>107000000</v>
      </c>
      <c r="E112" s="10">
        <v>8191571000000</v>
      </c>
      <c r="F112" s="10">
        <v>4394679000000</v>
      </c>
      <c r="G112" s="10">
        <v>1439423000000</v>
      </c>
      <c r="H112" s="10">
        <v>1390297000000</v>
      </c>
      <c r="I112" s="10">
        <v>6751974000000</v>
      </c>
      <c r="J112" s="10">
        <v>2929240000000</v>
      </c>
      <c r="K112" s="10">
        <v>3004382000000</v>
      </c>
      <c r="L112" s="10"/>
      <c r="M112" s="10">
        <v>9025658000000</v>
      </c>
      <c r="N112" s="10">
        <v>1519337000000</v>
      </c>
      <c r="O112" s="10">
        <v>1273000000</v>
      </c>
      <c r="P112" s="10">
        <v>10.05971079470924</v>
      </c>
      <c r="Q112" s="10">
        <v>0</v>
      </c>
      <c r="R112" s="10" t="s">
        <v>238</v>
      </c>
      <c r="S112" s="10">
        <v>0.36676505642202212</v>
      </c>
      <c r="T112" s="10">
        <v>0.35759196862238019</v>
      </c>
      <c r="U112" s="10">
        <v>0.23254379410249881</v>
      </c>
      <c r="V112" s="10">
        <v>4.690750390955265</v>
      </c>
    </row>
    <row r="113" spans="1:22" x14ac:dyDescent="0.3">
      <c r="A113" s="10" t="s">
        <v>52</v>
      </c>
      <c r="B113" s="10">
        <v>2023</v>
      </c>
      <c r="C113" s="10">
        <v>1567192000000</v>
      </c>
      <c r="D113" s="10">
        <v>6034000000</v>
      </c>
      <c r="E113" s="10">
        <v>7046857000000</v>
      </c>
      <c r="F113" s="10">
        <v>4539143000000</v>
      </c>
      <c r="G113" s="10">
        <v>1105529000000</v>
      </c>
      <c r="H113" s="10">
        <v>1060722000000</v>
      </c>
      <c r="I113" s="10">
        <v>5941203000000</v>
      </c>
      <c r="J113" s="10">
        <v>2118469000000</v>
      </c>
      <c r="K113" s="10">
        <v>3478421000000</v>
      </c>
      <c r="L113" s="10"/>
      <c r="M113" s="10">
        <v>7772910000000</v>
      </c>
      <c r="N113" s="10">
        <v>1241715000000</v>
      </c>
      <c r="O113" s="10">
        <v>0</v>
      </c>
      <c r="P113" s="10">
        <v>11.355428998488049</v>
      </c>
      <c r="Q113" s="10">
        <v>0</v>
      </c>
      <c r="R113" s="10" t="s">
        <v>238</v>
      </c>
      <c r="S113" s="10">
        <v>0.49361311007162478</v>
      </c>
      <c r="T113" s="10">
        <v>0.3006260805349108</v>
      </c>
      <c r="U113" s="10">
        <v>0.22239588514425651</v>
      </c>
      <c r="V113" s="10">
        <v>5.374081548290456</v>
      </c>
    </row>
    <row r="114" spans="1:22" x14ac:dyDescent="0.3">
      <c r="A114" s="10" t="s">
        <v>52</v>
      </c>
      <c r="B114" s="10">
        <v>2022</v>
      </c>
      <c r="C114" s="10">
        <v>1348453000000</v>
      </c>
      <c r="D114" s="10">
        <v>5743000000</v>
      </c>
      <c r="E114" s="10">
        <v>6223251000000</v>
      </c>
      <c r="F114" s="10">
        <v>4025215000000</v>
      </c>
      <c r="G114" s="10">
        <v>964919000000</v>
      </c>
      <c r="H114" s="10">
        <v>915865000000</v>
      </c>
      <c r="I114" s="10">
        <v>5258240000000</v>
      </c>
      <c r="J114" s="10">
        <v>1435506000000</v>
      </c>
      <c r="K114" s="10">
        <v>3109350000000</v>
      </c>
      <c r="L114" s="10"/>
      <c r="M114" s="10">
        <v>6378348000000</v>
      </c>
      <c r="N114" s="10">
        <v>1060533000000</v>
      </c>
      <c r="O114" s="10">
        <v>34553000000</v>
      </c>
      <c r="P114" s="10">
        <v>11.207549455655521</v>
      </c>
      <c r="Q114" s="10">
        <v>0</v>
      </c>
      <c r="R114" s="10" t="s">
        <v>238</v>
      </c>
      <c r="S114" s="10">
        <v>0.49963435509832399</v>
      </c>
      <c r="T114" s="10">
        <v>0.2306681829159711</v>
      </c>
      <c r="U114" s="10">
        <v>0.21667983502513399</v>
      </c>
      <c r="V114" s="10">
        <v>5.4494107795576623</v>
      </c>
    </row>
    <row r="115" spans="1:22" x14ac:dyDescent="0.3">
      <c r="A115" s="10" t="s">
        <v>53</v>
      </c>
      <c r="B115" s="10">
        <v>2025</v>
      </c>
      <c r="C115" s="10">
        <v>8211512000000</v>
      </c>
      <c r="D115" s="10">
        <v>498649000000</v>
      </c>
      <c r="E115" s="10">
        <v>45857963000000</v>
      </c>
      <c r="F115" s="10">
        <v>24630760000000</v>
      </c>
      <c r="G115" s="10">
        <v>11706869000000</v>
      </c>
      <c r="H115" s="10">
        <v>7641052000000</v>
      </c>
      <c r="I115" s="10">
        <v>34136370000000</v>
      </c>
      <c r="J115" s="10">
        <v>33964499000000</v>
      </c>
      <c r="K115" s="10">
        <v>16989708000000</v>
      </c>
      <c r="L115" s="10"/>
      <c r="M115" s="10">
        <v>70704988000000</v>
      </c>
      <c r="N115" s="10">
        <v>5643863000000</v>
      </c>
      <c r="O115" s="10">
        <v>6662141000000</v>
      </c>
      <c r="P115" s="10">
        <v>9.1099224302562138</v>
      </c>
      <c r="Q115" s="10">
        <v>0</v>
      </c>
      <c r="R115" s="10" t="s">
        <v>238</v>
      </c>
      <c r="S115" s="10">
        <v>0.37048544873220818</v>
      </c>
      <c r="T115" s="10">
        <v>0.74064561044719757</v>
      </c>
      <c r="U115" s="10">
        <v>0.1790640373624969</v>
      </c>
      <c r="V115" s="10">
        <v>2.915926538513415</v>
      </c>
    </row>
    <row r="116" spans="1:22" x14ac:dyDescent="0.3">
      <c r="A116" s="10" t="s">
        <v>53</v>
      </c>
      <c r="B116" s="10">
        <v>2024</v>
      </c>
      <c r="C116" s="10">
        <v>5931997000000</v>
      </c>
      <c r="D116" s="10">
        <v>675643000000</v>
      </c>
      <c r="E116" s="10">
        <v>42791000000000</v>
      </c>
      <c r="F116" s="10">
        <v>21339691000000</v>
      </c>
      <c r="G116" s="10">
        <v>12502078000000</v>
      </c>
      <c r="H116" s="10">
        <v>8589572000000</v>
      </c>
      <c r="I116" s="10">
        <v>30273959000000</v>
      </c>
      <c r="J116" s="10">
        <v>30102088000000</v>
      </c>
      <c r="K116" s="10">
        <v>12750119000000</v>
      </c>
      <c r="L116" s="10"/>
      <c r="M116" s="10">
        <v>67477992000000</v>
      </c>
      <c r="N116" s="10">
        <v>3712926000000</v>
      </c>
      <c r="O116" s="10">
        <v>8533263000000</v>
      </c>
      <c r="P116" s="10">
        <v>7.7221044317235883</v>
      </c>
      <c r="Q116" s="10">
        <v>0</v>
      </c>
      <c r="R116" s="10" t="s">
        <v>238</v>
      </c>
      <c r="S116" s="10">
        <v>0.29796263232922809</v>
      </c>
      <c r="T116" s="10">
        <v>0.70346773854315159</v>
      </c>
      <c r="U116" s="10">
        <v>0.13862721132948519</v>
      </c>
      <c r="V116" s="10">
        <v>2.4215141674847969</v>
      </c>
    </row>
    <row r="117" spans="1:22" x14ac:dyDescent="0.3">
      <c r="A117" s="10" t="s">
        <v>53</v>
      </c>
      <c r="B117" s="10">
        <v>2023</v>
      </c>
      <c r="C117" s="10">
        <v>3639399000000</v>
      </c>
      <c r="D117" s="10">
        <v>642514000000</v>
      </c>
      <c r="E117" s="10">
        <v>40970800000000</v>
      </c>
      <c r="F117" s="10">
        <v>18324808000000</v>
      </c>
      <c r="G117" s="10">
        <v>13942042000000</v>
      </c>
      <c r="H117" s="10">
        <v>11123822000000</v>
      </c>
      <c r="I117" s="10">
        <v>27012497000000</v>
      </c>
      <c r="J117" s="10">
        <v>26840626000000</v>
      </c>
      <c r="K117" s="10">
        <v>7200986000000</v>
      </c>
      <c r="L117" s="10"/>
      <c r="M117" s="10">
        <v>61615850000000</v>
      </c>
      <c r="N117" s="10">
        <v>2318584000000</v>
      </c>
      <c r="O117" s="10">
        <v>9577020000000</v>
      </c>
      <c r="P117" s="10">
        <v>5.9199477531772846</v>
      </c>
      <c r="Q117" s="10">
        <v>0</v>
      </c>
      <c r="R117" s="10" t="s">
        <v>238</v>
      </c>
      <c r="S117" s="10">
        <v>0.17575897956593481</v>
      </c>
      <c r="T117" s="10">
        <v>0.65511598504300628</v>
      </c>
      <c r="U117" s="10">
        <v>8.8829092914954069E-2</v>
      </c>
      <c r="V117" s="10">
        <v>1.9374849824724381</v>
      </c>
    </row>
    <row r="118" spans="1:22" x14ac:dyDescent="0.3">
      <c r="A118" s="10" t="s">
        <v>53</v>
      </c>
      <c r="B118" s="10">
        <v>2022</v>
      </c>
      <c r="C118" s="10">
        <v>3904151000000</v>
      </c>
      <c r="D118" s="10">
        <v>366971000000</v>
      </c>
      <c r="E118" s="10">
        <v>39847545000000</v>
      </c>
      <c r="F118" s="10">
        <v>17764298000000</v>
      </c>
      <c r="G118" s="10">
        <v>13520331000000</v>
      </c>
      <c r="H118" s="10">
        <v>10109335000000</v>
      </c>
      <c r="I118" s="10">
        <v>26310473000000</v>
      </c>
      <c r="J118" s="10">
        <v>26138602000000</v>
      </c>
      <c r="K118" s="10">
        <v>7654963000000</v>
      </c>
      <c r="L118" s="10"/>
      <c r="M118" s="10">
        <v>56867544000000</v>
      </c>
      <c r="N118" s="10">
        <v>2928342000000</v>
      </c>
      <c r="O118" s="10">
        <v>9343250000000</v>
      </c>
      <c r="P118" s="10">
        <v>6.1003633026981809</v>
      </c>
      <c r="Q118" s="10">
        <v>0</v>
      </c>
      <c r="R118" s="10" t="s">
        <v>238</v>
      </c>
      <c r="S118" s="10">
        <v>0.19210626401199871</v>
      </c>
      <c r="T118" s="10">
        <v>0.65596517928519815</v>
      </c>
      <c r="U118" s="10">
        <v>9.7977202861556464E-2</v>
      </c>
      <c r="V118" s="10">
        <v>1.9459932600762511</v>
      </c>
    </row>
    <row r="119" spans="1:22" x14ac:dyDescent="0.3">
      <c r="A119" s="10" t="s">
        <v>55</v>
      </c>
      <c r="B119" s="10">
        <v>2025</v>
      </c>
      <c r="C119" s="10">
        <v>415661283057</v>
      </c>
      <c r="D119" s="10"/>
      <c r="E119" s="10">
        <v>2521825089427</v>
      </c>
      <c r="F119" s="10">
        <v>556673833848</v>
      </c>
      <c r="G119" s="10">
        <v>1054996879375</v>
      </c>
      <c r="H119" s="10">
        <v>387906056993</v>
      </c>
      <c r="I119" s="10">
        <v>1466813210052</v>
      </c>
      <c r="J119" s="10">
        <v>1592079396660</v>
      </c>
      <c r="K119" s="10">
        <v>168767776855</v>
      </c>
      <c r="L119" s="10"/>
      <c r="M119" s="10">
        <v>1889269586412</v>
      </c>
      <c r="N119" s="10">
        <v>268779612356</v>
      </c>
      <c r="O119" s="10">
        <v>765108913392</v>
      </c>
      <c r="P119" s="10">
        <v>5.0646119526425899</v>
      </c>
      <c r="Q119" s="10">
        <v>0</v>
      </c>
      <c r="R119" s="10" t="s">
        <v>238</v>
      </c>
      <c r="S119" s="10">
        <v>6.6922871678363235E-2</v>
      </c>
      <c r="T119" s="10">
        <v>0.63132030977681586</v>
      </c>
      <c r="U119" s="10">
        <v>0.16482558001334069</v>
      </c>
      <c r="V119" s="10">
        <v>1.390348387495675</v>
      </c>
    </row>
    <row r="120" spans="1:22" x14ac:dyDescent="0.3">
      <c r="A120" s="10" t="s">
        <v>55</v>
      </c>
      <c r="B120" s="10">
        <v>2024</v>
      </c>
      <c r="C120" s="10">
        <v>340935513391</v>
      </c>
      <c r="D120" s="10">
        <v>59356680417</v>
      </c>
      <c r="E120" s="10">
        <v>2251264513082</v>
      </c>
      <c r="F120" s="10">
        <v>463275666746</v>
      </c>
      <c r="G120" s="10">
        <v>952719259734</v>
      </c>
      <c r="H120" s="10">
        <v>250757108570</v>
      </c>
      <c r="I120" s="10">
        <v>1298530253348</v>
      </c>
      <c r="J120" s="10">
        <v>1346548420335</v>
      </c>
      <c r="K120" s="10">
        <v>212518558176</v>
      </c>
      <c r="L120" s="10"/>
      <c r="M120" s="10">
        <v>1066759270113</v>
      </c>
      <c r="N120" s="10">
        <v>214854888133</v>
      </c>
      <c r="O120" s="10">
        <v>693576923459</v>
      </c>
      <c r="P120" s="10">
        <v>5.0179748458046571</v>
      </c>
      <c r="Q120" s="10">
        <v>0</v>
      </c>
      <c r="R120" s="10" t="s">
        <v>238</v>
      </c>
      <c r="S120" s="10">
        <v>9.4399639376476607E-2</v>
      </c>
      <c r="T120" s="10">
        <v>0.59812981216123906</v>
      </c>
      <c r="U120" s="10">
        <v>0.1514417836775015</v>
      </c>
      <c r="V120" s="10">
        <v>1.3629726071776389</v>
      </c>
    </row>
    <row r="121" spans="1:22" x14ac:dyDescent="0.3">
      <c r="A121" s="10" t="s">
        <v>55</v>
      </c>
      <c r="B121" s="10">
        <v>2023</v>
      </c>
      <c r="C121" s="10">
        <v>244202418138</v>
      </c>
      <c r="D121" s="10">
        <v>45627881308</v>
      </c>
      <c r="E121" s="10">
        <v>1842857630843</v>
      </c>
      <c r="F121" s="10">
        <v>323758316136</v>
      </c>
      <c r="G121" s="10">
        <v>727686075761</v>
      </c>
      <c r="H121" s="10">
        <v>187487043502</v>
      </c>
      <c r="I121" s="10">
        <v>1115156555082</v>
      </c>
      <c r="J121" s="10">
        <v>1164674722069</v>
      </c>
      <c r="K121" s="10">
        <v>136271272634</v>
      </c>
      <c r="L121" s="10"/>
      <c r="M121" s="10">
        <v>875512425564</v>
      </c>
      <c r="N121" s="10">
        <v>146138989067</v>
      </c>
      <c r="O121" s="10">
        <v>509346154937</v>
      </c>
      <c r="P121" s="10">
        <v>5.0449628200902756</v>
      </c>
      <c r="Q121" s="10">
        <v>0</v>
      </c>
      <c r="R121" s="10" t="s">
        <v>238</v>
      </c>
      <c r="S121" s="10">
        <v>7.394563223620472E-2</v>
      </c>
      <c r="T121" s="10">
        <v>0.63199386788019496</v>
      </c>
      <c r="U121" s="10">
        <v>0.13251290498566171</v>
      </c>
      <c r="V121" s="10">
        <v>1.532469277931134</v>
      </c>
    </row>
    <row r="122" spans="1:22" x14ac:dyDescent="0.3">
      <c r="A122" s="10" t="s">
        <v>55</v>
      </c>
      <c r="B122" s="10">
        <v>2022</v>
      </c>
      <c r="C122" s="10">
        <v>380278240880</v>
      </c>
      <c r="D122" s="10">
        <v>50138090195</v>
      </c>
      <c r="E122" s="10">
        <v>1835253997038</v>
      </c>
      <c r="F122" s="10">
        <v>502527670417</v>
      </c>
      <c r="G122" s="10">
        <v>872142115999</v>
      </c>
      <c r="H122" s="10">
        <v>251246911231</v>
      </c>
      <c r="I122" s="10">
        <v>963096881039</v>
      </c>
      <c r="J122" s="10">
        <v>1015115048026</v>
      </c>
      <c r="K122" s="10">
        <v>251280759186</v>
      </c>
      <c r="L122" s="10"/>
      <c r="M122" s="10">
        <v>970572083452</v>
      </c>
      <c r="N122" s="10">
        <v>252406668731</v>
      </c>
      <c r="O122" s="10">
        <v>644696424985</v>
      </c>
      <c r="P122" s="10">
        <v>5.2532945470602037</v>
      </c>
      <c r="Q122" s="10">
        <v>0</v>
      </c>
      <c r="R122" s="10" t="s">
        <v>238</v>
      </c>
      <c r="S122" s="10">
        <v>0.13691879139974819</v>
      </c>
      <c r="T122" s="10">
        <v>0.55311964974022143</v>
      </c>
      <c r="U122" s="10">
        <v>0.20720741733501111</v>
      </c>
      <c r="V122" s="10">
        <v>1.104288926508056</v>
      </c>
    </row>
    <row r="123" spans="1:22" x14ac:dyDescent="0.3">
      <c r="A123" s="10" t="s">
        <v>57</v>
      </c>
      <c r="B123" s="10">
        <v>2025</v>
      </c>
      <c r="C123" s="10">
        <v>378135000000</v>
      </c>
      <c r="D123" s="10">
        <v>82309000000</v>
      </c>
      <c r="E123" s="10">
        <v>4040985000000</v>
      </c>
      <c r="F123" s="10">
        <v>3180012000000</v>
      </c>
      <c r="G123" s="10">
        <v>2949879000000</v>
      </c>
      <c r="H123" s="10">
        <v>2791405000000</v>
      </c>
      <c r="I123" s="10">
        <v>1064936000000</v>
      </c>
      <c r="J123" s="10">
        <v>198617000000</v>
      </c>
      <c r="K123" s="10">
        <v>388607000000</v>
      </c>
      <c r="L123" s="10"/>
      <c r="M123" s="10">
        <v>4147334000000</v>
      </c>
      <c r="N123" s="10">
        <v>218849000000</v>
      </c>
      <c r="O123" s="10">
        <v>1119208000000</v>
      </c>
      <c r="P123" s="10">
        <v>1.7989669837128659</v>
      </c>
      <c r="Q123" s="10">
        <v>0</v>
      </c>
      <c r="R123" s="10" t="s">
        <v>239</v>
      </c>
      <c r="S123" s="10">
        <v>9.6166404973044933E-2</v>
      </c>
      <c r="T123" s="10">
        <v>4.915064025231472E-2</v>
      </c>
      <c r="U123" s="10">
        <v>9.3574957590785421E-2</v>
      </c>
      <c r="V123" s="10">
        <v>0.36101006176863532</v>
      </c>
    </row>
    <row r="124" spans="1:22" x14ac:dyDescent="0.3">
      <c r="A124" s="10" t="s">
        <v>57</v>
      </c>
      <c r="B124" s="10">
        <v>2024</v>
      </c>
      <c r="C124" s="10">
        <v>281494000000</v>
      </c>
      <c r="D124" s="10">
        <v>69114000000</v>
      </c>
      <c r="E124" s="10">
        <v>2910383000000</v>
      </c>
      <c r="F124" s="10">
        <v>2077520000000</v>
      </c>
      <c r="G124" s="10">
        <v>2128786000000</v>
      </c>
      <c r="H124" s="10">
        <v>2025947000000</v>
      </c>
      <c r="I124" s="10">
        <v>758462000000</v>
      </c>
      <c r="J124" s="10">
        <v>87010000000</v>
      </c>
      <c r="K124" s="10">
        <v>51573000000</v>
      </c>
      <c r="L124" s="10"/>
      <c r="M124" s="10">
        <v>3373117000000</v>
      </c>
      <c r="N124" s="10">
        <v>178686000000</v>
      </c>
      <c r="O124" s="10">
        <v>996937000000</v>
      </c>
      <c r="P124" s="10">
        <v>1.237773171140454</v>
      </c>
      <c r="Q124" s="10">
        <v>0</v>
      </c>
      <c r="R124" s="10" t="s">
        <v>239</v>
      </c>
      <c r="S124" s="10">
        <v>1.7720348146618499E-2</v>
      </c>
      <c r="T124" s="10">
        <v>2.989640882316863E-2</v>
      </c>
      <c r="U124" s="10">
        <v>9.6720603439478581E-2</v>
      </c>
      <c r="V124" s="10">
        <v>0.35628851373505838</v>
      </c>
    </row>
    <row r="125" spans="1:22" x14ac:dyDescent="0.3">
      <c r="A125" s="10" t="s">
        <v>57</v>
      </c>
      <c r="B125" s="10">
        <v>2023</v>
      </c>
      <c r="C125" s="10">
        <v>115279000000</v>
      </c>
      <c r="D125" s="10">
        <v>53038000000</v>
      </c>
      <c r="E125" s="10">
        <v>2420157000000</v>
      </c>
      <c r="F125" s="10">
        <v>1766263000000</v>
      </c>
      <c r="G125" s="10">
        <v>1698698000000</v>
      </c>
      <c r="H125" s="10">
        <v>1540428000000</v>
      </c>
      <c r="I125" s="10">
        <v>626484000000</v>
      </c>
      <c r="J125" s="10">
        <v>236064000000</v>
      </c>
      <c r="K125" s="10">
        <v>225835000000</v>
      </c>
      <c r="L125" s="10"/>
      <c r="M125" s="10">
        <v>3039796000000</v>
      </c>
      <c r="N125" s="10">
        <v>15236000000</v>
      </c>
      <c r="O125" s="10">
        <v>821685000000</v>
      </c>
      <c r="P125" s="10">
        <v>1.6374594566198639</v>
      </c>
      <c r="Q125" s="10">
        <v>0</v>
      </c>
      <c r="R125" s="10" t="s">
        <v>239</v>
      </c>
      <c r="S125" s="10">
        <v>9.3314194079144458E-2</v>
      </c>
      <c r="T125" s="10">
        <v>9.7540779379189035E-2</v>
      </c>
      <c r="U125" s="10">
        <v>4.7632860182211322E-2</v>
      </c>
      <c r="V125" s="10">
        <v>0.36880245929529559</v>
      </c>
    </row>
    <row r="126" spans="1:22" x14ac:dyDescent="0.3">
      <c r="A126" s="10" t="s">
        <v>57</v>
      </c>
      <c r="B126" s="10">
        <v>2022</v>
      </c>
      <c r="C126" s="10">
        <v>190679000000</v>
      </c>
      <c r="D126" s="10">
        <v>22492000000</v>
      </c>
      <c r="E126" s="10">
        <v>2190763000000</v>
      </c>
      <c r="F126" s="10">
        <v>1861065000000</v>
      </c>
      <c r="G126" s="10">
        <v>1653497000000</v>
      </c>
      <c r="H126" s="10">
        <v>1531002000000</v>
      </c>
      <c r="I126" s="10">
        <v>521826000000</v>
      </c>
      <c r="J126" s="10">
        <v>223406000000</v>
      </c>
      <c r="K126" s="10">
        <v>330063000000</v>
      </c>
      <c r="L126" s="10"/>
      <c r="M126" s="10">
        <v>1687154000000</v>
      </c>
      <c r="N126" s="10">
        <v>142301000000</v>
      </c>
      <c r="O126" s="10">
        <v>780806000000</v>
      </c>
      <c r="P126" s="10">
        <v>2.2370426213500032</v>
      </c>
      <c r="Q126" s="10">
        <v>0</v>
      </c>
      <c r="R126" s="10" t="s">
        <v>239</v>
      </c>
      <c r="S126" s="10">
        <v>0.15066120799009289</v>
      </c>
      <c r="T126" s="10">
        <v>0.10197634340181939</v>
      </c>
      <c r="U126" s="10">
        <v>8.7037712431696168E-2</v>
      </c>
      <c r="V126" s="10">
        <v>0.31558932371815612</v>
      </c>
    </row>
    <row r="127" spans="1:22" x14ac:dyDescent="0.3">
      <c r="A127" s="10" t="s">
        <v>58</v>
      </c>
      <c r="B127" s="10">
        <v>2025</v>
      </c>
      <c r="C127" s="10">
        <v>189584178000</v>
      </c>
      <c r="D127" s="10">
        <v>505450000</v>
      </c>
      <c r="E127" s="10">
        <v>1126488432000</v>
      </c>
      <c r="F127" s="10">
        <v>881840377000</v>
      </c>
      <c r="G127" s="10">
        <v>370031657000</v>
      </c>
      <c r="H127" s="10">
        <v>307808126000</v>
      </c>
      <c r="I127" s="10">
        <v>755522639000</v>
      </c>
      <c r="J127" s="10">
        <v>720475802000</v>
      </c>
      <c r="K127" s="10">
        <v>574032251000</v>
      </c>
      <c r="L127" s="10"/>
      <c r="M127" s="10">
        <v>674527814000</v>
      </c>
      <c r="N127" s="10">
        <v>149915527000</v>
      </c>
      <c r="O127" s="10">
        <v>6627924000</v>
      </c>
      <c r="P127" s="10">
        <v>8.7026637794449009</v>
      </c>
      <c r="Q127" s="10">
        <v>0</v>
      </c>
      <c r="R127" s="10" t="s">
        <v>238</v>
      </c>
      <c r="S127" s="10">
        <v>0.50957669399307248</v>
      </c>
      <c r="T127" s="10">
        <v>0.63957674267533005</v>
      </c>
      <c r="U127" s="10">
        <v>0.16829660439868591</v>
      </c>
      <c r="V127" s="10">
        <v>2.0417783849234281</v>
      </c>
    </row>
    <row r="128" spans="1:22" x14ac:dyDescent="0.3">
      <c r="A128" s="10" t="s">
        <v>58</v>
      </c>
      <c r="B128" s="10">
        <v>2024</v>
      </c>
      <c r="C128" s="10">
        <v>182198020000</v>
      </c>
      <c r="D128" s="10">
        <v>352141000</v>
      </c>
      <c r="E128" s="10">
        <v>1086503322000</v>
      </c>
      <c r="F128" s="10">
        <v>828753808000</v>
      </c>
      <c r="G128" s="10">
        <v>335427997000</v>
      </c>
      <c r="H128" s="10">
        <v>274076501000</v>
      </c>
      <c r="I128" s="10">
        <v>747199168000</v>
      </c>
      <c r="J128" s="10">
        <v>712153331000</v>
      </c>
      <c r="K128" s="10">
        <v>554677307000</v>
      </c>
      <c r="L128" s="10"/>
      <c r="M128" s="10">
        <v>646763576000</v>
      </c>
      <c r="N128" s="10">
        <v>136342066000</v>
      </c>
      <c r="O128" s="10">
        <v>7846412000</v>
      </c>
      <c r="P128" s="10">
        <v>8.9516361530352313</v>
      </c>
      <c r="Q128" s="10">
        <v>0</v>
      </c>
      <c r="R128" s="10" t="s">
        <v>238</v>
      </c>
      <c r="S128" s="10">
        <v>0.51051597889177924</v>
      </c>
      <c r="T128" s="10">
        <v>0.65545435212208214</v>
      </c>
      <c r="U128" s="10">
        <v>0.1676920965732675</v>
      </c>
      <c r="V128" s="10">
        <v>2.227599290109346</v>
      </c>
    </row>
    <row r="129" spans="1:22" x14ac:dyDescent="0.3">
      <c r="A129" s="10" t="s">
        <v>58</v>
      </c>
      <c r="B129" s="10">
        <v>2023</v>
      </c>
      <c r="C129" s="10">
        <v>251130452000</v>
      </c>
      <c r="D129" s="10">
        <v>0</v>
      </c>
      <c r="E129" s="10">
        <v>1173666197000</v>
      </c>
      <c r="F129" s="10">
        <v>911415741000</v>
      </c>
      <c r="G129" s="10">
        <v>332148029000</v>
      </c>
      <c r="H129" s="10">
        <v>275248447000</v>
      </c>
      <c r="I129" s="10">
        <v>837734641000</v>
      </c>
      <c r="J129" s="10">
        <v>802689804000</v>
      </c>
      <c r="K129" s="10">
        <v>636167294000</v>
      </c>
      <c r="L129" s="10"/>
      <c r="M129" s="10">
        <v>736838613000</v>
      </c>
      <c r="N129" s="10">
        <v>199094088000</v>
      </c>
      <c r="O129" s="10">
        <v>0</v>
      </c>
      <c r="P129" s="10">
        <v>9.8714787678789566</v>
      </c>
      <c r="Q129" s="10">
        <v>0</v>
      </c>
      <c r="R129" s="10" t="s">
        <v>238</v>
      </c>
      <c r="S129" s="10">
        <v>0.54203426461978954</v>
      </c>
      <c r="T129" s="10">
        <v>0.68391660767921048</v>
      </c>
      <c r="U129" s="10">
        <v>0.2139709336793654</v>
      </c>
      <c r="V129" s="10">
        <v>2.522172549155786</v>
      </c>
    </row>
    <row r="130" spans="1:22" x14ac:dyDescent="0.3">
      <c r="A130" s="10" t="s">
        <v>58</v>
      </c>
      <c r="B130" s="10">
        <v>2022</v>
      </c>
      <c r="C130" s="10">
        <v>269772032000</v>
      </c>
      <c r="D130" s="10"/>
      <c r="E130" s="10">
        <v>1307186367000</v>
      </c>
      <c r="F130" s="10">
        <v>1165412820000</v>
      </c>
      <c r="G130" s="10">
        <v>306410502000</v>
      </c>
      <c r="H130" s="10">
        <v>255354186000</v>
      </c>
      <c r="I130" s="10">
        <v>997510091000</v>
      </c>
      <c r="J130" s="10">
        <v>962466254000</v>
      </c>
      <c r="K130" s="10">
        <v>910058634000</v>
      </c>
      <c r="L130" s="10"/>
      <c r="M130" s="10">
        <v>778744315000</v>
      </c>
      <c r="N130" s="10">
        <v>230209661000</v>
      </c>
      <c r="O130" s="10"/>
      <c r="P130" s="10">
        <v>11.77244033316062</v>
      </c>
      <c r="Q130" s="10">
        <v>0</v>
      </c>
      <c r="R130" s="10" t="s">
        <v>238</v>
      </c>
      <c r="S130" s="10">
        <v>0.69619654624197902</v>
      </c>
      <c r="T130" s="10">
        <v>0.73628847293509148</v>
      </c>
      <c r="U130" s="10">
        <v>0.20637610581812321</v>
      </c>
      <c r="V130" s="10">
        <v>3.2554696542352848</v>
      </c>
    </row>
    <row r="131" spans="1:22" x14ac:dyDescent="0.3">
      <c r="A131" s="10" t="s">
        <v>59</v>
      </c>
      <c r="B131" s="10">
        <v>2025</v>
      </c>
      <c r="C131" s="10">
        <v>549303000000</v>
      </c>
      <c r="D131" s="10">
        <v>2099000000</v>
      </c>
      <c r="E131" s="10">
        <v>8313889000000</v>
      </c>
      <c r="F131" s="10">
        <v>4642608000000</v>
      </c>
      <c r="G131" s="10">
        <v>1736341000000</v>
      </c>
      <c r="H131" s="10">
        <v>1476102000000</v>
      </c>
      <c r="I131" s="10">
        <v>6544612000000</v>
      </c>
      <c r="J131" s="10">
        <v>3950613000000</v>
      </c>
      <c r="K131" s="10">
        <v>3166506000000</v>
      </c>
      <c r="L131" s="10"/>
      <c r="M131" s="10">
        <v>11098665000000</v>
      </c>
      <c r="N131" s="10">
        <v>431182000000</v>
      </c>
      <c r="O131" s="10">
        <v>97228000000</v>
      </c>
      <c r="P131" s="10">
        <v>8.4492488689387955</v>
      </c>
      <c r="Q131" s="10">
        <v>0</v>
      </c>
      <c r="R131" s="10" t="s">
        <v>238</v>
      </c>
      <c r="S131" s="10">
        <v>0.38086941021223641</v>
      </c>
      <c r="T131" s="10">
        <v>0.47518231239315317</v>
      </c>
      <c r="U131" s="10">
        <v>6.6070523674299719E-2</v>
      </c>
      <c r="V131" s="10">
        <v>3.7691974099557628</v>
      </c>
    </row>
    <row r="132" spans="1:22" x14ac:dyDescent="0.3">
      <c r="A132" s="10" t="s">
        <v>59</v>
      </c>
      <c r="B132" s="10">
        <v>2024</v>
      </c>
      <c r="C132" s="10">
        <v>467715000000</v>
      </c>
      <c r="D132" s="10">
        <v>2119000000</v>
      </c>
      <c r="E132" s="10">
        <v>7454096000000</v>
      </c>
      <c r="F132" s="10">
        <v>4093484000000</v>
      </c>
      <c r="G132" s="10">
        <v>1249645000000</v>
      </c>
      <c r="H132" s="10">
        <v>1059189000000</v>
      </c>
      <c r="I132" s="10">
        <v>6175484000000</v>
      </c>
      <c r="J132" s="10">
        <v>3658086000000</v>
      </c>
      <c r="K132" s="10">
        <v>3034295000000</v>
      </c>
      <c r="L132" s="10"/>
      <c r="M132" s="10">
        <v>9811549000000</v>
      </c>
      <c r="N132" s="10">
        <v>363944000000</v>
      </c>
      <c r="O132" s="10">
        <v>2167000000</v>
      </c>
      <c r="P132" s="10">
        <v>9.8807141091339101</v>
      </c>
      <c r="Q132" s="10">
        <v>0</v>
      </c>
      <c r="R132" s="10" t="s">
        <v>238</v>
      </c>
      <c r="S132" s="10">
        <v>0.40706411615841809</v>
      </c>
      <c r="T132" s="10">
        <v>0.49074844219875891</v>
      </c>
      <c r="U132" s="10">
        <v>6.2746039224608863E-2</v>
      </c>
      <c r="V132" s="10">
        <v>4.941790668549868</v>
      </c>
    </row>
    <row r="133" spans="1:22" x14ac:dyDescent="0.3">
      <c r="A133" s="10" t="s">
        <v>59</v>
      </c>
      <c r="B133" s="10">
        <v>2023</v>
      </c>
      <c r="C133" s="10">
        <v>429127000000</v>
      </c>
      <c r="D133" s="10">
        <v>15995000000</v>
      </c>
      <c r="E133" s="10">
        <v>7166880000000</v>
      </c>
      <c r="F133" s="10">
        <v>4138435000000</v>
      </c>
      <c r="G133" s="10">
        <v>1335148000000</v>
      </c>
      <c r="H133" s="10">
        <v>1163284000000</v>
      </c>
      <c r="I133" s="10">
        <v>5802535000000</v>
      </c>
      <c r="J133" s="10">
        <v>3348952000000</v>
      </c>
      <c r="K133" s="10">
        <v>2975151000000</v>
      </c>
      <c r="L133" s="10"/>
      <c r="M133" s="10">
        <v>9239926000000</v>
      </c>
      <c r="N133" s="10">
        <v>311183000000</v>
      </c>
      <c r="O133" s="10">
        <v>8255000000</v>
      </c>
      <c r="P133" s="10">
        <v>9.2122134595826068</v>
      </c>
      <c r="Q133" s="10">
        <v>0</v>
      </c>
      <c r="R133" s="10" t="s">
        <v>238</v>
      </c>
      <c r="S133" s="10">
        <v>0.41512499162815619</v>
      </c>
      <c r="T133" s="10">
        <v>0.46728171812559999</v>
      </c>
      <c r="U133" s="10">
        <v>5.9876403679146303E-2</v>
      </c>
      <c r="V133" s="10">
        <v>4.3459863625605548</v>
      </c>
    </row>
    <row r="134" spans="1:22" x14ac:dyDescent="0.3">
      <c r="A134" s="10" t="s">
        <v>59</v>
      </c>
      <c r="B134" s="10">
        <v>2022</v>
      </c>
      <c r="C134" s="10">
        <v>504196000000</v>
      </c>
      <c r="D134" s="10">
        <v>5421000000</v>
      </c>
      <c r="E134" s="10">
        <v>6878297000000</v>
      </c>
      <c r="F134" s="10">
        <v>4275936000000</v>
      </c>
      <c r="G134" s="10">
        <v>1467035000000</v>
      </c>
      <c r="H134" s="10">
        <v>1312391000000</v>
      </c>
      <c r="I134" s="10">
        <v>5390111000000</v>
      </c>
      <c r="J134" s="10">
        <v>3113523000000</v>
      </c>
      <c r="K134" s="10">
        <v>2963545000000</v>
      </c>
      <c r="L134" s="10"/>
      <c r="M134" s="10">
        <v>8461768000000</v>
      </c>
      <c r="N134" s="10">
        <v>377895000000</v>
      </c>
      <c r="O134" s="10">
        <v>179311000000</v>
      </c>
      <c r="P134" s="10">
        <v>8.6525266947774178</v>
      </c>
      <c r="Q134" s="10">
        <v>0</v>
      </c>
      <c r="R134" s="10" t="s">
        <v>238</v>
      </c>
      <c r="S134" s="10">
        <v>0.43085446877330252</v>
      </c>
      <c r="T134" s="10">
        <v>0.45265899393410902</v>
      </c>
      <c r="U134" s="10">
        <v>7.330244681205246E-2</v>
      </c>
      <c r="V134" s="10">
        <v>3.6741529684022529</v>
      </c>
    </row>
    <row r="135" spans="1:22" x14ac:dyDescent="0.3">
      <c r="A135" s="10" t="s">
        <v>61</v>
      </c>
      <c r="B135" s="10">
        <v>2025</v>
      </c>
      <c r="C135" s="10">
        <v>863159774486</v>
      </c>
      <c r="D135" s="10">
        <v>32135649832</v>
      </c>
      <c r="E135" s="10">
        <v>4286878723108</v>
      </c>
      <c r="F135" s="10">
        <v>2035504953164</v>
      </c>
      <c r="G135" s="10">
        <v>1351223609596</v>
      </c>
      <c r="H135" s="10">
        <v>1084625394410</v>
      </c>
      <c r="I135" s="10">
        <v>2775760819361</v>
      </c>
      <c r="J135" s="10">
        <v>2008643047495</v>
      </c>
      <c r="K135" s="10">
        <v>950879558754</v>
      </c>
      <c r="L135" s="10"/>
      <c r="M135" s="10">
        <v>5939676041503</v>
      </c>
      <c r="N135" s="10">
        <v>652584272073</v>
      </c>
      <c r="O135" s="10">
        <v>278683993522</v>
      </c>
      <c r="P135" s="10">
        <v>6.492614031708186</v>
      </c>
      <c r="Q135" s="10">
        <v>0</v>
      </c>
      <c r="R135" s="10" t="s">
        <v>238</v>
      </c>
      <c r="S135" s="10">
        <v>0.22181163036602289</v>
      </c>
      <c r="T135" s="10">
        <v>0.46855607010004879</v>
      </c>
      <c r="U135" s="10">
        <v>0.20134924037697211</v>
      </c>
      <c r="V135" s="10">
        <v>2.0542571929977749</v>
      </c>
    </row>
    <row r="136" spans="1:22" x14ac:dyDescent="0.3">
      <c r="A136" s="10" t="s">
        <v>61</v>
      </c>
      <c r="B136" s="10">
        <v>2024</v>
      </c>
      <c r="C136" s="10">
        <v>780078902032</v>
      </c>
      <c r="D136" s="10">
        <v>37675391640</v>
      </c>
      <c r="E136" s="10">
        <v>3841488703178</v>
      </c>
      <c r="F136" s="10">
        <v>1770873597435</v>
      </c>
      <c r="G136" s="10">
        <v>1373353780595</v>
      </c>
      <c r="H136" s="10">
        <v>999790055013</v>
      </c>
      <c r="I136" s="10">
        <v>2327135312835</v>
      </c>
      <c r="J136" s="10">
        <v>1560017540969</v>
      </c>
      <c r="K136" s="10">
        <v>771083542422</v>
      </c>
      <c r="L136" s="10"/>
      <c r="M136" s="10">
        <v>5507649677994</v>
      </c>
      <c r="N136" s="10">
        <v>579289220856</v>
      </c>
      <c r="O136" s="10">
        <v>475214946868</v>
      </c>
      <c r="P136" s="10">
        <v>5.7844582377078666</v>
      </c>
      <c r="Q136" s="10">
        <v>0</v>
      </c>
      <c r="R136" s="10" t="s">
        <v>238</v>
      </c>
      <c r="S136" s="10">
        <v>0.20072518807203449</v>
      </c>
      <c r="T136" s="10">
        <v>0.40609713095822031</v>
      </c>
      <c r="U136" s="10">
        <v>0.20306682182526101</v>
      </c>
      <c r="V136" s="10">
        <v>1.694490775586446</v>
      </c>
    </row>
    <row r="137" spans="1:22" x14ac:dyDescent="0.3">
      <c r="A137" s="10" t="s">
        <v>61</v>
      </c>
      <c r="B137" s="10">
        <v>2023</v>
      </c>
      <c r="C137" s="10">
        <v>809984590168</v>
      </c>
      <c r="D137" s="10">
        <v>40915996921</v>
      </c>
      <c r="E137" s="10">
        <v>3385541561778</v>
      </c>
      <c r="F137" s="10">
        <v>1505846168851</v>
      </c>
      <c r="G137" s="10">
        <v>1355214229299</v>
      </c>
      <c r="H137" s="10">
        <v>936752912950</v>
      </c>
      <c r="I137" s="10">
        <v>1903111254398</v>
      </c>
      <c r="J137" s="10">
        <v>1136006738197</v>
      </c>
      <c r="K137" s="10">
        <v>569093255901</v>
      </c>
      <c r="L137" s="10"/>
      <c r="M137" s="10">
        <v>5541170674297</v>
      </c>
      <c r="N137" s="10">
        <v>611751803594</v>
      </c>
      <c r="O137" s="10">
        <v>511870960121</v>
      </c>
      <c r="P137" s="10">
        <v>5.2788363284294206</v>
      </c>
      <c r="Q137" s="10">
        <v>0</v>
      </c>
      <c r="R137" s="10" t="s">
        <v>238</v>
      </c>
      <c r="S137" s="10">
        <v>0.16809519112863189</v>
      </c>
      <c r="T137" s="10">
        <v>0.33554653442222049</v>
      </c>
      <c r="U137" s="10">
        <v>0.2392481602685205</v>
      </c>
      <c r="V137" s="10">
        <v>1.4042881289568561</v>
      </c>
    </row>
    <row r="138" spans="1:22" x14ac:dyDescent="0.3">
      <c r="A138" s="10" t="s">
        <v>61</v>
      </c>
      <c r="B138" s="10">
        <v>2022</v>
      </c>
      <c r="C138" s="10">
        <v>537488588662</v>
      </c>
      <c r="D138" s="10">
        <v>43123266184</v>
      </c>
      <c r="E138" s="10">
        <v>2682993618242</v>
      </c>
      <c r="F138" s="10">
        <v>1360592850156</v>
      </c>
      <c r="G138" s="10">
        <v>1280807259321</v>
      </c>
      <c r="H138" s="10">
        <v>1055491419912</v>
      </c>
      <c r="I138" s="10">
        <v>1390013944914</v>
      </c>
      <c r="J138" s="10">
        <v>622909428713</v>
      </c>
      <c r="K138" s="10">
        <v>305101430244</v>
      </c>
      <c r="L138" s="10"/>
      <c r="M138" s="10">
        <v>3905415064469</v>
      </c>
      <c r="N138" s="10">
        <v>394166928317</v>
      </c>
      <c r="O138" s="10">
        <v>515359264799</v>
      </c>
      <c r="P138" s="10">
        <v>3.9886108660318258</v>
      </c>
      <c r="Q138" s="10">
        <v>0</v>
      </c>
      <c r="R138" s="10" t="s">
        <v>238</v>
      </c>
      <c r="S138" s="10">
        <v>0.1137167931259986</v>
      </c>
      <c r="T138" s="10">
        <v>0.23216955287473029</v>
      </c>
      <c r="U138" s="10">
        <v>0.20033166870303001</v>
      </c>
      <c r="V138" s="10">
        <v>1.0852639495898031</v>
      </c>
    </row>
    <row r="139" spans="1:22" x14ac:dyDescent="0.3">
      <c r="A139" s="10" t="s">
        <v>62</v>
      </c>
      <c r="B139" s="10">
        <v>2025</v>
      </c>
      <c r="C139" s="10">
        <v>2904031000000</v>
      </c>
      <c r="D139" s="10">
        <v>404486000000</v>
      </c>
      <c r="E139" s="10">
        <v>17617196000000</v>
      </c>
      <c r="F139" s="10">
        <v>3122905000000</v>
      </c>
      <c r="G139" s="10">
        <v>5974326000000</v>
      </c>
      <c r="H139" s="10">
        <v>2308339000000</v>
      </c>
      <c r="I139" s="10">
        <v>11480793000000</v>
      </c>
      <c r="J139" s="10">
        <v>8027592000000</v>
      </c>
      <c r="K139" s="10">
        <v>814566000000</v>
      </c>
      <c r="L139" s="10"/>
      <c r="M139" s="10">
        <v>12314712000000</v>
      </c>
      <c r="N139" s="10">
        <v>1840490000000</v>
      </c>
      <c r="O139" s="10">
        <v>4105200000000</v>
      </c>
      <c r="P139" s="10">
        <v>4.9142945642456937</v>
      </c>
      <c r="Q139" s="10">
        <v>0</v>
      </c>
      <c r="R139" s="10" t="s">
        <v>238</v>
      </c>
      <c r="S139" s="10">
        <v>4.6236983456391129E-2</v>
      </c>
      <c r="T139" s="10">
        <v>0.45566797349589572</v>
      </c>
      <c r="U139" s="10">
        <v>0.16484070450257801</v>
      </c>
      <c r="V139" s="10">
        <v>1.9216884046836411</v>
      </c>
    </row>
    <row r="140" spans="1:22" x14ac:dyDescent="0.3">
      <c r="A140" s="10" t="s">
        <v>62</v>
      </c>
      <c r="B140" s="10">
        <v>2024</v>
      </c>
      <c r="C140" s="10">
        <v>2102354000000</v>
      </c>
      <c r="D140" s="10">
        <v>462338000000</v>
      </c>
      <c r="E140" s="10">
        <v>17412416000000</v>
      </c>
      <c r="F140" s="10">
        <v>2897246000000</v>
      </c>
      <c r="G140" s="10">
        <v>7515101000000</v>
      </c>
      <c r="H140" s="10">
        <v>2530342000000</v>
      </c>
      <c r="I140" s="10">
        <v>9723485000000</v>
      </c>
      <c r="J140" s="10">
        <v>6438795000000</v>
      </c>
      <c r="K140" s="10">
        <v>366904000000</v>
      </c>
      <c r="L140" s="10"/>
      <c r="M140" s="10">
        <v>10119220000000</v>
      </c>
      <c r="N140" s="10">
        <v>1142493000000</v>
      </c>
      <c r="O140" s="10">
        <v>5733094000000</v>
      </c>
      <c r="P140" s="10">
        <v>3.513634300077721</v>
      </c>
      <c r="Q140" s="10">
        <v>0</v>
      </c>
      <c r="R140" s="10" t="s">
        <v>238</v>
      </c>
      <c r="S140" s="10">
        <v>2.1071401004892139E-2</v>
      </c>
      <c r="T140" s="10">
        <v>0.36978182694463541</v>
      </c>
      <c r="U140" s="10">
        <v>0.1207387877707493</v>
      </c>
      <c r="V140" s="10">
        <v>1.293859523644459</v>
      </c>
    </row>
    <row r="141" spans="1:22" x14ac:dyDescent="0.3">
      <c r="A141" s="10" t="s">
        <v>62</v>
      </c>
      <c r="B141" s="10">
        <v>2023</v>
      </c>
      <c r="C141" s="10">
        <v>1561444000000</v>
      </c>
      <c r="D141" s="10">
        <v>420801000000</v>
      </c>
      <c r="E141" s="10">
        <v>16178278000000</v>
      </c>
      <c r="F141" s="10">
        <v>2949268000000</v>
      </c>
      <c r="G141" s="10">
        <v>7288850000000</v>
      </c>
      <c r="H141" s="10">
        <v>2945961000000</v>
      </c>
      <c r="I141" s="10">
        <v>8715909000000</v>
      </c>
      <c r="J141" s="10">
        <v>5503553000000</v>
      </c>
      <c r="K141" s="10">
        <v>3307000000</v>
      </c>
      <c r="L141" s="10"/>
      <c r="M141" s="10">
        <v>9498749000000</v>
      </c>
      <c r="N141" s="10">
        <v>839809000000</v>
      </c>
      <c r="O141" s="10">
        <v>5576886000000</v>
      </c>
      <c r="P141" s="10">
        <v>3.0144887146908972</v>
      </c>
      <c r="Q141" s="10">
        <v>0</v>
      </c>
      <c r="R141" s="10" t="s">
        <v>238</v>
      </c>
      <c r="S141" s="10">
        <v>2.0440988837007251E-4</v>
      </c>
      <c r="T141" s="10">
        <v>0.34018163119709027</v>
      </c>
      <c r="U141" s="10">
        <v>9.651484539949183E-2</v>
      </c>
      <c r="V141" s="10">
        <v>1.1957865781296091</v>
      </c>
    </row>
    <row r="142" spans="1:22" x14ac:dyDescent="0.3">
      <c r="A142" s="10" t="s">
        <v>62</v>
      </c>
      <c r="B142" s="10">
        <v>2022</v>
      </c>
      <c r="C142" s="10">
        <v>1974310000000</v>
      </c>
      <c r="D142" s="10">
        <v>364082000000</v>
      </c>
      <c r="E142" s="10">
        <v>15357229000000</v>
      </c>
      <c r="F142" s="10">
        <v>3229582000000</v>
      </c>
      <c r="G142" s="10">
        <v>7197089000000</v>
      </c>
      <c r="H142" s="10">
        <v>3022162000000</v>
      </c>
      <c r="I142" s="10">
        <v>8034426000000</v>
      </c>
      <c r="J142" s="10">
        <v>4947509000000</v>
      </c>
      <c r="K142" s="10">
        <v>207420000000</v>
      </c>
      <c r="L142" s="10"/>
      <c r="M142" s="10">
        <v>9633671000000</v>
      </c>
      <c r="N142" s="10">
        <v>1206835000000</v>
      </c>
      <c r="O142" s="10">
        <v>5446563000000</v>
      </c>
      <c r="P142" s="10">
        <v>3.1749258409893928</v>
      </c>
      <c r="Q142" s="10">
        <v>0</v>
      </c>
      <c r="R142" s="10" t="s">
        <v>238</v>
      </c>
      <c r="S142" s="10">
        <v>1.3506342843490841E-2</v>
      </c>
      <c r="T142" s="10">
        <v>0.32216156964254422</v>
      </c>
      <c r="U142" s="10">
        <v>0.12855899980393601</v>
      </c>
      <c r="V142" s="10">
        <v>1.1163438440180471</v>
      </c>
    </row>
    <row r="143" spans="1:22" x14ac:dyDescent="0.3">
      <c r="A143" s="10" t="s">
        <v>63</v>
      </c>
      <c r="B143" s="10">
        <v>2025</v>
      </c>
      <c r="C143" s="10">
        <v>220220629000</v>
      </c>
      <c r="D143" s="10">
        <v>32363000</v>
      </c>
      <c r="E143" s="10">
        <v>2350265761000</v>
      </c>
      <c r="F143" s="10">
        <v>1664526199000</v>
      </c>
      <c r="G143" s="10">
        <v>870439589000</v>
      </c>
      <c r="H143" s="10">
        <v>679928674000</v>
      </c>
      <c r="I143" s="10">
        <v>1479825065000</v>
      </c>
      <c r="J143" s="10">
        <v>1152262984000</v>
      </c>
      <c r="K143" s="10">
        <v>984597525000</v>
      </c>
      <c r="L143" s="10"/>
      <c r="M143" s="10">
        <v>2231748811000</v>
      </c>
      <c r="N143" s="10">
        <v>163947127000</v>
      </c>
      <c r="O143" s="10">
        <v>206868000</v>
      </c>
      <c r="P143" s="10">
        <v>6.7612202982660872</v>
      </c>
      <c r="Q143" s="10">
        <v>0</v>
      </c>
      <c r="R143" s="10" t="s">
        <v>238</v>
      </c>
      <c r="S143" s="10">
        <v>0.41893029347501098</v>
      </c>
      <c r="T143" s="10">
        <v>0.49026922959969038</v>
      </c>
      <c r="U143" s="10">
        <v>9.3700309409391933E-2</v>
      </c>
      <c r="V143" s="10">
        <v>1.700089338422772</v>
      </c>
    </row>
    <row r="144" spans="1:22" x14ac:dyDescent="0.3">
      <c r="A144" s="10" t="s">
        <v>63</v>
      </c>
      <c r="B144" s="10">
        <v>2024</v>
      </c>
      <c r="C144" s="10">
        <v>209809179000</v>
      </c>
      <c r="D144" s="10">
        <v>51360000</v>
      </c>
      <c r="E144" s="10">
        <v>2161538138000</v>
      </c>
      <c r="F144" s="10">
        <v>1521886256000</v>
      </c>
      <c r="G144" s="10">
        <v>712565630000</v>
      </c>
      <c r="H144" s="10">
        <v>565603830000</v>
      </c>
      <c r="I144" s="10">
        <v>1448971508000</v>
      </c>
      <c r="J144" s="10">
        <v>1109275857000</v>
      </c>
      <c r="K144" s="10">
        <v>956282426000</v>
      </c>
      <c r="L144" s="10"/>
      <c r="M144" s="10">
        <v>2087601399000</v>
      </c>
      <c r="N144" s="10">
        <v>156147303000</v>
      </c>
      <c r="O144" s="10">
        <v>1043765000</v>
      </c>
      <c r="P144" s="10">
        <v>7.3625969488252627</v>
      </c>
      <c r="Q144" s="10">
        <v>0</v>
      </c>
      <c r="R144" s="10" t="s">
        <v>238</v>
      </c>
      <c r="S144" s="10">
        <v>0.44240830600602621</v>
      </c>
      <c r="T144" s="10">
        <v>0.51318819571066021</v>
      </c>
      <c r="U144" s="10">
        <v>9.7064759261721617E-2</v>
      </c>
      <c r="V144" s="10">
        <v>2.0334569154001998</v>
      </c>
    </row>
    <row r="145" spans="1:22" x14ac:dyDescent="0.3">
      <c r="A145" s="10" t="s">
        <v>63</v>
      </c>
      <c r="B145" s="10">
        <v>2023</v>
      </c>
      <c r="C145" s="10">
        <v>191706541000</v>
      </c>
      <c r="D145" s="10">
        <v>68283000</v>
      </c>
      <c r="E145" s="10">
        <v>2042171821000</v>
      </c>
      <c r="F145" s="10">
        <v>1440981383000</v>
      </c>
      <c r="G145" s="10">
        <v>637739728000</v>
      </c>
      <c r="H145" s="10">
        <v>504329407000</v>
      </c>
      <c r="I145" s="10">
        <v>1404432093000</v>
      </c>
      <c r="J145" s="10">
        <v>1074088554000</v>
      </c>
      <c r="K145" s="10">
        <v>936651976000</v>
      </c>
      <c r="L145" s="10"/>
      <c r="M145" s="10">
        <v>1890887506000</v>
      </c>
      <c r="N145" s="10">
        <v>146336365000</v>
      </c>
      <c r="O145" s="10">
        <v>1474205000</v>
      </c>
      <c r="P145" s="10">
        <v>7.6665309752207822</v>
      </c>
      <c r="Q145" s="10">
        <v>0</v>
      </c>
      <c r="R145" s="10" t="s">
        <v>238</v>
      </c>
      <c r="S145" s="10">
        <v>0.45865483323599338</v>
      </c>
      <c r="T145" s="10">
        <v>0.52595405683055896</v>
      </c>
      <c r="U145" s="10">
        <v>9.3873854799409656E-2</v>
      </c>
      <c r="V145" s="10">
        <v>2.2022026092123901</v>
      </c>
    </row>
    <row r="146" spans="1:22" x14ac:dyDescent="0.3">
      <c r="A146" s="10" t="s">
        <v>63</v>
      </c>
      <c r="B146" s="10">
        <v>2022</v>
      </c>
      <c r="C146" s="10">
        <v>201244366000</v>
      </c>
      <c r="D146" s="10">
        <v>171149000</v>
      </c>
      <c r="E146" s="10">
        <v>2009139485000</v>
      </c>
      <c r="F146" s="10">
        <v>1447973511000</v>
      </c>
      <c r="G146" s="10">
        <v>605518904000</v>
      </c>
      <c r="H146" s="10">
        <v>482343743000</v>
      </c>
      <c r="I146" s="10">
        <v>1403620581000</v>
      </c>
      <c r="J146" s="10">
        <v>1063272189000</v>
      </c>
      <c r="K146" s="10">
        <v>965629768000</v>
      </c>
      <c r="L146" s="10"/>
      <c r="M146" s="10">
        <v>1917041442000</v>
      </c>
      <c r="N146" s="10">
        <v>149375011000</v>
      </c>
      <c r="O146" s="10">
        <v>1887723000</v>
      </c>
      <c r="P146" s="10">
        <v>7.9851609038510016</v>
      </c>
      <c r="Q146" s="10">
        <v>0</v>
      </c>
      <c r="R146" s="10" t="s">
        <v>238</v>
      </c>
      <c r="S146" s="10">
        <v>0.48061858084482367</v>
      </c>
      <c r="T146" s="10">
        <v>0.52921770585778916</v>
      </c>
      <c r="U146" s="10">
        <v>0.1001644572228394</v>
      </c>
      <c r="V146" s="10">
        <v>2.31804584750008</v>
      </c>
    </row>
    <row r="147" spans="1:22" x14ac:dyDescent="0.3">
      <c r="A147" s="10" t="s">
        <v>64</v>
      </c>
      <c r="B147" s="10">
        <v>2025</v>
      </c>
      <c r="C147" s="10">
        <v>72019585</v>
      </c>
      <c r="D147" s="10">
        <v>1412140</v>
      </c>
      <c r="E147" s="10">
        <v>646558220</v>
      </c>
      <c r="F147" s="10">
        <v>203929719</v>
      </c>
      <c r="G147" s="10">
        <v>62911891</v>
      </c>
      <c r="H147" s="10">
        <v>19338171</v>
      </c>
      <c r="I147" s="10">
        <v>446602727</v>
      </c>
      <c r="J147" s="10">
        <v>281919023</v>
      </c>
      <c r="K147" s="10">
        <v>184591548</v>
      </c>
      <c r="L147" s="10"/>
      <c r="M147" s="10">
        <v>295014929</v>
      </c>
      <c r="N147" s="10">
        <v>40291033</v>
      </c>
      <c r="O147" s="10">
        <v>179264</v>
      </c>
      <c r="P147" s="10">
        <v>11.496669243041749</v>
      </c>
      <c r="Q147" s="10">
        <v>0</v>
      </c>
      <c r="R147" s="10" t="s">
        <v>238</v>
      </c>
      <c r="S147" s="10">
        <v>0.28549872585333458</v>
      </c>
      <c r="T147" s="10">
        <v>0.43603037480522638</v>
      </c>
      <c r="U147" s="10">
        <v>0.111389172347078</v>
      </c>
      <c r="V147" s="10">
        <v>7.0988603251490243</v>
      </c>
    </row>
    <row r="148" spans="1:22" x14ac:dyDescent="0.3">
      <c r="A148" s="10" t="s">
        <v>64</v>
      </c>
      <c r="B148" s="10">
        <v>2024</v>
      </c>
      <c r="C148" s="10">
        <v>82781996</v>
      </c>
      <c r="D148" s="10">
        <v>6087111</v>
      </c>
      <c r="E148" s="10">
        <v>693675660</v>
      </c>
      <c r="F148" s="10">
        <v>218595338</v>
      </c>
      <c r="G148" s="10">
        <v>139799491</v>
      </c>
      <c r="H148" s="10">
        <v>92725135</v>
      </c>
      <c r="I148" s="10">
        <v>416598577</v>
      </c>
      <c r="J148" s="10">
        <v>249215320</v>
      </c>
      <c r="K148" s="10">
        <v>125870203</v>
      </c>
      <c r="L148" s="10"/>
      <c r="M148" s="10">
        <v>301401837</v>
      </c>
      <c r="N148" s="10">
        <v>45181479</v>
      </c>
      <c r="O148" s="10">
        <v>92556188</v>
      </c>
      <c r="P148" s="10">
        <v>6.2924743198107649</v>
      </c>
      <c r="Q148" s="10">
        <v>0</v>
      </c>
      <c r="R148" s="10" t="s">
        <v>238</v>
      </c>
      <c r="S148" s="10">
        <v>0.18145397086586551</v>
      </c>
      <c r="T148" s="10">
        <v>0.35926778806106591</v>
      </c>
      <c r="U148" s="10">
        <v>0.11933818753277289</v>
      </c>
      <c r="V148" s="10">
        <v>2.9799720586965508</v>
      </c>
    </row>
    <row r="149" spans="1:22" x14ac:dyDescent="0.3">
      <c r="A149" s="10" t="s">
        <v>64</v>
      </c>
      <c r="B149" s="10">
        <v>2023</v>
      </c>
      <c r="C149" s="10">
        <v>74505476</v>
      </c>
      <c r="D149" s="10">
        <v>12717159</v>
      </c>
      <c r="E149" s="10">
        <v>695442247</v>
      </c>
      <c r="F149" s="10">
        <v>178839689</v>
      </c>
      <c r="G149" s="10">
        <v>197698606</v>
      </c>
      <c r="H149" s="10">
        <v>124601828</v>
      </c>
      <c r="I149" s="10">
        <v>379264500</v>
      </c>
      <c r="J149" s="10">
        <v>207053739</v>
      </c>
      <c r="K149" s="10">
        <v>54237861</v>
      </c>
      <c r="L149" s="10"/>
      <c r="M149" s="10">
        <v>344961625</v>
      </c>
      <c r="N149" s="10">
        <v>34614652</v>
      </c>
      <c r="O149" s="10">
        <v>161148602</v>
      </c>
      <c r="P149" s="10">
        <v>4.2164733701757626</v>
      </c>
      <c r="Q149" s="10">
        <v>0</v>
      </c>
      <c r="R149" s="10" t="s">
        <v>238</v>
      </c>
      <c r="S149" s="10">
        <v>7.7990460363849601E-2</v>
      </c>
      <c r="T149" s="10">
        <v>0.29772959565397239</v>
      </c>
      <c r="U149" s="10">
        <v>0.1071339515558651</v>
      </c>
      <c r="V149" s="10">
        <v>1.9183974418109959</v>
      </c>
    </row>
    <row r="150" spans="1:22" x14ac:dyDescent="0.3">
      <c r="A150" s="10" t="s">
        <v>64</v>
      </c>
      <c r="B150" s="10">
        <v>2022</v>
      </c>
      <c r="C150" s="10">
        <v>300912763</v>
      </c>
      <c r="D150" s="10">
        <v>24851743</v>
      </c>
      <c r="E150" s="10">
        <v>831295165</v>
      </c>
      <c r="F150" s="10">
        <v>272532450</v>
      </c>
      <c r="G150" s="10">
        <v>305931065</v>
      </c>
      <c r="H150" s="10">
        <v>121797408</v>
      </c>
      <c r="I150" s="10">
        <v>352385552</v>
      </c>
      <c r="J150" s="10">
        <v>221420134</v>
      </c>
      <c r="K150" s="10">
        <v>150735042</v>
      </c>
      <c r="L150" s="10"/>
      <c r="M150" s="10">
        <v>731490734</v>
      </c>
      <c r="N150" s="10">
        <v>138841074</v>
      </c>
      <c r="O150" s="10">
        <v>269962518</v>
      </c>
      <c r="P150" s="10">
        <v>5.6997633504312084</v>
      </c>
      <c r="Q150" s="10">
        <v>0</v>
      </c>
      <c r="R150" s="10" t="s">
        <v>238</v>
      </c>
      <c r="S150" s="10">
        <v>0.18132553676045979</v>
      </c>
      <c r="T150" s="10">
        <v>0.26635561389317108</v>
      </c>
      <c r="U150" s="10">
        <v>0.36198064859429319</v>
      </c>
      <c r="V150" s="10">
        <v>1.1518462566068599</v>
      </c>
    </row>
    <row r="151" spans="1:22" x14ac:dyDescent="0.3">
      <c r="A151" s="10" t="s">
        <v>65</v>
      </c>
      <c r="B151" s="10">
        <v>2025</v>
      </c>
      <c r="C151" s="10">
        <v>245346000</v>
      </c>
      <c r="D151" s="10"/>
      <c r="E151" s="10">
        <v>59233564000</v>
      </c>
      <c r="F151" s="10">
        <v>25902058000</v>
      </c>
      <c r="G151" s="10">
        <v>6232698000</v>
      </c>
      <c r="H151" s="10">
        <v>2866878000</v>
      </c>
      <c r="I151" s="10">
        <v>53000668000</v>
      </c>
      <c r="J151" s="10">
        <v>2212958000</v>
      </c>
      <c r="K151" s="10">
        <v>23035180000</v>
      </c>
      <c r="L151" s="10"/>
      <c r="M151" s="10">
        <v>22958676000</v>
      </c>
      <c r="N151" s="10">
        <v>1988619000</v>
      </c>
      <c r="O151" s="10"/>
      <c r="P151" s="10">
        <v>11.629558153216831</v>
      </c>
      <c r="Q151" s="10">
        <v>0</v>
      </c>
      <c r="R151" s="10" t="s">
        <v>238</v>
      </c>
      <c r="S151" s="10">
        <v>0.38888728694427371</v>
      </c>
      <c r="T151" s="10">
        <v>3.7359865767995999E-2</v>
      </c>
      <c r="U151" s="10">
        <v>4.1420097564954898E-3</v>
      </c>
      <c r="V151" s="10">
        <v>8.5036476979953139</v>
      </c>
    </row>
    <row r="152" spans="1:22" x14ac:dyDescent="0.3">
      <c r="A152" s="10" t="s">
        <v>65</v>
      </c>
      <c r="B152" s="10">
        <v>2024</v>
      </c>
      <c r="C152" s="10">
        <v>3262189000</v>
      </c>
      <c r="D152" s="10"/>
      <c r="E152" s="10">
        <v>60632325000</v>
      </c>
      <c r="F152" s="10">
        <v>29148543000</v>
      </c>
      <c r="G152" s="10">
        <v>5694187000</v>
      </c>
      <c r="H152" s="10">
        <v>2954258000</v>
      </c>
      <c r="I152" s="10">
        <v>54937938000</v>
      </c>
      <c r="J152" s="10">
        <v>4047579000</v>
      </c>
      <c r="K152" s="10">
        <v>26194285000</v>
      </c>
      <c r="L152" s="10"/>
      <c r="M152" s="10">
        <v>27533752000</v>
      </c>
      <c r="N152" s="10">
        <v>3634506000</v>
      </c>
      <c r="O152" s="10"/>
      <c r="P152" s="10">
        <v>13.543698820875131</v>
      </c>
      <c r="Q152" s="10">
        <v>0</v>
      </c>
      <c r="R152" s="10" t="s">
        <v>238</v>
      </c>
      <c r="S152" s="10">
        <v>0.43201848189064168</v>
      </c>
      <c r="T152" s="10">
        <v>6.6756123899256711E-2</v>
      </c>
      <c r="U152" s="10">
        <v>5.3802802383052267E-2</v>
      </c>
      <c r="V152" s="10">
        <v>9.6480740797588833</v>
      </c>
    </row>
    <row r="153" spans="1:22" x14ac:dyDescent="0.3">
      <c r="A153" s="10" t="s">
        <v>65</v>
      </c>
      <c r="B153" s="10">
        <v>2023</v>
      </c>
      <c r="C153" s="10">
        <v>3109064000</v>
      </c>
      <c r="D153" s="10">
        <v>47717000</v>
      </c>
      <c r="E153" s="10">
        <v>67427969000</v>
      </c>
      <c r="F153" s="10">
        <v>21777311000</v>
      </c>
      <c r="G153" s="10">
        <v>5027055000</v>
      </c>
      <c r="H153" s="10">
        <v>2068699000</v>
      </c>
      <c r="I153" s="10">
        <v>62400714000</v>
      </c>
      <c r="J153" s="10">
        <v>12037210000</v>
      </c>
      <c r="K153" s="10">
        <v>19708612000</v>
      </c>
      <c r="L153" s="10"/>
      <c r="M153" s="10">
        <v>23780277000</v>
      </c>
      <c r="N153" s="10">
        <v>5131376000</v>
      </c>
      <c r="O153" s="10"/>
      <c r="P153" s="10">
        <v>15.8428851910204</v>
      </c>
      <c r="Q153" s="10">
        <v>0</v>
      </c>
      <c r="R153" s="10" t="s">
        <v>238</v>
      </c>
      <c r="S153" s="10">
        <v>0.29229134871317269</v>
      </c>
      <c r="T153" s="10">
        <v>0.17851953986631269</v>
      </c>
      <c r="U153" s="10">
        <v>4.6109411956335208E-2</v>
      </c>
      <c r="V153" s="10">
        <v>12.412976185858319</v>
      </c>
    </row>
    <row r="154" spans="1:22" x14ac:dyDescent="0.3">
      <c r="A154" s="10" t="s">
        <v>65</v>
      </c>
      <c r="B154" s="10">
        <v>2022</v>
      </c>
      <c r="C154" s="10">
        <v>7379995000</v>
      </c>
      <c r="D154" s="10">
        <v>4300000</v>
      </c>
      <c r="E154" s="10">
        <v>60613787000</v>
      </c>
      <c r="F154" s="10">
        <v>40650888000</v>
      </c>
      <c r="G154" s="10">
        <v>8218910000</v>
      </c>
      <c r="H154" s="10">
        <v>5786650000</v>
      </c>
      <c r="I154" s="10">
        <v>52394877000</v>
      </c>
      <c r="J154" s="10">
        <v>7655834000</v>
      </c>
      <c r="K154" s="10">
        <v>34864238000</v>
      </c>
      <c r="L154" s="10"/>
      <c r="M154" s="10">
        <v>30319967000</v>
      </c>
      <c r="N154" s="10">
        <v>5881498000</v>
      </c>
      <c r="O154" s="10"/>
      <c r="P154" s="10">
        <v>11.696832307902021</v>
      </c>
      <c r="Q154" s="10">
        <v>0</v>
      </c>
      <c r="R154" s="10" t="s">
        <v>238</v>
      </c>
      <c r="S154" s="10">
        <v>0.57518659904882696</v>
      </c>
      <c r="T154" s="10">
        <v>0.12630515892366201</v>
      </c>
      <c r="U154" s="10">
        <v>0.1217543955800023</v>
      </c>
      <c r="V154" s="10">
        <v>6.3749179635742452</v>
      </c>
    </row>
    <row r="155" spans="1:22" x14ac:dyDescent="0.3">
      <c r="A155" s="10" t="s">
        <v>66</v>
      </c>
      <c r="B155" s="10">
        <v>2025</v>
      </c>
      <c r="C155" s="10">
        <v>1806636980879</v>
      </c>
      <c r="D155" s="10">
        <v>318733002657</v>
      </c>
      <c r="E155" s="10">
        <v>10277055473736</v>
      </c>
      <c r="F155" s="10">
        <v>2709458987448</v>
      </c>
      <c r="G155" s="10">
        <v>6386711339240</v>
      </c>
      <c r="H155" s="10">
        <v>3285812889509</v>
      </c>
      <c r="I155" s="10">
        <v>3704991179466</v>
      </c>
      <c r="J155" s="10">
        <v>1327469591570</v>
      </c>
      <c r="K155" s="10">
        <v>-576353902061</v>
      </c>
      <c r="L155" s="10"/>
      <c r="M155" s="10">
        <v>7580783474655</v>
      </c>
      <c r="N155" s="10">
        <v>1065395097038</v>
      </c>
      <c r="O155" s="10">
        <v>4688283353431</v>
      </c>
      <c r="P155" s="10">
        <v>1.843638673051659</v>
      </c>
      <c r="Q155" s="10">
        <v>0</v>
      </c>
      <c r="R155" s="10" t="s">
        <v>239</v>
      </c>
      <c r="S155" s="10">
        <v>-5.6081618274215567E-2</v>
      </c>
      <c r="T155" s="10">
        <v>0.1291682812224256</v>
      </c>
      <c r="U155" s="10">
        <v>0.17579324987551481</v>
      </c>
      <c r="V155" s="10">
        <v>0.58010938379232957</v>
      </c>
    </row>
    <row r="156" spans="1:22" x14ac:dyDescent="0.3">
      <c r="A156" s="10" t="s">
        <v>66</v>
      </c>
      <c r="B156" s="10">
        <v>2024</v>
      </c>
      <c r="C156" s="10">
        <v>1012605211536</v>
      </c>
      <c r="D156" s="10">
        <v>237926235970</v>
      </c>
      <c r="E156" s="10">
        <v>8816684323376</v>
      </c>
      <c r="F156" s="10">
        <v>1943127073316</v>
      </c>
      <c r="G156" s="10">
        <v>4963948948140</v>
      </c>
      <c r="H156" s="10">
        <v>2572488067978</v>
      </c>
      <c r="I156" s="10">
        <v>3666532343829</v>
      </c>
      <c r="J156" s="10">
        <v>262074494532</v>
      </c>
      <c r="K156" s="10">
        <v>-629360994662</v>
      </c>
      <c r="L156" s="10"/>
      <c r="M156" s="10">
        <v>5742983944479</v>
      </c>
      <c r="N156" s="10">
        <v>542473400017</v>
      </c>
      <c r="O156" s="10">
        <v>3514866538807</v>
      </c>
      <c r="P156" s="10">
        <v>1.1759934123112581</v>
      </c>
      <c r="Q156" s="10">
        <v>0</v>
      </c>
      <c r="R156" s="10" t="s">
        <v>239</v>
      </c>
      <c r="S156" s="10">
        <v>-7.1382956628417787E-2</v>
      </c>
      <c r="T156" s="10">
        <v>2.9724835881574239E-2</v>
      </c>
      <c r="U156" s="10">
        <v>0.1148510227196456</v>
      </c>
      <c r="V156" s="10">
        <v>0.7386321620416455</v>
      </c>
    </row>
    <row r="157" spans="1:22" x14ac:dyDescent="0.3">
      <c r="A157" s="10" t="s">
        <v>66</v>
      </c>
      <c r="B157" s="10">
        <v>2022</v>
      </c>
      <c r="C157" s="10">
        <v>1162889605060</v>
      </c>
      <c r="D157" s="10">
        <v>169192639375</v>
      </c>
      <c r="E157" s="10">
        <v>8624008934687</v>
      </c>
      <c r="F157" s="10">
        <v>1808824969402</v>
      </c>
      <c r="G157" s="10">
        <v>4724996943546</v>
      </c>
      <c r="H157" s="10">
        <v>2052811807452</v>
      </c>
      <c r="I157" s="10">
        <v>3711093419808</v>
      </c>
      <c r="J157" s="10">
        <v>-433969868365</v>
      </c>
      <c r="K157" s="10">
        <v>-243986838050</v>
      </c>
      <c r="L157" s="10"/>
      <c r="M157" s="10">
        <v>4828633601246</v>
      </c>
      <c r="N157" s="10">
        <v>709143944186</v>
      </c>
      <c r="O157" s="10">
        <v>3509509528148</v>
      </c>
      <c r="P157" s="10">
        <v>1.3811951197951251</v>
      </c>
      <c r="Q157" s="10">
        <v>0</v>
      </c>
      <c r="R157" s="10" t="s">
        <v>239</v>
      </c>
      <c r="S157" s="10">
        <v>-2.8291579925045069E-2</v>
      </c>
      <c r="T157" s="10">
        <v>-5.0321129262692547E-2</v>
      </c>
      <c r="U157" s="10">
        <v>0.13484327461474341</v>
      </c>
      <c r="V157" s="10">
        <v>0.78541710484640248</v>
      </c>
    </row>
    <row r="158" spans="1:22" x14ac:dyDescent="0.3">
      <c r="A158" s="10" t="s">
        <v>68</v>
      </c>
      <c r="B158" s="10">
        <v>2025</v>
      </c>
      <c r="C158" s="10">
        <v>170534688876</v>
      </c>
      <c r="D158" s="10">
        <v>94638788899</v>
      </c>
      <c r="E158" s="10">
        <v>3495704841602</v>
      </c>
      <c r="F158" s="10">
        <v>1886494382059</v>
      </c>
      <c r="G158" s="10">
        <v>2085397950272</v>
      </c>
      <c r="H158" s="10">
        <v>1914240153638</v>
      </c>
      <c r="I158" s="10">
        <v>1410306891330</v>
      </c>
      <c r="J158" s="10">
        <v>326426822262</v>
      </c>
      <c r="K158" s="10">
        <v>-27745771579</v>
      </c>
      <c r="L158" s="10"/>
      <c r="M158" s="10">
        <v>2342567626820</v>
      </c>
      <c r="N158" s="10">
        <v>73238288798</v>
      </c>
      <c r="O158" s="10">
        <v>1498713819776</v>
      </c>
      <c r="P158" s="10">
        <v>1.2902693176905931</v>
      </c>
      <c r="Q158" s="10">
        <v>0</v>
      </c>
      <c r="R158" s="10" t="s">
        <v>239</v>
      </c>
      <c r="S158" s="10">
        <v>-7.9371036275147182E-3</v>
      </c>
      <c r="T158" s="10">
        <v>9.3379400450870509E-2</v>
      </c>
      <c r="U158" s="10">
        <v>4.8784064045249292E-2</v>
      </c>
      <c r="V158" s="10">
        <v>0.67627710631731108</v>
      </c>
    </row>
    <row r="159" spans="1:22" x14ac:dyDescent="0.3">
      <c r="A159" s="10" t="s">
        <v>68</v>
      </c>
      <c r="B159" s="10">
        <v>2024</v>
      </c>
      <c r="C159" s="10">
        <v>183041892317</v>
      </c>
      <c r="D159" s="10">
        <v>56063113822</v>
      </c>
      <c r="E159" s="10">
        <v>2755475158820</v>
      </c>
      <c r="F159" s="10">
        <v>1255030763309</v>
      </c>
      <c r="G159" s="10">
        <v>1399270861628</v>
      </c>
      <c r="H159" s="10">
        <v>1141681972708</v>
      </c>
      <c r="I159" s="10">
        <v>1356204297192</v>
      </c>
      <c r="J159" s="10">
        <v>276294783464</v>
      </c>
      <c r="K159" s="10">
        <v>113348790601</v>
      </c>
      <c r="L159" s="10"/>
      <c r="M159" s="10">
        <v>2594517811912</v>
      </c>
      <c r="N159" s="10">
        <v>104677999298</v>
      </c>
      <c r="O159" s="10">
        <v>1076826448798</v>
      </c>
      <c r="P159" s="10">
        <v>2.060817518770429</v>
      </c>
      <c r="Q159" s="10">
        <v>0</v>
      </c>
      <c r="R159" s="10" t="s">
        <v>239</v>
      </c>
      <c r="S159" s="10">
        <v>4.1135841939340979E-2</v>
      </c>
      <c r="T159" s="10">
        <v>0.1002711937284602</v>
      </c>
      <c r="U159" s="10">
        <v>6.6428431311057634E-2</v>
      </c>
      <c r="V159" s="10">
        <v>0.96922213874596541</v>
      </c>
    </row>
    <row r="160" spans="1:22" x14ac:dyDescent="0.3">
      <c r="A160" s="10" t="s">
        <v>68</v>
      </c>
      <c r="B160" s="10">
        <v>2023</v>
      </c>
      <c r="C160" s="10">
        <v>308885703782</v>
      </c>
      <c r="D160" s="10">
        <v>30962959393</v>
      </c>
      <c r="E160" s="10">
        <v>2228129147603</v>
      </c>
      <c r="F160" s="10">
        <v>815030596399</v>
      </c>
      <c r="G160" s="10">
        <v>954226747571</v>
      </c>
      <c r="H160" s="10">
        <v>794243185564</v>
      </c>
      <c r="I160" s="10">
        <v>1273902400032</v>
      </c>
      <c r="J160" s="10">
        <v>289809100566</v>
      </c>
      <c r="K160" s="10">
        <v>20787410835</v>
      </c>
      <c r="L160" s="10"/>
      <c r="M160" s="10">
        <v>2524984145491</v>
      </c>
      <c r="N160" s="10">
        <v>212988116470</v>
      </c>
      <c r="O160" s="10">
        <v>559618654415</v>
      </c>
      <c r="P160" s="10">
        <v>2.8185793513232378</v>
      </c>
      <c r="Q160" s="10">
        <v>0</v>
      </c>
      <c r="R160" s="10" t="s">
        <v>238</v>
      </c>
      <c r="S160" s="10">
        <v>9.3295358832152508E-3</v>
      </c>
      <c r="T160" s="10">
        <v>0.13006835841529829</v>
      </c>
      <c r="U160" s="10">
        <v>0.1386300718314718</v>
      </c>
      <c r="V160" s="10">
        <v>1.3350101569409361</v>
      </c>
    </row>
    <row r="161" spans="1:22" x14ac:dyDescent="0.3">
      <c r="A161" s="10" t="s">
        <v>68</v>
      </c>
      <c r="B161" s="10">
        <v>2022</v>
      </c>
      <c r="C161" s="10">
        <v>368178196224</v>
      </c>
      <c r="D161" s="10">
        <v>16003667736</v>
      </c>
      <c r="E161" s="10">
        <v>2106446579086</v>
      </c>
      <c r="F161" s="10">
        <v>830499000031</v>
      </c>
      <c r="G161" s="10">
        <v>1046603698108</v>
      </c>
      <c r="H161" s="10">
        <v>953526289429</v>
      </c>
      <c r="I161" s="10">
        <v>1059842880978</v>
      </c>
      <c r="J161" s="10">
        <v>76820984096</v>
      </c>
      <c r="K161" s="10">
        <v>-123027289398</v>
      </c>
      <c r="L161" s="10"/>
      <c r="M161" s="10">
        <v>2594504651438</v>
      </c>
      <c r="N161" s="10">
        <v>273673913875</v>
      </c>
      <c r="O161" s="10">
        <v>394689488688</v>
      </c>
      <c r="P161" s="10">
        <v>1.9735994951955069</v>
      </c>
      <c r="Q161" s="10">
        <v>0</v>
      </c>
      <c r="R161" s="10" t="s">
        <v>239</v>
      </c>
      <c r="S161" s="10">
        <v>-5.8405131475673257E-2</v>
      </c>
      <c r="T161" s="10">
        <v>3.6469467044036363E-2</v>
      </c>
      <c r="U161" s="10">
        <v>0.17478639139462759</v>
      </c>
      <c r="V161" s="10">
        <v>1.012649661848064</v>
      </c>
    </row>
    <row r="162" spans="1:22" x14ac:dyDescent="0.3">
      <c r="A162" s="10" t="s">
        <v>69</v>
      </c>
      <c r="B162" s="10">
        <v>2025</v>
      </c>
      <c r="C162" s="10">
        <v>61801411976</v>
      </c>
      <c r="D162" s="10">
        <v>34847204361</v>
      </c>
      <c r="E162" s="10">
        <v>1180923907457</v>
      </c>
      <c r="F162" s="10">
        <v>717705207525</v>
      </c>
      <c r="G162" s="10">
        <v>741697605394</v>
      </c>
      <c r="H162" s="10">
        <v>619059847913</v>
      </c>
      <c r="I162" s="10">
        <v>447120300479</v>
      </c>
      <c r="J162" s="10">
        <v>296530382670</v>
      </c>
      <c r="K162" s="10">
        <v>98645359612</v>
      </c>
      <c r="L162" s="10"/>
      <c r="M162" s="10">
        <v>1496503517434</v>
      </c>
      <c r="N162" s="10">
        <v>21235336170</v>
      </c>
      <c r="O162" s="10">
        <v>464531224042</v>
      </c>
      <c r="P162" s="10">
        <v>2.351213167635489</v>
      </c>
      <c r="Q162" s="10">
        <v>0</v>
      </c>
      <c r="R162" s="10" t="s">
        <v>239</v>
      </c>
      <c r="S162" s="10">
        <v>8.3532358849794805E-2</v>
      </c>
      <c r="T162" s="10">
        <v>0.25110032983289171</v>
      </c>
      <c r="U162" s="10">
        <v>5.2333102569735487E-2</v>
      </c>
      <c r="V162" s="10">
        <v>0.60283368481617727</v>
      </c>
    </row>
    <row r="163" spans="1:22" x14ac:dyDescent="0.3">
      <c r="A163" s="10" t="s">
        <v>69</v>
      </c>
      <c r="B163" s="10">
        <v>2024</v>
      </c>
      <c r="C163" s="10">
        <v>74284933640</v>
      </c>
      <c r="D163" s="10">
        <v>39628333779</v>
      </c>
      <c r="E163" s="10">
        <v>1194884596467</v>
      </c>
      <c r="F163" s="10">
        <v>731073673312</v>
      </c>
      <c r="G163" s="10">
        <v>769087477074</v>
      </c>
      <c r="H163" s="10">
        <v>658289194257</v>
      </c>
      <c r="I163" s="10">
        <v>433838172069</v>
      </c>
      <c r="J163" s="10">
        <v>281287173062</v>
      </c>
      <c r="K163" s="10">
        <v>72784479055</v>
      </c>
      <c r="L163" s="10"/>
      <c r="M163" s="10">
        <v>1434109952734</v>
      </c>
      <c r="N163" s="10">
        <v>18330954245</v>
      </c>
      <c r="O163" s="10">
        <v>443564084468</v>
      </c>
      <c r="P163" s="10">
        <v>2.1771027962474152</v>
      </c>
      <c r="Q163" s="10">
        <v>0</v>
      </c>
      <c r="R163" s="10" t="s">
        <v>239</v>
      </c>
      <c r="S163" s="10">
        <v>6.0913396381715043E-2</v>
      </c>
      <c r="T163" s="10">
        <v>0.2354094896642753</v>
      </c>
      <c r="U163" s="10">
        <v>6.216912818161982E-2</v>
      </c>
      <c r="V163" s="10">
        <v>0.56409470314032562</v>
      </c>
    </row>
    <row r="164" spans="1:22" x14ac:dyDescent="0.3">
      <c r="A164" s="10" t="s">
        <v>69</v>
      </c>
      <c r="B164" s="10">
        <v>2023</v>
      </c>
      <c r="C164" s="10">
        <v>62439421982</v>
      </c>
      <c r="D164" s="10">
        <v>33258423726</v>
      </c>
      <c r="E164" s="10">
        <v>1099372271721</v>
      </c>
      <c r="F164" s="10">
        <v>602491907656</v>
      </c>
      <c r="G164" s="10">
        <v>698132657837</v>
      </c>
      <c r="H164" s="10">
        <v>585937147498</v>
      </c>
      <c r="I164" s="10">
        <v>409292202374</v>
      </c>
      <c r="J164" s="10">
        <v>255066122169</v>
      </c>
      <c r="K164" s="10">
        <v>16554760158</v>
      </c>
      <c r="L164" s="10"/>
      <c r="M164" s="10">
        <v>1267990712443</v>
      </c>
      <c r="N164" s="10">
        <v>13637436328</v>
      </c>
      <c r="O164" s="10">
        <v>407477395057</v>
      </c>
      <c r="P164" s="10">
        <v>1.852384152073506</v>
      </c>
      <c r="Q164" s="10">
        <v>0</v>
      </c>
      <c r="R164" s="10" t="s">
        <v>239</v>
      </c>
      <c r="S164" s="10">
        <v>1.5058375205411119E-2</v>
      </c>
      <c r="T164" s="10">
        <v>0.23201069258342269</v>
      </c>
      <c r="U164" s="10">
        <v>5.6795521942949227E-2</v>
      </c>
      <c r="V164" s="10">
        <v>0.5862670909023161</v>
      </c>
    </row>
    <row r="165" spans="1:22" x14ac:dyDescent="0.3">
      <c r="A165" s="10" t="s">
        <v>69</v>
      </c>
      <c r="B165" s="10">
        <v>2022</v>
      </c>
      <c r="C165" s="10">
        <v>48625687571</v>
      </c>
      <c r="D165" s="10">
        <v>36395215912</v>
      </c>
      <c r="E165" s="10">
        <v>1094655889281</v>
      </c>
      <c r="F165" s="10">
        <v>593061478723</v>
      </c>
      <c r="G165" s="10">
        <v>703010035980</v>
      </c>
      <c r="H165" s="10">
        <v>590384060167</v>
      </c>
      <c r="I165" s="10">
        <v>399671544394</v>
      </c>
      <c r="J165" s="10">
        <v>232158160985</v>
      </c>
      <c r="K165" s="10">
        <v>2677418556</v>
      </c>
      <c r="L165" s="10"/>
      <c r="M165" s="10">
        <v>1109283319347</v>
      </c>
      <c r="N165" s="10">
        <v>207729560</v>
      </c>
      <c r="O165" s="10">
        <v>385055595911</v>
      </c>
      <c r="P165" s="10">
        <v>1.60288587362528</v>
      </c>
      <c r="Q165" s="10">
        <v>0</v>
      </c>
      <c r="R165" s="10" t="s">
        <v>239</v>
      </c>
      <c r="S165" s="10">
        <v>2.4458997409300938E-3</v>
      </c>
      <c r="T165" s="10">
        <v>0.21208323388045519</v>
      </c>
      <c r="U165" s="10">
        <v>4.4420980188521787E-2</v>
      </c>
      <c r="V165" s="10">
        <v>0.56851470667393189</v>
      </c>
    </row>
    <row r="166" spans="1:22" x14ac:dyDescent="0.3">
      <c r="A166" s="10" t="s">
        <v>70</v>
      </c>
      <c r="B166" s="10">
        <v>2025</v>
      </c>
      <c r="C166" s="10">
        <v>2831757000000</v>
      </c>
      <c r="D166" s="10">
        <v>278212000000</v>
      </c>
      <c r="E166" s="10">
        <v>75251653000000</v>
      </c>
      <c r="F166" s="10">
        <v>39438262000000</v>
      </c>
      <c r="G166" s="10">
        <v>12680816000000</v>
      </c>
      <c r="H166" s="10">
        <v>10724952000000</v>
      </c>
      <c r="I166" s="10">
        <v>62567714000000</v>
      </c>
      <c r="J166" s="10">
        <v>61385349000000</v>
      </c>
      <c r="K166" s="10">
        <v>28713310000000</v>
      </c>
      <c r="L166" s="10"/>
      <c r="M166" s="10">
        <v>89369758000000</v>
      </c>
      <c r="N166" s="10">
        <v>1556533000000</v>
      </c>
      <c r="O166" s="10">
        <v>761931000000</v>
      </c>
      <c r="P166" s="10">
        <v>10.59597634873246</v>
      </c>
      <c r="Q166" s="10">
        <v>0</v>
      </c>
      <c r="R166" s="10" t="s">
        <v>238</v>
      </c>
      <c r="S166" s="10">
        <v>0.38156384418558892</v>
      </c>
      <c r="T166" s="10">
        <v>0.81573422712721011</v>
      </c>
      <c r="U166" s="10">
        <v>3.7630495638414738E-2</v>
      </c>
      <c r="V166" s="10">
        <v>4.9340447807144274</v>
      </c>
    </row>
    <row r="167" spans="1:22" x14ac:dyDescent="0.3">
      <c r="A167" s="10" t="s">
        <v>70</v>
      </c>
      <c r="B167" s="10">
        <v>2024</v>
      </c>
      <c r="C167" s="10">
        <v>1903460000000</v>
      </c>
      <c r="D167" s="10">
        <v>502906000000</v>
      </c>
      <c r="E167" s="10">
        <v>84939276000000</v>
      </c>
      <c r="F167" s="10">
        <v>47590906000000</v>
      </c>
      <c r="G167" s="10">
        <v>23022685000000</v>
      </c>
      <c r="H167" s="10">
        <v>20824215000000</v>
      </c>
      <c r="I167" s="10">
        <v>61916521000000</v>
      </c>
      <c r="J167" s="10">
        <v>60734156000000</v>
      </c>
      <c r="K167" s="10">
        <v>26766691000000</v>
      </c>
      <c r="L167" s="10"/>
      <c r="M167" s="10">
        <v>98655483000000</v>
      </c>
      <c r="N167" s="10">
        <v>980805000000</v>
      </c>
      <c r="O167" s="10">
        <v>9375398000000</v>
      </c>
      <c r="P167" s="10">
        <v>7.3726658640682654</v>
      </c>
      <c r="Q167" s="10">
        <v>0</v>
      </c>
      <c r="R167" s="10" t="s">
        <v>238</v>
      </c>
      <c r="S167" s="10">
        <v>0.31512737405484831</v>
      </c>
      <c r="T167" s="10">
        <v>0.7150302999992606</v>
      </c>
      <c r="U167" s="10">
        <v>2.2409656517439591E-2</v>
      </c>
      <c r="V167" s="10">
        <v>2.689370114736835</v>
      </c>
    </row>
    <row r="168" spans="1:22" x14ac:dyDescent="0.3">
      <c r="A168" s="10" t="s">
        <v>70</v>
      </c>
      <c r="B168" s="10">
        <v>2023</v>
      </c>
      <c r="C168" s="10">
        <v>7439598000000</v>
      </c>
      <c r="D168" s="10">
        <v>578782000000</v>
      </c>
      <c r="E168" s="10">
        <v>92450823000000</v>
      </c>
      <c r="F168" s="10">
        <v>54115182000000</v>
      </c>
      <c r="G168" s="10">
        <v>31587980000000</v>
      </c>
      <c r="H168" s="10">
        <v>29536433000000</v>
      </c>
      <c r="I168" s="10">
        <v>60862772000000</v>
      </c>
      <c r="J168" s="10">
        <v>59680407000000</v>
      </c>
      <c r="K168" s="10">
        <v>24578749000000</v>
      </c>
      <c r="L168" s="10"/>
      <c r="M168" s="10">
        <v>118952997000000</v>
      </c>
      <c r="N168" s="10">
        <v>5324514000000</v>
      </c>
      <c r="O168" s="10">
        <v>13395817000000</v>
      </c>
      <c r="P168" s="10">
        <v>6.4123481515472802</v>
      </c>
      <c r="Q168" s="10">
        <v>0</v>
      </c>
      <c r="R168" s="10" t="s">
        <v>238</v>
      </c>
      <c r="S168" s="10">
        <v>0.2658575467738129</v>
      </c>
      <c r="T168" s="10">
        <v>0.64553678445891172</v>
      </c>
      <c r="U168" s="10">
        <v>8.0470868279885407E-2</v>
      </c>
      <c r="V168" s="10">
        <v>1.9267699928897</v>
      </c>
    </row>
    <row r="169" spans="1:22" x14ac:dyDescent="0.3">
      <c r="A169" s="10" t="s">
        <v>70</v>
      </c>
      <c r="B169" s="10">
        <v>2022</v>
      </c>
      <c r="C169" s="10">
        <v>3908926000000</v>
      </c>
      <c r="D169" s="10">
        <v>262405000000</v>
      </c>
      <c r="E169" s="10">
        <v>88562617000000</v>
      </c>
      <c r="F169" s="10">
        <v>55445127000000</v>
      </c>
      <c r="G169" s="10">
        <v>30706651000000</v>
      </c>
      <c r="H169" s="10">
        <v>29125010000000</v>
      </c>
      <c r="I169" s="10">
        <v>57855897000000</v>
      </c>
      <c r="J169" s="10">
        <v>56673532000000</v>
      </c>
      <c r="K169" s="10">
        <v>26320117000000</v>
      </c>
      <c r="L169" s="10"/>
      <c r="M169" s="10">
        <v>124682692000000</v>
      </c>
      <c r="N169" s="10">
        <v>2779739000000</v>
      </c>
      <c r="O169" s="10">
        <v>10136469000000</v>
      </c>
      <c r="P169" s="10">
        <v>6.3106994970235224</v>
      </c>
      <c r="Q169" s="10">
        <v>0</v>
      </c>
      <c r="R169" s="10" t="s">
        <v>238</v>
      </c>
      <c r="S169" s="10">
        <v>0.29719217759791361</v>
      </c>
      <c r="T169" s="10">
        <v>0.63992612142434768</v>
      </c>
      <c r="U169" s="10">
        <v>4.4137426517104839E-2</v>
      </c>
      <c r="V169" s="10">
        <v>1.884148714231324</v>
      </c>
    </row>
    <row r="170" spans="1:22" x14ac:dyDescent="0.3">
      <c r="A170" s="10" t="s">
        <v>71</v>
      </c>
      <c r="B170" s="10">
        <v>2025</v>
      </c>
      <c r="C170" s="10">
        <v>-44492863</v>
      </c>
      <c r="D170" s="10">
        <v>3456448</v>
      </c>
      <c r="E170" s="10">
        <v>724626441</v>
      </c>
      <c r="F170" s="10">
        <v>182674289</v>
      </c>
      <c r="G170" s="10">
        <v>71131262</v>
      </c>
      <c r="H170" s="10">
        <v>38277658</v>
      </c>
      <c r="I170" s="10">
        <v>653495179</v>
      </c>
      <c r="J170" s="10">
        <v>254280007</v>
      </c>
      <c r="K170" s="10">
        <v>144396631</v>
      </c>
      <c r="L170" s="10"/>
      <c r="M170" s="10">
        <v>187351680</v>
      </c>
      <c r="N170" s="10">
        <v>-36836112</v>
      </c>
      <c r="O170" s="10">
        <v>30185824</v>
      </c>
      <c r="P170" s="10">
        <v>11.68510252021699</v>
      </c>
      <c r="Q170" s="10">
        <v>0</v>
      </c>
      <c r="R170" s="10" t="s">
        <v>238</v>
      </c>
      <c r="S170" s="10">
        <v>0.19927044174751549</v>
      </c>
      <c r="T170" s="10">
        <v>0.3509118528011318</v>
      </c>
      <c r="U170" s="10">
        <v>-6.1401103358302657E-2</v>
      </c>
      <c r="V170" s="10">
        <v>9.1871725683708529</v>
      </c>
    </row>
    <row r="171" spans="1:22" x14ac:dyDescent="0.3">
      <c r="A171" s="10" t="s">
        <v>71</v>
      </c>
      <c r="B171" s="10">
        <v>2024</v>
      </c>
      <c r="C171" s="10">
        <v>23416781</v>
      </c>
      <c r="D171" s="10">
        <v>5417796</v>
      </c>
      <c r="E171" s="10">
        <v>792729173</v>
      </c>
      <c r="F171" s="10">
        <v>237413511</v>
      </c>
      <c r="G171" s="10">
        <v>102208206</v>
      </c>
      <c r="H171" s="10">
        <v>67689092</v>
      </c>
      <c r="I171" s="10">
        <v>690520967</v>
      </c>
      <c r="J171" s="10">
        <v>291116119</v>
      </c>
      <c r="K171" s="10">
        <v>169724419</v>
      </c>
      <c r="L171" s="10"/>
      <c r="M171" s="10">
        <v>351799326</v>
      </c>
      <c r="N171" s="10">
        <v>122279248</v>
      </c>
      <c r="O171" s="10">
        <v>46996323</v>
      </c>
      <c r="P171" s="10">
        <v>9.8940129016238494</v>
      </c>
      <c r="Q171" s="10">
        <v>0</v>
      </c>
      <c r="R171" s="10" t="s">
        <v>238</v>
      </c>
      <c r="S171" s="10">
        <v>0.2141013914723181</v>
      </c>
      <c r="T171" s="10">
        <v>0.36723275604744271</v>
      </c>
      <c r="U171" s="10">
        <v>2.9539446506530929E-2</v>
      </c>
      <c r="V171" s="10">
        <v>6.7560227698351341</v>
      </c>
    </row>
    <row r="172" spans="1:22" x14ac:dyDescent="0.3">
      <c r="A172" s="10" t="s">
        <v>71</v>
      </c>
      <c r="B172" s="10">
        <v>2023</v>
      </c>
      <c r="C172" s="10">
        <v>19360623</v>
      </c>
      <c r="D172" s="10">
        <v>7702754</v>
      </c>
      <c r="E172" s="10">
        <v>1228574394</v>
      </c>
      <c r="F172" s="10">
        <v>355916500</v>
      </c>
      <c r="G172" s="10">
        <v>304123933</v>
      </c>
      <c r="H172" s="10">
        <v>217322064</v>
      </c>
      <c r="I172" s="10">
        <v>843562894</v>
      </c>
      <c r="J172" s="10">
        <v>168836871</v>
      </c>
      <c r="K172" s="10">
        <v>138594436</v>
      </c>
      <c r="L172" s="10"/>
      <c r="M172" s="10">
        <v>463873187</v>
      </c>
      <c r="N172" s="10">
        <v>37270196</v>
      </c>
      <c r="O172" s="10">
        <v>125983917</v>
      </c>
      <c r="P172" s="10">
        <v>4.2063659948456653</v>
      </c>
      <c r="Q172" s="10">
        <v>0</v>
      </c>
      <c r="R172" s="10" t="s">
        <v>238</v>
      </c>
      <c r="S172" s="10">
        <v>0.1128091523613506</v>
      </c>
      <c r="T172" s="10">
        <v>0.13742502841061169</v>
      </c>
      <c r="U172" s="10">
        <v>1.5758608591023592E-2</v>
      </c>
      <c r="V172" s="10">
        <v>2.7737471552427939</v>
      </c>
    </row>
    <row r="173" spans="1:22" x14ac:dyDescent="0.3">
      <c r="A173" s="10" t="s">
        <v>71</v>
      </c>
      <c r="B173" s="10">
        <v>2022</v>
      </c>
      <c r="C173" s="10">
        <v>85399038</v>
      </c>
      <c r="D173" s="10">
        <v>10997974</v>
      </c>
      <c r="E173" s="10">
        <v>1186322555</v>
      </c>
      <c r="F173" s="10">
        <v>386729154</v>
      </c>
      <c r="G173" s="10">
        <v>380103825</v>
      </c>
      <c r="H173" s="10">
        <v>265334188</v>
      </c>
      <c r="I173" s="10">
        <v>806218730</v>
      </c>
      <c r="J173" s="10">
        <v>132566675</v>
      </c>
      <c r="K173" s="10">
        <v>121394966</v>
      </c>
      <c r="L173" s="10"/>
      <c r="M173" s="10">
        <v>945497149</v>
      </c>
      <c r="N173" s="10">
        <v>58400098</v>
      </c>
      <c r="O173" s="10">
        <v>194926018</v>
      </c>
      <c r="P173" s="10">
        <v>3.7464180233749942</v>
      </c>
      <c r="Q173" s="10">
        <v>0</v>
      </c>
      <c r="R173" s="10" t="s">
        <v>238</v>
      </c>
      <c r="S173" s="10">
        <v>0.10232880213594189</v>
      </c>
      <c r="T173" s="10">
        <v>0.11174589443762201</v>
      </c>
      <c r="U173" s="10">
        <v>7.1986356189611522E-2</v>
      </c>
      <c r="V173" s="10">
        <v>2.1210487160975031</v>
      </c>
    </row>
    <row r="174" spans="1:22" x14ac:dyDescent="0.3">
      <c r="A174" s="10" t="s">
        <v>72</v>
      </c>
      <c r="B174" s="10">
        <v>2025</v>
      </c>
      <c r="C174" s="10">
        <v>2042614000000</v>
      </c>
      <c r="D174" s="10">
        <v>415519000000</v>
      </c>
      <c r="E174" s="10">
        <v>21670885000000</v>
      </c>
      <c r="F174" s="10">
        <v>8790954000000</v>
      </c>
      <c r="G174" s="10">
        <v>11212871000000</v>
      </c>
      <c r="H174" s="10">
        <v>5312143000000</v>
      </c>
      <c r="I174" s="10">
        <v>10458014000000</v>
      </c>
      <c r="J174" s="10">
        <v>8147568000000</v>
      </c>
      <c r="K174" s="10">
        <v>3478811000000</v>
      </c>
      <c r="L174" s="10"/>
      <c r="M174" s="10">
        <v>17664196000000</v>
      </c>
      <c r="N174" s="10">
        <v>1243223000000</v>
      </c>
      <c r="O174" s="10">
        <v>5205695000000</v>
      </c>
      <c r="P174" s="10">
        <v>3.891443554477874</v>
      </c>
      <c r="Q174" s="10">
        <v>0</v>
      </c>
      <c r="R174" s="10" t="s">
        <v>238</v>
      </c>
      <c r="S174" s="10">
        <v>0.16052925388141739</v>
      </c>
      <c r="T174" s="10">
        <v>0.37596840184422559</v>
      </c>
      <c r="U174" s="10">
        <v>9.4256141362016363E-2</v>
      </c>
      <c r="V174" s="10">
        <v>0.93267941814366717</v>
      </c>
    </row>
    <row r="175" spans="1:22" x14ac:dyDescent="0.3">
      <c r="A175" s="10" t="s">
        <v>72</v>
      </c>
      <c r="B175" s="10">
        <v>2024</v>
      </c>
      <c r="C175" s="10">
        <v>2204890000000</v>
      </c>
      <c r="D175" s="10">
        <v>644767000000</v>
      </c>
      <c r="E175" s="10">
        <v>20563695000000</v>
      </c>
      <c r="F175" s="10">
        <v>9346553000000</v>
      </c>
      <c r="G175" s="10">
        <v>11107152000000</v>
      </c>
      <c r="H175" s="10">
        <v>8038028000000</v>
      </c>
      <c r="I175" s="10">
        <v>9456543000000</v>
      </c>
      <c r="J175" s="10">
        <v>7103565000000</v>
      </c>
      <c r="K175" s="10">
        <v>1308525000000</v>
      </c>
      <c r="L175" s="10"/>
      <c r="M175" s="10">
        <v>18029150000000</v>
      </c>
      <c r="N175" s="10">
        <v>1186922000000</v>
      </c>
      <c r="O175" s="10">
        <v>5092947000000</v>
      </c>
      <c r="P175" s="10">
        <v>3.1580688939782382</v>
      </c>
      <c r="Q175" s="10">
        <v>0</v>
      </c>
      <c r="R175" s="10" t="s">
        <v>238</v>
      </c>
      <c r="S175" s="10">
        <v>6.3632776113436818E-2</v>
      </c>
      <c r="T175" s="10">
        <v>0.34544205212146939</v>
      </c>
      <c r="U175" s="10">
        <v>0.1072224617219814</v>
      </c>
      <c r="V175" s="10">
        <v>0.85139223808227349</v>
      </c>
    </row>
    <row r="176" spans="1:22" x14ac:dyDescent="0.3">
      <c r="A176" s="10" t="s">
        <v>72</v>
      </c>
      <c r="B176" s="10">
        <v>2023</v>
      </c>
      <c r="C176" s="10">
        <v>2168511000000</v>
      </c>
      <c r="D176" s="10">
        <v>632774000000</v>
      </c>
      <c r="E176" s="10">
        <v>18975738000000</v>
      </c>
      <c r="F176" s="10">
        <v>8508113000000</v>
      </c>
      <c r="G176" s="10">
        <v>10623835000000</v>
      </c>
      <c r="H176" s="10">
        <v>4590964000000</v>
      </c>
      <c r="I176" s="10">
        <v>8351903000000</v>
      </c>
      <c r="J176" s="10">
        <v>6115863000000</v>
      </c>
      <c r="K176" s="10">
        <v>3917149000000</v>
      </c>
      <c r="L176" s="10"/>
      <c r="M176" s="10">
        <v>16970663000000</v>
      </c>
      <c r="N176" s="10">
        <v>1181200000000</v>
      </c>
      <c r="O176" s="10">
        <v>4971724000000</v>
      </c>
      <c r="P176" s="10">
        <v>3.9982752354067839</v>
      </c>
      <c r="Q176" s="10">
        <v>0</v>
      </c>
      <c r="R176" s="10" t="s">
        <v>238</v>
      </c>
      <c r="S176" s="10">
        <v>0.20642933623978149</v>
      </c>
      <c r="T176" s="10">
        <v>0.32229908528458812</v>
      </c>
      <c r="U176" s="10">
        <v>0.1142780849946389</v>
      </c>
      <c r="V176" s="10">
        <v>0.78614765760198646</v>
      </c>
    </row>
    <row r="177" spans="1:22" x14ac:dyDescent="0.3">
      <c r="A177" s="10" t="s">
        <v>72</v>
      </c>
      <c r="B177" s="10">
        <v>2022</v>
      </c>
      <c r="C177" s="10">
        <v>394391000000</v>
      </c>
      <c r="D177" s="10">
        <v>582681000000</v>
      </c>
      <c r="E177" s="10">
        <v>19016012000000</v>
      </c>
      <c r="F177" s="10">
        <v>8902756000000</v>
      </c>
      <c r="G177" s="10">
        <v>11790337000000</v>
      </c>
      <c r="H177" s="10">
        <v>5344228000000</v>
      </c>
      <c r="I177" s="10">
        <v>7237968000000</v>
      </c>
      <c r="J177" s="10">
        <v>4933513000000</v>
      </c>
      <c r="K177" s="10">
        <v>3558528000000</v>
      </c>
      <c r="L177" s="10"/>
      <c r="M177" s="10">
        <v>17170492000000</v>
      </c>
      <c r="N177" s="10">
        <v>-181389000000</v>
      </c>
      <c r="O177" s="10">
        <v>5870681000000</v>
      </c>
      <c r="P177" s="10">
        <v>2.8573250170608708</v>
      </c>
      <c r="Q177" s="10">
        <v>0</v>
      </c>
      <c r="R177" s="10" t="s">
        <v>238</v>
      </c>
      <c r="S177" s="10">
        <v>0.18713324328991801</v>
      </c>
      <c r="T177" s="10">
        <v>0.25943993935216281</v>
      </c>
      <c r="U177" s="10">
        <v>2.0739942738782449E-2</v>
      </c>
      <c r="V177" s="10">
        <v>0.61388983198699065</v>
      </c>
    </row>
    <row r="178" spans="1:22" x14ac:dyDescent="0.3">
      <c r="A178" s="10" t="s">
        <v>74</v>
      </c>
      <c r="B178" s="10">
        <v>2025</v>
      </c>
      <c r="C178" s="10">
        <v>1109497246002</v>
      </c>
      <c r="D178" s="10">
        <v>155756654656</v>
      </c>
      <c r="E178" s="10">
        <v>9333162124802</v>
      </c>
      <c r="F178" s="10">
        <v>4102027649070</v>
      </c>
      <c r="G178" s="10">
        <v>4973032837569</v>
      </c>
      <c r="H178" s="10">
        <v>2981386517184</v>
      </c>
      <c r="I178" s="10">
        <v>3953302772297</v>
      </c>
      <c r="J178" s="10">
        <v>2596479412034</v>
      </c>
      <c r="K178" s="10">
        <v>1120641131886</v>
      </c>
      <c r="L178" s="10"/>
      <c r="M178" s="10">
        <v>13119632631326</v>
      </c>
      <c r="N178" s="10">
        <v>688650503307</v>
      </c>
      <c r="O178" s="10">
        <v>2213432503570</v>
      </c>
      <c r="P178" s="10">
        <v>3.3281430023084062</v>
      </c>
      <c r="Q178" s="10">
        <v>0</v>
      </c>
      <c r="R178" s="10" t="s">
        <v>238</v>
      </c>
      <c r="S178" s="10">
        <v>0.1200708952551035</v>
      </c>
      <c r="T178" s="10">
        <v>0.27819932594271563</v>
      </c>
      <c r="U178" s="10">
        <v>0.1188768855791774</v>
      </c>
      <c r="V178" s="10">
        <v>0.79494805311390604</v>
      </c>
    </row>
    <row r="179" spans="1:22" x14ac:dyDescent="0.3">
      <c r="A179" s="10" t="s">
        <v>74</v>
      </c>
      <c r="B179" s="10">
        <v>2024</v>
      </c>
      <c r="C179" s="10">
        <v>1042079454073</v>
      </c>
      <c r="D179" s="10">
        <v>183200444803</v>
      </c>
      <c r="E179" s="10">
        <v>8431726766692</v>
      </c>
      <c r="F179" s="10">
        <v>3629900334132</v>
      </c>
      <c r="G179" s="10">
        <v>4425889971924</v>
      </c>
      <c r="H179" s="10">
        <v>2652170175224</v>
      </c>
      <c r="I179" s="10">
        <v>3633365819826</v>
      </c>
      <c r="J179" s="10">
        <v>2260166116850</v>
      </c>
      <c r="K179" s="10">
        <v>977730158908</v>
      </c>
      <c r="L179" s="10"/>
      <c r="M179" s="10">
        <v>12235369422252</v>
      </c>
      <c r="N179" s="10">
        <v>624470577279</v>
      </c>
      <c r="O179" s="10">
        <v>2022922867963</v>
      </c>
      <c r="P179" s="10">
        <v>3.3270546301535782</v>
      </c>
      <c r="Q179" s="10">
        <v>0</v>
      </c>
      <c r="R179" s="10" t="s">
        <v>238</v>
      </c>
      <c r="S179" s="10">
        <v>0.1159584727970959</v>
      </c>
      <c r="T179" s="10">
        <v>0.26805495237089211</v>
      </c>
      <c r="U179" s="10">
        <v>0.12359027787635921</v>
      </c>
      <c r="V179" s="10">
        <v>0.82093451099655823</v>
      </c>
    </row>
    <row r="180" spans="1:22" x14ac:dyDescent="0.3">
      <c r="A180" s="10" t="s">
        <v>74</v>
      </c>
      <c r="B180" s="10">
        <v>2023</v>
      </c>
      <c r="C180" s="10">
        <v>948920548404</v>
      </c>
      <c r="D180" s="10">
        <v>165903919856</v>
      </c>
      <c r="E180" s="10">
        <v>7427707902688</v>
      </c>
      <c r="F180" s="10">
        <v>3325304800609</v>
      </c>
      <c r="G180" s="10">
        <v>3518496516469</v>
      </c>
      <c r="H180" s="10">
        <v>1872541607518</v>
      </c>
      <c r="I180" s="10">
        <v>3433755441728</v>
      </c>
      <c r="J180" s="10">
        <v>1970611813166</v>
      </c>
      <c r="K180" s="10">
        <v>1452763193091</v>
      </c>
      <c r="L180" s="10"/>
      <c r="M180" s="10">
        <v>10543572559649</v>
      </c>
      <c r="N180" s="10">
        <v>580412724554</v>
      </c>
      <c r="O180" s="10">
        <v>1914930805687</v>
      </c>
      <c r="P180" s="10">
        <v>4.0311659953720387</v>
      </c>
      <c r="Q180" s="10">
        <v>0</v>
      </c>
      <c r="R180" s="10" t="s">
        <v>238</v>
      </c>
      <c r="S180" s="10">
        <v>0.19558701178398011</v>
      </c>
      <c r="T180" s="10">
        <v>0.26530550729557623</v>
      </c>
      <c r="U180" s="10">
        <v>0.1277541552301211</v>
      </c>
      <c r="V180" s="10">
        <v>0.97591554394203517</v>
      </c>
    </row>
    <row r="181" spans="1:22" x14ac:dyDescent="0.3">
      <c r="A181" s="10" t="s">
        <v>74</v>
      </c>
      <c r="B181" s="10">
        <v>2022</v>
      </c>
      <c r="C181" s="10">
        <v>830934107818</v>
      </c>
      <c r="D181" s="10">
        <v>156682643155</v>
      </c>
      <c r="E181" s="10">
        <v>7327371934290</v>
      </c>
      <c r="F181" s="10">
        <v>3194327374948</v>
      </c>
      <c r="G181" s="10">
        <v>3975927432106</v>
      </c>
      <c r="H181" s="10">
        <v>1835096804319</v>
      </c>
      <c r="I181" s="10">
        <v>2848755782556</v>
      </c>
      <c r="J181" s="10">
        <v>1614260960871</v>
      </c>
      <c r="K181" s="10">
        <v>1359230570629</v>
      </c>
      <c r="L181" s="10"/>
      <c r="M181" s="10">
        <v>10510942813705</v>
      </c>
      <c r="N181" s="10">
        <v>425208267424</v>
      </c>
      <c r="O181" s="10">
        <v>2319470348063</v>
      </c>
      <c r="P181" s="10">
        <v>3.4494622501909551</v>
      </c>
      <c r="Q181" s="10">
        <v>0</v>
      </c>
      <c r="R181" s="10" t="s">
        <v>238</v>
      </c>
      <c r="S181" s="10">
        <v>0.18550041990746921</v>
      </c>
      <c r="T181" s="10">
        <v>0.2203055850511316</v>
      </c>
      <c r="U181" s="10">
        <v>0.1134013825515621</v>
      </c>
      <c r="V181" s="10">
        <v>0.71650095008073345</v>
      </c>
    </row>
    <row r="182" spans="1:22" x14ac:dyDescent="0.3">
      <c r="A182" s="10" t="s">
        <v>76</v>
      </c>
      <c r="B182" s="10">
        <v>2025</v>
      </c>
      <c r="C182" s="10">
        <v>9453935000000</v>
      </c>
      <c r="D182" s="10">
        <v>27848000000</v>
      </c>
      <c r="E182" s="10">
        <v>51562512000000</v>
      </c>
      <c r="F182" s="10">
        <v>36362100000000</v>
      </c>
      <c r="G182" s="10">
        <v>23211748000000</v>
      </c>
      <c r="H182" s="10">
        <v>20628207000000</v>
      </c>
      <c r="I182" s="10">
        <v>28350764000000</v>
      </c>
      <c r="J182" s="10">
        <v>6551839000000</v>
      </c>
      <c r="K182" s="10">
        <v>15733893000000</v>
      </c>
      <c r="L182" s="10"/>
      <c r="M182" s="10">
        <v>112171993000000</v>
      </c>
      <c r="N182" s="10">
        <v>6609456000000</v>
      </c>
      <c r="O182" s="10">
        <v>342871000000</v>
      </c>
      <c r="P182" s="10">
        <v>4.9305394500075437</v>
      </c>
      <c r="Q182" s="10">
        <v>0</v>
      </c>
      <c r="R182" s="10" t="s">
        <v>238</v>
      </c>
      <c r="S182" s="10">
        <v>0.30514209625783939</v>
      </c>
      <c r="T182" s="10">
        <v>0.12706593891313911</v>
      </c>
      <c r="U182" s="10">
        <v>0.18334899975392979</v>
      </c>
      <c r="V182" s="10">
        <v>1.221397199383691</v>
      </c>
    </row>
    <row r="183" spans="1:22" x14ac:dyDescent="0.3">
      <c r="A183" s="10" t="s">
        <v>76</v>
      </c>
      <c r="B183" s="10">
        <v>2024</v>
      </c>
      <c r="C183" s="10">
        <v>8713117000000</v>
      </c>
      <c r="D183" s="10">
        <v>27500000000</v>
      </c>
      <c r="E183" s="10">
        <v>54290706000000</v>
      </c>
      <c r="F183" s="10">
        <v>38517929000000</v>
      </c>
      <c r="G183" s="10">
        <v>25934279000000</v>
      </c>
      <c r="H183" s="10">
        <v>23669887000000</v>
      </c>
      <c r="I183" s="10">
        <v>28356427000000</v>
      </c>
      <c r="J183" s="10">
        <v>6543087000000</v>
      </c>
      <c r="K183" s="10">
        <v>14848042000000</v>
      </c>
      <c r="L183" s="10"/>
      <c r="M183" s="10">
        <v>117880017000000</v>
      </c>
      <c r="N183" s="10">
        <v>6645774000000</v>
      </c>
      <c r="O183" s="10">
        <v>378460000000</v>
      </c>
      <c r="P183" s="10">
        <v>4.413555542791876</v>
      </c>
      <c r="Q183" s="10">
        <v>0</v>
      </c>
      <c r="R183" s="10" t="s">
        <v>238</v>
      </c>
      <c r="S183" s="10">
        <v>0.27349141490258022</v>
      </c>
      <c r="T183" s="10">
        <v>0.12051946791776851</v>
      </c>
      <c r="U183" s="10">
        <v>0.16049002936156331</v>
      </c>
      <c r="V183" s="10">
        <v>1.093395617437446</v>
      </c>
    </row>
    <row r="184" spans="1:22" x14ac:dyDescent="0.3">
      <c r="A184" s="10" t="s">
        <v>76</v>
      </c>
      <c r="B184" s="10">
        <v>2023</v>
      </c>
      <c r="C184" s="10">
        <v>10335945000000</v>
      </c>
      <c r="D184" s="10">
        <v>24732000000</v>
      </c>
      <c r="E184" s="10">
        <v>55316264000000</v>
      </c>
      <c r="F184" s="10">
        <v>40066044000000</v>
      </c>
      <c r="G184" s="10">
        <v>25446411000000</v>
      </c>
      <c r="H184" s="10">
        <v>23302684000000</v>
      </c>
      <c r="I184" s="10">
        <v>29869853000000</v>
      </c>
      <c r="J184" s="10">
        <v>8071928000000</v>
      </c>
      <c r="K184" s="10">
        <v>16763360000000</v>
      </c>
      <c r="L184" s="10"/>
      <c r="M184" s="10">
        <v>115983384000000</v>
      </c>
      <c r="N184" s="10">
        <v>8096811000000</v>
      </c>
      <c r="O184" s="10">
        <v>445289000000</v>
      </c>
      <c r="P184" s="10">
        <v>4.9518595979283324</v>
      </c>
      <c r="Q184" s="10">
        <v>0</v>
      </c>
      <c r="R184" s="10" t="s">
        <v>238</v>
      </c>
      <c r="S184" s="10">
        <v>0.303045773300959</v>
      </c>
      <c r="T184" s="10">
        <v>0.14592323154723541</v>
      </c>
      <c r="U184" s="10">
        <v>0.1868518271588262</v>
      </c>
      <c r="V184" s="10">
        <v>1.173833630212135</v>
      </c>
    </row>
    <row r="185" spans="1:22" x14ac:dyDescent="0.3">
      <c r="A185" s="10" t="s">
        <v>76</v>
      </c>
      <c r="B185" s="10">
        <v>2022</v>
      </c>
      <c r="C185" s="10">
        <v>8295105000000</v>
      </c>
      <c r="D185" s="10">
        <v>22046000000</v>
      </c>
      <c r="E185" s="10">
        <v>54786992000000</v>
      </c>
      <c r="F185" s="10">
        <v>41362998000000</v>
      </c>
      <c r="G185" s="10">
        <v>26616824000000</v>
      </c>
      <c r="H185" s="10">
        <v>24545594000000</v>
      </c>
      <c r="I185" s="10">
        <v>28170168000000</v>
      </c>
      <c r="J185" s="10">
        <v>6370419000000</v>
      </c>
      <c r="K185" s="10">
        <v>16817404000000</v>
      </c>
      <c r="L185" s="10"/>
      <c r="M185" s="10">
        <v>111211321000000</v>
      </c>
      <c r="N185" s="10">
        <v>6323744000000</v>
      </c>
      <c r="O185" s="10">
        <v>484627000000</v>
      </c>
      <c r="P185" s="10">
        <v>4.5214453596032902</v>
      </c>
      <c r="Q185" s="10">
        <v>0</v>
      </c>
      <c r="R185" s="10" t="s">
        <v>238</v>
      </c>
      <c r="S185" s="10">
        <v>0.30695979804841272</v>
      </c>
      <c r="T185" s="10">
        <v>0.11627612262414409</v>
      </c>
      <c r="U185" s="10">
        <v>0.15140646889320011</v>
      </c>
      <c r="V185" s="10">
        <v>1.0583594797035141</v>
      </c>
    </row>
    <row r="186" spans="1:22" x14ac:dyDescent="0.3">
      <c r="A186" s="10" t="s">
        <v>77</v>
      </c>
      <c r="B186" s="10">
        <v>2025</v>
      </c>
      <c r="C186" s="10">
        <v>-9829265938</v>
      </c>
      <c r="D186" s="10">
        <v>24286948743</v>
      </c>
      <c r="E186" s="10">
        <v>989189108533</v>
      </c>
      <c r="F186" s="10">
        <v>620780126328</v>
      </c>
      <c r="G186" s="10">
        <v>387130959100</v>
      </c>
      <c r="H186" s="10">
        <v>353841911808</v>
      </c>
      <c r="I186" s="10">
        <v>591169957197</v>
      </c>
      <c r="J186" s="10">
        <v>198837054145</v>
      </c>
      <c r="K186" s="10">
        <v>266938214520</v>
      </c>
      <c r="L186" s="10"/>
      <c r="M186" s="10">
        <v>1211043057867</v>
      </c>
      <c r="N186" s="10">
        <v>-34242899318</v>
      </c>
      <c r="O186" s="10">
        <v>345161106047</v>
      </c>
      <c r="P186" s="10">
        <v>3.96217814690959</v>
      </c>
      <c r="Q186" s="10">
        <v>0</v>
      </c>
      <c r="R186" s="10" t="s">
        <v>238</v>
      </c>
      <c r="S186" s="10">
        <v>0.26985559405913612</v>
      </c>
      <c r="T186" s="10">
        <v>0.2010101530938628</v>
      </c>
      <c r="U186" s="10">
        <v>-9.9366904196682114E-3</v>
      </c>
      <c r="V186" s="10">
        <v>1.527054200396033</v>
      </c>
    </row>
    <row r="187" spans="1:22" x14ac:dyDescent="0.3">
      <c r="A187" s="10" t="s">
        <v>77</v>
      </c>
      <c r="B187" s="10">
        <v>2024</v>
      </c>
      <c r="C187" s="10">
        <v>23222329051</v>
      </c>
      <c r="D187" s="10">
        <v>27807426863</v>
      </c>
      <c r="E187" s="10">
        <v>1124071397658</v>
      </c>
      <c r="F187" s="10">
        <v>730730404531</v>
      </c>
      <c r="G187" s="10">
        <v>476342774032</v>
      </c>
      <c r="H187" s="10">
        <v>432851967189</v>
      </c>
      <c r="I187" s="10">
        <v>636204462250</v>
      </c>
      <c r="J187" s="10">
        <v>243921559198</v>
      </c>
      <c r="K187" s="10">
        <v>297878437342</v>
      </c>
      <c r="L187" s="10"/>
      <c r="M187" s="10">
        <v>1298675060004</v>
      </c>
      <c r="N187" s="10">
        <v>-3000946555</v>
      </c>
      <c r="O187" s="10">
        <v>407483826722</v>
      </c>
      <c r="P187" s="10">
        <v>3.987023198785296</v>
      </c>
      <c r="Q187" s="10">
        <v>0</v>
      </c>
      <c r="R187" s="10" t="s">
        <v>238</v>
      </c>
      <c r="S187" s="10">
        <v>0.26499957027874649</v>
      </c>
      <c r="T187" s="10">
        <v>0.21699827938528629</v>
      </c>
      <c r="U187" s="10">
        <v>2.0659122809621941E-2</v>
      </c>
      <c r="V187" s="10">
        <v>1.3356022111238339</v>
      </c>
    </row>
    <row r="188" spans="1:22" x14ac:dyDescent="0.3">
      <c r="A188" s="10" t="s">
        <v>77</v>
      </c>
      <c r="B188" s="10">
        <v>2023</v>
      </c>
      <c r="C188" s="10">
        <v>13897273768</v>
      </c>
      <c r="D188" s="10">
        <v>16209563554</v>
      </c>
      <c r="E188" s="10">
        <v>1046190979746</v>
      </c>
      <c r="F188" s="10">
        <v>637958259902</v>
      </c>
      <c r="G188" s="10">
        <v>384617373377</v>
      </c>
      <c r="H188" s="10">
        <v>364553821477</v>
      </c>
      <c r="I188" s="10">
        <v>660118944912</v>
      </c>
      <c r="J188" s="10">
        <v>254731759666</v>
      </c>
      <c r="K188" s="10">
        <v>273404438425</v>
      </c>
      <c r="L188" s="10"/>
      <c r="M188" s="10">
        <v>1284510497729</v>
      </c>
      <c r="N188" s="10">
        <v>-1465736323</v>
      </c>
      <c r="O188" s="10">
        <v>293918494103</v>
      </c>
      <c r="P188" s="10">
        <v>4.3994885242507049</v>
      </c>
      <c r="Q188" s="10">
        <v>0</v>
      </c>
      <c r="R188" s="10" t="s">
        <v>238</v>
      </c>
      <c r="S188" s="10">
        <v>0.26133320179397712</v>
      </c>
      <c r="T188" s="10">
        <v>0.2434849512159292</v>
      </c>
      <c r="U188" s="10">
        <v>1.3283687239756221E-2</v>
      </c>
      <c r="V188" s="10">
        <v>1.7163003821591669</v>
      </c>
    </row>
    <row r="189" spans="1:22" x14ac:dyDescent="0.3">
      <c r="A189" s="10" t="s">
        <v>77</v>
      </c>
      <c r="B189" s="10">
        <v>2022</v>
      </c>
      <c r="C189" s="10">
        <v>21875976950</v>
      </c>
      <c r="D189" s="10">
        <v>21213995865</v>
      </c>
      <c r="E189" s="10">
        <v>811603660216</v>
      </c>
      <c r="F189" s="10">
        <v>389697575028</v>
      </c>
      <c r="G189" s="10">
        <v>142744113133</v>
      </c>
      <c r="H189" s="10">
        <v>119206775342</v>
      </c>
      <c r="I189" s="10">
        <v>670666799840</v>
      </c>
      <c r="J189" s="10">
        <v>265931060025</v>
      </c>
      <c r="K189" s="10">
        <v>270490799686</v>
      </c>
      <c r="L189" s="10"/>
      <c r="M189" s="10">
        <v>925708985640</v>
      </c>
      <c r="N189" s="10">
        <v>1797143563</v>
      </c>
      <c r="O189" s="10">
        <v>104115762043</v>
      </c>
      <c r="P189" s="10">
        <v>8.3689238788389027</v>
      </c>
      <c r="Q189" s="10">
        <v>0</v>
      </c>
      <c r="R189" s="10" t="s">
        <v>238</v>
      </c>
      <c r="S189" s="10">
        <v>0.33327942312878628</v>
      </c>
      <c r="T189" s="10">
        <v>0.32766123794245228</v>
      </c>
      <c r="U189" s="10">
        <v>2.695401465313492E-2</v>
      </c>
      <c r="V189" s="10">
        <v>4.6983849990024797</v>
      </c>
    </row>
    <row r="190" spans="1:22" x14ac:dyDescent="0.3">
      <c r="A190" s="10" t="s">
        <v>78</v>
      </c>
      <c r="B190" s="10">
        <v>2025</v>
      </c>
      <c r="C190" s="10">
        <v>15874334000000</v>
      </c>
      <c r="D190" s="10">
        <v>2153025000000</v>
      </c>
      <c r="E190" s="10">
        <v>135544351000000</v>
      </c>
      <c r="F190" s="10">
        <v>51153716000000</v>
      </c>
      <c r="G190" s="10">
        <v>61861347000000</v>
      </c>
      <c r="H190" s="10">
        <v>12316000000000</v>
      </c>
      <c r="I190" s="10">
        <v>51519743000000</v>
      </c>
      <c r="J190" s="10">
        <v>45113381000000</v>
      </c>
      <c r="K190" s="10">
        <v>38837716000000</v>
      </c>
      <c r="L190" s="10"/>
      <c r="M190" s="10">
        <v>74850923000000</v>
      </c>
      <c r="N190" s="10">
        <v>9224927000000</v>
      </c>
      <c r="O190" s="10">
        <v>47431527000000</v>
      </c>
      <c r="P190" s="10">
        <v>4.6261586899047327</v>
      </c>
      <c r="Q190" s="10">
        <v>0</v>
      </c>
      <c r="R190" s="10" t="s">
        <v>238</v>
      </c>
      <c r="S190" s="10">
        <v>0.28653142468475129</v>
      </c>
      <c r="T190" s="10">
        <v>0.33283114100417222</v>
      </c>
      <c r="U190" s="10">
        <v>0.1171154229806302</v>
      </c>
      <c r="V190" s="10">
        <v>0.83282607797078845</v>
      </c>
    </row>
    <row r="191" spans="1:22" x14ac:dyDescent="0.3">
      <c r="A191" s="10" t="s">
        <v>78</v>
      </c>
      <c r="B191" s="10">
        <v>2024</v>
      </c>
      <c r="C191" s="10">
        <v>13641685000000</v>
      </c>
      <c r="D191" s="10">
        <v>2142348000000</v>
      </c>
      <c r="E191" s="10">
        <v>126040905000000</v>
      </c>
      <c r="F191" s="10">
        <v>44667549000000</v>
      </c>
      <c r="G191" s="10">
        <v>58997020000000</v>
      </c>
      <c r="H191" s="10">
        <v>10924773000000</v>
      </c>
      <c r="I191" s="10">
        <v>45217376000000</v>
      </c>
      <c r="J191" s="10">
        <v>38890520000000</v>
      </c>
      <c r="K191" s="10">
        <v>33742776000000</v>
      </c>
      <c r="L191" s="10"/>
      <c r="M191" s="10">
        <v>72597188000000</v>
      </c>
      <c r="N191" s="10">
        <v>7079369000000</v>
      </c>
      <c r="O191" s="10">
        <v>45624652000000</v>
      </c>
      <c r="P191" s="10">
        <v>4.2941621750940602</v>
      </c>
      <c r="Q191" s="10">
        <v>0</v>
      </c>
      <c r="R191" s="10" t="s">
        <v>238</v>
      </c>
      <c r="S191" s="10">
        <v>0.26771289844356477</v>
      </c>
      <c r="T191" s="10">
        <v>0.30855475053912063</v>
      </c>
      <c r="U191" s="10">
        <v>0.1082322044577512</v>
      </c>
      <c r="V191" s="10">
        <v>0.76643491484824144</v>
      </c>
    </row>
    <row r="192" spans="1:22" x14ac:dyDescent="0.3">
      <c r="A192" s="10" t="s">
        <v>78</v>
      </c>
      <c r="B192" s="10">
        <v>2023</v>
      </c>
      <c r="C192" s="10">
        <v>13469406000000</v>
      </c>
      <c r="D192" s="10">
        <v>2024713000000</v>
      </c>
      <c r="E192" s="10">
        <v>119267076000000</v>
      </c>
      <c r="F192" s="10">
        <v>36773465000000</v>
      </c>
      <c r="G192" s="10">
        <v>57163043000000</v>
      </c>
      <c r="H192" s="10">
        <v>10464225000000</v>
      </c>
      <c r="I192" s="10">
        <v>40750169000000</v>
      </c>
      <c r="J192" s="10">
        <v>34046051000000</v>
      </c>
      <c r="K192" s="10">
        <v>26309240000000</v>
      </c>
      <c r="L192" s="10"/>
      <c r="M192" s="10">
        <v>67909901000000</v>
      </c>
      <c r="N192" s="10">
        <v>6990572000000</v>
      </c>
      <c r="O192" s="10">
        <v>43990332000000</v>
      </c>
      <c r="P192" s="10">
        <v>3.8851202607883661</v>
      </c>
      <c r="Q192" s="10">
        <v>0</v>
      </c>
      <c r="R192" s="10" t="s">
        <v>238</v>
      </c>
      <c r="S192" s="10">
        <v>0.22059097013496001</v>
      </c>
      <c r="T192" s="10">
        <v>0.28546059936943541</v>
      </c>
      <c r="U192" s="10">
        <v>0.11293482201240521</v>
      </c>
      <c r="V192" s="10">
        <v>0.71287613222410151</v>
      </c>
    </row>
    <row r="193" spans="1:22" x14ac:dyDescent="0.3">
      <c r="A193" s="10" t="s">
        <v>78</v>
      </c>
      <c r="B193" s="10">
        <v>2022</v>
      </c>
      <c r="C193" s="10">
        <v>9674042000000</v>
      </c>
      <c r="D193" s="10">
        <v>2148657000000</v>
      </c>
      <c r="E193" s="10">
        <v>115305536000000</v>
      </c>
      <c r="F193" s="10">
        <v>31070365000000</v>
      </c>
      <c r="G193" s="10">
        <v>57832529000000</v>
      </c>
      <c r="H193" s="10">
        <v>10033935000000</v>
      </c>
      <c r="I193" s="10">
        <v>36518511000000</v>
      </c>
      <c r="J193" s="10">
        <v>29282631000000</v>
      </c>
      <c r="K193" s="10">
        <v>21036430000000</v>
      </c>
      <c r="L193" s="10"/>
      <c r="M193" s="10">
        <v>64797516000000</v>
      </c>
      <c r="N193" s="10">
        <v>4587367000000</v>
      </c>
      <c r="O193" s="10">
        <v>46006051000000</v>
      </c>
      <c r="P193" s="10">
        <v>3.2515387724028328</v>
      </c>
      <c r="Q193" s="10">
        <v>0</v>
      </c>
      <c r="R193" s="10" t="s">
        <v>238</v>
      </c>
      <c r="S193" s="10">
        <v>0.18244076329518119</v>
      </c>
      <c r="T193" s="10">
        <v>0.25395685251400252</v>
      </c>
      <c r="U193" s="10">
        <v>8.3899198040239806E-2</v>
      </c>
      <c r="V193" s="10">
        <v>0.63145277634322372</v>
      </c>
    </row>
    <row r="194" spans="1:22" x14ac:dyDescent="0.3">
      <c r="A194" s="10" t="s">
        <v>79</v>
      </c>
      <c r="B194" s="10">
        <v>2025</v>
      </c>
      <c r="C194" s="10">
        <v>258390352554</v>
      </c>
      <c r="D194" s="10">
        <v>23480913426</v>
      </c>
      <c r="E194" s="10">
        <v>1705951146396</v>
      </c>
      <c r="F194" s="10">
        <v>465761250222</v>
      </c>
      <c r="G194" s="10">
        <v>320992714335</v>
      </c>
      <c r="H194" s="10">
        <v>152352499946</v>
      </c>
      <c r="I194" s="10">
        <v>1384958432061</v>
      </c>
      <c r="J194" s="10">
        <v>433073728885</v>
      </c>
      <c r="K194" s="10">
        <v>313408750276</v>
      </c>
      <c r="L194" s="10"/>
      <c r="M194" s="10">
        <v>1282905047095</v>
      </c>
      <c r="N194" s="10">
        <v>183450503516</v>
      </c>
      <c r="O194" s="10">
        <v>239463041281</v>
      </c>
      <c r="P194" s="10">
        <v>7.5809350351681033</v>
      </c>
      <c r="Q194" s="10">
        <v>0</v>
      </c>
      <c r="R194" s="10" t="s">
        <v>238</v>
      </c>
      <c r="S194" s="10">
        <v>0.18371496214185781</v>
      </c>
      <c r="T194" s="10">
        <v>0.25386056910241162</v>
      </c>
      <c r="U194" s="10">
        <v>0.15146409854694651</v>
      </c>
      <c r="V194" s="10">
        <v>4.3146101771506427</v>
      </c>
    </row>
    <row r="195" spans="1:22" x14ac:dyDescent="0.3">
      <c r="A195" s="10" t="s">
        <v>79</v>
      </c>
      <c r="B195" s="10">
        <v>2024</v>
      </c>
      <c r="C195" s="10">
        <v>263335547709</v>
      </c>
      <c r="D195" s="10">
        <v>33513930585</v>
      </c>
      <c r="E195" s="10">
        <v>1753404635182</v>
      </c>
      <c r="F195" s="10">
        <v>439587607224</v>
      </c>
      <c r="G195" s="10">
        <v>447462972579</v>
      </c>
      <c r="H195" s="10">
        <v>191650061012</v>
      </c>
      <c r="I195" s="10">
        <v>1305941662603</v>
      </c>
      <c r="J195" s="10">
        <v>354155225369</v>
      </c>
      <c r="K195" s="10">
        <v>247937546212</v>
      </c>
      <c r="L195" s="10"/>
      <c r="M195" s="10">
        <v>1243651017803</v>
      </c>
      <c r="N195" s="10">
        <v>179025233782</v>
      </c>
      <c r="O195" s="10">
        <v>345440934665</v>
      </c>
      <c r="P195" s="10">
        <v>5.6597857267904583</v>
      </c>
      <c r="Q195" s="10">
        <v>0</v>
      </c>
      <c r="R195" s="10" t="s">
        <v>238</v>
      </c>
      <c r="S195" s="10">
        <v>0.14140349651024189</v>
      </c>
      <c r="T195" s="10">
        <v>0.20198145839407991</v>
      </c>
      <c r="U195" s="10">
        <v>0.15018526951804609</v>
      </c>
      <c r="V195" s="10">
        <v>2.9185468801498091</v>
      </c>
    </row>
    <row r="196" spans="1:22" x14ac:dyDescent="0.3">
      <c r="A196" s="10" t="s">
        <v>79</v>
      </c>
      <c r="B196" s="10">
        <v>2023</v>
      </c>
      <c r="C196" s="10">
        <v>158994261584</v>
      </c>
      <c r="D196" s="10">
        <v>29177173485</v>
      </c>
      <c r="E196" s="10">
        <v>1894388459807</v>
      </c>
      <c r="F196" s="10">
        <v>487932573085</v>
      </c>
      <c r="G196" s="10">
        <v>673472085858</v>
      </c>
      <c r="H196" s="10">
        <v>327700986884</v>
      </c>
      <c r="I196" s="10">
        <v>1220916373949</v>
      </c>
      <c r="J196" s="10">
        <v>270249991587</v>
      </c>
      <c r="K196" s="10">
        <v>160231586201</v>
      </c>
      <c r="L196" s="10"/>
      <c r="M196" s="10">
        <v>986989741727</v>
      </c>
      <c r="N196" s="10">
        <v>100902985814</v>
      </c>
      <c r="O196" s="10">
        <v>563308040821</v>
      </c>
      <c r="P196" s="10">
        <v>3.4874403584355811</v>
      </c>
      <c r="Q196" s="10">
        <v>0</v>
      </c>
      <c r="R196" s="10" t="s">
        <v>238</v>
      </c>
      <c r="S196" s="10">
        <v>8.4582222495867804E-2</v>
      </c>
      <c r="T196" s="10">
        <v>0.14265817033879791</v>
      </c>
      <c r="U196" s="10">
        <v>8.3929069964984004E-2</v>
      </c>
      <c r="V196" s="10">
        <v>1.8128685651366809</v>
      </c>
    </row>
    <row r="197" spans="1:22" x14ac:dyDescent="0.3">
      <c r="A197" s="10" t="s">
        <v>79</v>
      </c>
      <c r="B197" s="10">
        <v>2022</v>
      </c>
      <c r="C197" s="10">
        <v>128151862013</v>
      </c>
      <c r="D197" s="10">
        <v>3318939986</v>
      </c>
      <c r="E197" s="10">
        <v>1746807361866</v>
      </c>
      <c r="F197" s="10">
        <v>408596864963</v>
      </c>
      <c r="G197" s="10">
        <v>604327481288</v>
      </c>
      <c r="H197" s="10">
        <v>145976858453</v>
      </c>
      <c r="I197" s="10">
        <v>1142479880578</v>
      </c>
      <c r="J197" s="10">
        <v>189171005773</v>
      </c>
      <c r="K197" s="10">
        <v>262620006510</v>
      </c>
      <c r="L197" s="10"/>
      <c r="M197" s="10">
        <v>867146336664</v>
      </c>
      <c r="N197" s="10">
        <v>97118215205</v>
      </c>
      <c r="O197" s="10">
        <v>528553030714</v>
      </c>
      <c r="P197" s="10">
        <v>3.8173172108692772</v>
      </c>
      <c r="Q197" s="10">
        <v>0</v>
      </c>
      <c r="R197" s="10" t="s">
        <v>238</v>
      </c>
      <c r="S197" s="10">
        <v>0.15034285533893119</v>
      </c>
      <c r="T197" s="10">
        <v>0.10829528767895789</v>
      </c>
      <c r="U197" s="10">
        <v>7.3363477170203681E-2</v>
      </c>
      <c r="V197" s="10">
        <v>1.8904979765987779</v>
      </c>
    </row>
    <row r="198" spans="1:22" x14ac:dyDescent="0.3">
      <c r="A198" s="10" t="s">
        <v>80</v>
      </c>
      <c r="B198" s="10">
        <v>2025</v>
      </c>
      <c r="C198" s="10">
        <v>107765547346</v>
      </c>
      <c r="D198" s="10">
        <v>582380136</v>
      </c>
      <c r="E198" s="10">
        <v>1006967419168</v>
      </c>
      <c r="F198" s="10">
        <v>779017180585</v>
      </c>
      <c r="G198" s="10">
        <v>114347474211</v>
      </c>
      <c r="H198" s="10">
        <v>84290866454</v>
      </c>
      <c r="I198" s="10">
        <v>681631453690</v>
      </c>
      <c r="J198" s="10">
        <v>595399927967</v>
      </c>
      <c r="K198" s="10">
        <v>694726314131</v>
      </c>
      <c r="L198" s="10"/>
      <c r="M198" s="10">
        <v>917317232890</v>
      </c>
      <c r="N198" s="10">
        <v>59462535097</v>
      </c>
      <c r="O198" s="10">
        <v>1640690791</v>
      </c>
      <c r="P198" s="10">
        <v>13.43172479000383</v>
      </c>
      <c r="Q198" s="10">
        <v>0</v>
      </c>
      <c r="R198" s="10" t="s">
        <v>238</v>
      </c>
      <c r="S198" s="10">
        <v>0.68991935678019545</v>
      </c>
      <c r="T198" s="10">
        <v>0.59128023075358804</v>
      </c>
      <c r="U198" s="10">
        <v>0.1070198948790623</v>
      </c>
      <c r="V198" s="10">
        <v>5.9610538701730977</v>
      </c>
    </row>
    <row r="199" spans="1:22" x14ac:dyDescent="0.3">
      <c r="A199" s="10" t="s">
        <v>80</v>
      </c>
      <c r="B199" s="10">
        <v>2024</v>
      </c>
      <c r="C199" s="10">
        <v>96736937631</v>
      </c>
      <c r="D199" s="10">
        <v>5740484892</v>
      </c>
      <c r="E199" s="10">
        <v>971684549297</v>
      </c>
      <c r="F199" s="10">
        <v>776607406985</v>
      </c>
      <c r="G199" s="10">
        <v>77831461593</v>
      </c>
      <c r="H199" s="10">
        <v>52975130174</v>
      </c>
      <c r="I199" s="10">
        <v>636422146769</v>
      </c>
      <c r="J199" s="10">
        <v>560982262350</v>
      </c>
      <c r="K199" s="10">
        <v>723632276811</v>
      </c>
      <c r="L199" s="10"/>
      <c r="M199" s="10">
        <v>869134742614</v>
      </c>
      <c r="N199" s="10">
        <v>50021161727</v>
      </c>
      <c r="O199" s="10">
        <v>63188178</v>
      </c>
      <c r="P199" s="10">
        <v>16.02224201148189</v>
      </c>
      <c r="Q199" s="10">
        <v>0</v>
      </c>
      <c r="R199" s="10" t="s">
        <v>238</v>
      </c>
      <c r="S199" s="10">
        <v>0.74471934058696077</v>
      </c>
      <c r="T199" s="10">
        <v>0.57732961047478082</v>
      </c>
      <c r="U199" s="10">
        <v>9.9555908037220309E-2</v>
      </c>
      <c r="V199" s="10">
        <v>8.1769265762604988</v>
      </c>
    </row>
    <row r="200" spans="1:22" x14ac:dyDescent="0.3">
      <c r="A200" s="10" t="s">
        <v>80</v>
      </c>
      <c r="B200" s="10">
        <v>2023</v>
      </c>
      <c r="C200" s="10">
        <v>71911571490</v>
      </c>
      <c r="D200" s="10">
        <v>370591094</v>
      </c>
      <c r="E200" s="10">
        <v>908807798500</v>
      </c>
      <c r="F200" s="10">
        <v>731232794172</v>
      </c>
      <c r="G200" s="10">
        <v>76971400620</v>
      </c>
      <c r="H200" s="10">
        <v>53737264052</v>
      </c>
      <c r="I200" s="10">
        <v>596991454912</v>
      </c>
      <c r="J200" s="10">
        <v>511345131058</v>
      </c>
      <c r="K200" s="10">
        <v>677495530120</v>
      </c>
      <c r="L200" s="10"/>
      <c r="M200" s="10">
        <v>857775074318</v>
      </c>
      <c r="N200" s="10">
        <v>38403043500</v>
      </c>
      <c r="O200" s="10">
        <v>1589122764</v>
      </c>
      <c r="P200" s="10">
        <v>15.400138845239351</v>
      </c>
      <c r="Q200" s="10">
        <v>0</v>
      </c>
      <c r="R200" s="10" t="s">
        <v>238</v>
      </c>
      <c r="S200" s="10">
        <v>0.74547724088439371</v>
      </c>
      <c r="T200" s="10">
        <v>0.56265486707088375</v>
      </c>
      <c r="U200" s="10">
        <v>7.9127370615317189E-2</v>
      </c>
      <c r="V200" s="10">
        <v>7.7560165217635353</v>
      </c>
    </row>
    <row r="201" spans="1:22" x14ac:dyDescent="0.3">
      <c r="A201" s="10" t="s">
        <v>80</v>
      </c>
      <c r="B201" s="10">
        <v>2022</v>
      </c>
      <c r="C201" s="10">
        <v>133672221086</v>
      </c>
      <c r="D201" s="10">
        <v>292933346</v>
      </c>
      <c r="E201" s="10">
        <v>863638556466</v>
      </c>
      <c r="F201" s="10">
        <v>707960865488</v>
      </c>
      <c r="G201" s="10">
        <v>76709432048</v>
      </c>
      <c r="H201" s="10">
        <v>53843373583</v>
      </c>
      <c r="I201" s="10">
        <v>562323230374</v>
      </c>
      <c r="J201" s="10">
        <v>473656809963</v>
      </c>
      <c r="K201" s="10">
        <v>654117491905</v>
      </c>
      <c r="L201" s="10"/>
      <c r="M201" s="10">
        <v>1083672730660</v>
      </c>
      <c r="N201" s="10">
        <v>71472240510</v>
      </c>
      <c r="O201" s="10">
        <v>0</v>
      </c>
      <c r="P201" s="10">
        <v>15.49364922635541</v>
      </c>
      <c r="Q201" s="10">
        <v>0</v>
      </c>
      <c r="R201" s="10" t="s">
        <v>238</v>
      </c>
      <c r="S201" s="10">
        <v>0.75739727807156043</v>
      </c>
      <c r="T201" s="10">
        <v>0.5484433347918124</v>
      </c>
      <c r="U201" s="10">
        <v>0.1547779682660132</v>
      </c>
      <c r="V201" s="10">
        <v>7.3305617752733854</v>
      </c>
    </row>
    <row r="202" spans="1:22" x14ac:dyDescent="0.3">
      <c r="A202" s="10" t="s">
        <v>82</v>
      </c>
      <c r="B202" s="10">
        <v>2026</v>
      </c>
      <c r="C202" s="10">
        <v>10917227</v>
      </c>
      <c r="D202" s="10">
        <v>369229</v>
      </c>
      <c r="E202" s="10">
        <v>111535388</v>
      </c>
      <c r="F202" s="10">
        <v>69040338</v>
      </c>
      <c r="G202" s="10">
        <v>25337513</v>
      </c>
      <c r="H202" s="10">
        <v>19828188</v>
      </c>
      <c r="I202" s="10">
        <v>86197875</v>
      </c>
      <c r="J202" s="10">
        <v>31536364</v>
      </c>
      <c r="K202" s="10">
        <v>49212150</v>
      </c>
      <c r="L202" s="10"/>
      <c r="M202" s="10">
        <v>230498385</v>
      </c>
      <c r="N202" s="10">
        <v>8270024</v>
      </c>
      <c r="O202" s="10">
        <v>0</v>
      </c>
      <c r="P202" s="10">
        <v>8.0460381283894922</v>
      </c>
      <c r="Q202" s="10">
        <v>0</v>
      </c>
      <c r="R202" s="10" t="s">
        <v>238</v>
      </c>
      <c r="S202" s="10">
        <v>0.4412245376328453</v>
      </c>
      <c r="T202" s="10">
        <v>0.28274760652645958</v>
      </c>
      <c r="U202" s="10">
        <v>9.7881284099715513E-2</v>
      </c>
      <c r="V202" s="10">
        <v>3.4019864143730292</v>
      </c>
    </row>
    <row r="203" spans="1:22" x14ac:dyDescent="0.3">
      <c r="A203" s="10" t="s">
        <v>82</v>
      </c>
      <c r="B203" s="10">
        <v>2025</v>
      </c>
      <c r="C203" s="10">
        <v>7697640</v>
      </c>
      <c r="D203" s="10">
        <v>419154</v>
      </c>
      <c r="E203" s="10">
        <v>123750530</v>
      </c>
      <c r="F203" s="10">
        <v>79703861</v>
      </c>
      <c r="G203" s="10">
        <v>44245042</v>
      </c>
      <c r="H203" s="10">
        <v>38362552</v>
      </c>
      <c r="I203" s="10">
        <v>79505488</v>
      </c>
      <c r="J203" s="10">
        <v>24943977</v>
      </c>
      <c r="K203" s="10">
        <v>41341309</v>
      </c>
      <c r="L203" s="10"/>
      <c r="M203" s="10">
        <v>262333332</v>
      </c>
      <c r="N203" s="10">
        <v>5721760</v>
      </c>
      <c r="O203" s="10">
        <v>12200000</v>
      </c>
      <c r="P203" s="10">
        <v>5.1533904807949247</v>
      </c>
      <c r="Q203" s="10">
        <v>0</v>
      </c>
      <c r="R203" s="10" t="s">
        <v>238</v>
      </c>
      <c r="S203" s="10">
        <v>0.33406975307499692</v>
      </c>
      <c r="T203" s="10">
        <v>0.2015666276338372</v>
      </c>
      <c r="U203" s="10">
        <v>6.2202885110875891E-2</v>
      </c>
      <c r="V203" s="10">
        <v>1.7969355300871901</v>
      </c>
    </row>
    <row r="204" spans="1:22" x14ac:dyDescent="0.3">
      <c r="A204" s="10" t="s">
        <v>82</v>
      </c>
      <c r="B204" s="10">
        <v>2024</v>
      </c>
      <c r="C204" s="10">
        <v>10441532</v>
      </c>
      <c r="D204" s="10">
        <v>836596</v>
      </c>
      <c r="E204" s="10">
        <v>107067717</v>
      </c>
      <c r="F204" s="10">
        <v>60131546</v>
      </c>
      <c r="G204" s="10">
        <v>30798537</v>
      </c>
      <c r="H204" s="10">
        <v>24482869</v>
      </c>
      <c r="I204" s="10">
        <v>76269180</v>
      </c>
      <c r="J204" s="10">
        <v>21807669</v>
      </c>
      <c r="K204" s="10">
        <v>35648677</v>
      </c>
      <c r="L204" s="10"/>
      <c r="M204" s="10">
        <v>247785585</v>
      </c>
      <c r="N204" s="10">
        <v>7524401</v>
      </c>
      <c r="O204" s="10">
        <v>2100000</v>
      </c>
      <c r="P204" s="10">
        <v>6.1037434746423198</v>
      </c>
      <c r="Q204" s="10">
        <v>0</v>
      </c>
      <c r="R204" s="10" t="s">
        <v>238</v>
      </c>
      <c r="S204" s="10">
        <v>0.332954488980091</v>
      </c>
      <c r="T204" s="10">
        <v>0.20368108717588521</v>
      </c>
      <c r="U204" s="10">
        <v>9.7522692110825523E-2</v>
      </c>
      <c r="V204" s="10">
        <v>2.4763897064331331</v>
      </c>
    </row>
    <row r="205" spans="1:22" x14ac:dyDescent="0.3">
      <c r="A205" s="10" t="s">
        <v>82</v>
      </c>
      <c r="B205" s="10">
        <v>2023</v>
      </c>
      <c r="C205" s="10">
        <v>5236950</v>
      </c>
      <c r="D205" s="10">
        <v>833848</v>
      </c>
      <c r="E205" s="10">
        <v>118691279</v>
      </c>
      <c r="F205" s="10">
        <v>62857407</v>
      </c>
      <c r="G205" s="10">
        <v>48693361</v>
      </c>
      <c r="H205" s="10">
        <v>42125516</v>
      </c>
      <c r="I205" s="10">
        <v>69997918</v>
      </c>
      <c r="J205" s="10">
        <v>15636407</v>
      </c>
      <c r="K205" s="10">
        <v>20731891</v>
      </c>
      <c r="L205" s="10"/>
      <c r="M205" s="10">
        <v>226241027</v>
      </c>
      <c r="N205" s="10">
        <v>3487893</v>
      </c>
      <c r="O205" s="10">
        <v>21721597</v>
      </c>
      <c r="P205" s="10">
        <v>3.3812167943278388</v>
      </c>
      <c r="Q205" s="10">
        <v>0</v>
      </c>
      <c r="R205" s="10" t="s">
        <v>238</v>
      </c>
      <c r="S205" s="10">
        <v>0.1746707186464812</v>
      </c>
      <c r="T205" s="10">
        <v>0.1317401508496677</v>
      </c>
      <c r="U205" s="10">
        <v>4.4122449805263281E-2</v>
      </c>
      <c r="V205" s="10">
        <v>1.4375248814720349</v>
      </c>
    </row>
    <row r="206" spans="1:22" x14ac:dyDescent="0.3">
      <c r="A206" s="10" t="s">
        <v>83</v>
      </c>
      <c r="B206" s="10">
        <v>2025</v>
      </c>
      <c r="C206" s="10">
        <v>902841915930</v>
      </c>
      <c r="D206" s="10">
        <v>98656147555</v>
      </c>
      <c r="E206" s="10">
        <v>5309672233571</v>
      </c>
      <c r="F206" s="10">
        <v>2850353939685</v>
      </c>
      <c r="G206" s="10">
        <v>1911656727202</v>
      </c>
      <c r="H206" s="10">
        <v>1059412745801</v>
      </c>
      <c r="I206" s="10">
        <v>3141754223674</v>
      </c>
      <c r="J206" s="10">
        <v>2457090228115</v>
      </c>
      <c r="K206" s="10">
        <v>1790941193884</v>
      </c>
      <c r="L206" s="10"/>
      <c r="M206" s="10">
        <v>4271459779365</v>
      </c>
      <c r="N206" s="10">
        <v>620044943361</v>
      </c>
      <c r="O206" s="10">
        <v>1049537477948</v>
      </c>
      <c r="P206" s="10">
        <v>6.5895589788323488</v>
      </c>
      <c r="Q206" s="10">
        <v>0</v>
      </c>
      <c r="R206" s="10" t="s">
        <v>238</v>
      </c>
      <c r="S206" s="10">
        <v>0.33729788113107489</v>
      </c>
      <c r="T206" s="10">
        <v>0.46275742080269489</v>
      </c>
      <c r="U206" s="10">
        <v>0.17003722192524059</v>
      </c>
      <c r="V206" s="10">
        <v>1.643471957579139</v>
      </c>
    </row>
    <row r="207" spans="1:22" x14ac:dyDescent="0.3">
      <c r="A207" s="10" t="s">
        <v>83</v>
      </c>
      <c r="B207" s="10">
        <v>2024</v>
      </c>
      <c r="C207" s="10">
        <v>809309303283</v>
      </c>
      <c r="D207" s="10">
        <v>81103888026</v>
      </c>
      <c r="E207" s="10">
        <v>4467461028990</v>
      </c>
      <c r="F207" s="10">
        <v>2206134862422</v>
      </c>
      <c r="G207" s="10">
        <v>2322550701543</v>
      </c>
      <c r="H207" s="10">
        <v>1218741512266</v>
      </c>
      <c r="I207" s="10">
        <v>1894719541998</v>
      </c>
      <c r="J207" s="10">
        <v>1825276936459</v>
      </c>
      <c r="K207" s="10">
        <v>987393350156</v>
      </c>
      <c r="L207" s="10"/>
      <c r="M207" s="10">
        <v>3877933381099</v>
      </c>
      <c r="N207" s="10">
        <v>539386235478</v>
      </c>
      <c r="O207" s="10">
        <v>1594202816109</v>
      </c>
      <c r="P207" s="10">
        <v>4.8557802806345531</v>
      </c>
      <c r="Q207" s="10">
        <v>0</v>
      </c>
      <c r="R207" s="10" t="s">
        <v>238</v>
      </c>
      <c r="S207" s="10">
        <v>0.2210189062083949</v>
      </c>
      <c r="T207" s="10">
        <v>0.40857142896479998</v>
      </c>
      <c r="U207" s="10">
        <v>0.1811564327100505</v>
      </c>
      <c r="V207" s="10">
        <v>0.81579254254351996</v>
      </c>
    </row>
    <row r="208" spans="1:22" x14ac:dyDescent="0.3">
      <c r="A208" s="10" t="s">
        <v>83</v>
      </c>
      <c r="B208" s="10">
        <v>2023</v>
      </c>
      <c r="C208" s="10">
        <v>665457580603</v>
      </c>
      <c r="D208" s="10">
        <v>64237393457</v>
      </c>
      <c r="E208" s="10">
        <v>4105362087706</v>
      </c>
      <c r="F208" s="10">
        <v>2154030401124</v>
      </c>
      <c r="G208" s="10">
        <v>1479667566176</v>
      </c>
      <c r="H208" s="10">
        <v>989347873365</v>
      </c>
      <c r="I208" s="10">
        <v>2411259820354</v>
      </c>
      <c r="J208" s="10">
        <v>1624324913783</v>
      </c>
      <c r="K208" s="10">
        <v>1164682527759</v>
      </c>
      <c r="L208" s="10"/>
      <c r="M208" s="10">
        <v>3630700574969</v>
      </c>
      <c r="N208" s="10">
        <v>447791596863</v>
      </c>
      <c r="O208" s="10">
        <v>692959560127</v>
      </c>
      <c r="P208" s="10">
        <v>5.95125964640651</v>
      </c>
      <c r="Q208" s="10">
        <v>0</v>
      </c>
      <c r="R208" s="10" t="s">
        <v>238</v>
      </c>
      <c r="S208" s="10">
        <v>0.28369788166719367</v>
      </c>
      <c r="T208" s="10">
        <v>0.39565935454201129</v>
      </c>
      <c r="U208" s="10">
        <v>0.1620947352234271</v>
      </c>
      <c r="V208" s="10">
        <v>1.6295956439631729</v>
      </c>
    </row>
    <row r="209" spans="1:22" x14ac:dyDescent="0.3">
      <c r="A209" s="10" t="s">
        <v>83</v>
      </c>
      <c r="B209" s="10">
        <v>2022</v>
      </c>
      <c r="C209" s="10">
        <v>460761618628</v>
      </c>
      <c r="D209" s="10">
        <v>46555209916</v>
      </c>
      <c r="E209" s="10">
        <v>3435475875401</v>
      </c>
      <c r="F209" s="10">
        <v>1754894947354</v>
      </c>
      <c r="G209" s="10">
        <v>1210746099447</v>
      </c>
      <c r="H209" s="10">
        <v>716738190188</v>
      </c>
      <c r="I209" s="10">
        <v>2007954842670</v>
      </c>
      <c r="J209" s="10">
        <v>1360105635557</v>
      </c>
      <c r="K209" s="10">
        <v>1038156757166</v>
      </c>
      <c r="L209" s="10"/>
      <c r="M209" s="10">
        <v>2808698656787</v>
      </c>
      <c r="N209" s="10">
        <v>307414788044</v>
      </c>
      <c r="O209" s="10">
        <v>556422814234</v>
      </c>
      <c r="P209" s="10">
        <v>5.9156267702519809</v>
      </c>
      <c r="Q209" s="10">
        <v>0</v>
      </c>
      <c r="R209" s="10" t="s">
        <v>238</v>
      </c>
      <c r="S209" s="10">
        <v>0.30218717721160621</v>
      </c>
      <c r="T209" s="10">
        <v>0.39590021437663098</v>
      </c>
      <c r="U209" s="10">
        <v>0.13411871756317259</v>
      </c>
      <c r="V209" s="10">
        <v>1.658444197001435</v>
      </c>
    </row>
    <row r="210" spans="1:22" x14ac:dyDescent="0.3">
      <c r="A210" s="10" t="s">
        <v>85</v>
      </c>
      <c r="B210" s="10">
        <v>2025</v>
      </c>
      <c r="C210" s="10">
        <v>24106055000000</v>
      </c>
      <c r="D210" s="10">
        <v>4068360000000</v>
      </c>
      <c r="E210" s="10">
        <v>217981765000000</v>
      </c>
      <c r="F210" s="10">
        <v>90391256000000</v>
      </c>
      <c r="G210" s="10">
        <v>97746518000000</v>
      </c>
      <c r="H210" s="10">
        <v>42399644000000</v>
      </c>
      <c r="I210" s="10">
        <v>73147337000000</v>
      </c>
      <c r="J210" s="10">
        <v>61459220000000</v>
      </c>
      <c r="K210" s="10">
        <v>47991612000000</v>
      </c>
      <c r="L210" s="10"/>
      <c r="M210" s="10">
        <v>123493214000000</v>
      </c>
      <c r="N210" s="10">
        <v>10684653000000</v>
      </c>
      <c r="O210" s="10">
        <v>74958517000000</v>
      </c>
      <c r="P210" s="10">
        <v>3.8923197765883422</v>
      </c>
      <c r="Q210" s="10">
        <v>0</v>
      </c>
      <c r="R210" s="10" t="s">
        <v>238</v>
      </c>
      <c r="S210" s="10">
        <v>0.2201634251378779</v>
      </c>
      <c r="T210" s="10">
        <v>0.28194661145165062</v>
      </c>
      <c r="U210" s="10">
        <v>0.1105874842329128</v>
      </c>
      <c r="V210" s="10">
        <v>0.7483370098155312</v>
      </c>
    </row>
    <row r="211" spans="1:22" x14ac:dyDescent="0.3">
      <c r="A211" s="10" t="s">
        <v>85</v>
      </c>
      <c r="B211" s="10">
        <v>2024</v>
      </c>
      <c r="C211" s="10">
        <v>20866631000000</v>
      </c>
      <c r="D211" s="10">
        <v>3826849000000</v>
      </c>
      <c r="E211" s="10">
        <v>201713313000000</v>
      </c>
      <c r="F211" s="10">
        <v>79765476000000</v>
      </c>
      <c r="G211" s="10">
        <v>92722030000000</v>
      </c>
      <c r="H211" s="10">
        <v>37094061000000</v>
      </c>
      <c r="I211" s="10">
        <v>65113504000000</v>
      </c>
      <c r="J211" s="10">
        <v>53396455000000</v>
      </c>
      <c r="K211" s="10">
        <v>42671415000000</v>
      </c>
      <c r="L211" s="10"/>
      <c r="M211" s="10">
        <v>115786525000000</v>
      </c>
      <c r="N211" s="10">
        <v>8641612000000</v>
      </c>
      <c r="O211" s="10">
        <v>71025404000000</v>
      </c>
      <c r="P211" s="10">
        <v>3.6832238321776072</v>
      </c>
      <c r="Q211" s="10">
        <v>0</v>
      </c>
      <c r="R211" s="10" t="s">
        <v>238</v>
      </c>
      <c r="S211" s="10">
        <v>0.21154486218765339</v>
      </c>
      <c r="T211" s="10">
        <v>0.2647145803410606</v>
      </c>
      <c r="U211" s="10">
        <v>0.1034469698090775</v>
      </c>
      <c r="V211" s="10">
        <v>0.7022441592359443</v>
      </c>
    </row>
    <row r="212" spans="1:22" x14ac:dyDescent="0.3">
      <c r="A212" s="10" t="s">
        <v>85</v>
      </c>
      <c r="B212" s="10">
        <v>2023</v>
      </c>
      <c r="C212" s="10">
        <v>19140009000000</v>
      </c>
      <c r="D212" s="10">
        <v>3524625000000</v>
      </c>
      <c r="E212" s="10">
        <v>186587957000000</v>
      </c>
      <c r="F212" s="10">
        <v>63101797000000</v>
      </c>
      <c r="G212" s="10">
        <v>86123066000000</v>
      </c>
      <c r="H212" s="10">
        <v>32914504000000</v>
      </c>
      <c r="I212" s="10">
        <v>59193013000000</v>
      </c>
      <c r="J212" s="10">
        <v>47029083000000</v>
      </c>
      <c r="K212" s="10">
        <v>30187293000000</v>
      </c>
      <c r="L212" s="10"/>
      <c r="M212" s="10">
        <v>111703611000000</v>
      </c>
      <c r="N212" s="10">
        <v>8147019000000</v>
      </c>
      <c r="O212" s="10">
        <v>64692665000000</v>
      </c>
      <c r="P212" s="10">
        <v>3.2939947120516981</v>
      </c>
      <c r="Q212" s="10">
        <v>0</v>
      </c>
      <c r="R212" s="10" t="s">
        <v>238</v>
      </c>
      <c r="S212" s="10">
        <v>0.1617858595236133</v>
      </c>
      <c r="T212" s="10">
        <v>0.25204779427431112</v>
      </c>
      <c r="U212" s="10">
        <v>0.10257901585792061</v>
      </c>
      <c r="V212" s="10">
        <v>0.68730731207363194</v>
      </c>
    </row>
    <row r="213" spans="1:22" x14ac:dyDescent="0.3">
      <c r="A213" s="10" t="s">
        <v>85</v>
      </c>
      <c r="B213" s="10">
        <v>2022</v>
      </c>
      <c r="C213" s="10">
        <v>15524858000000</v>
      </c>
      <c r="D213" s="10">
        <v>3206093000000</v>
      </c>
      <c r="E213" s="10">
        <v>180433300000000</v>
      </c>
      <c r="F213" s="10">
        <v>54876668000000</v>
      </c>
      <c r="G213" s="10">
        <v>86810262000000</v>
      </c>
      <c r="H213" s="10">
        <v>30725942000000</v>
      </c>
      <c r="I213" s="10">
        <v>53843836000000</v>
      </c>
      <c r="J213" s="10">
        <v>41168161000000</v>
      </c>
      <c r="K213" s="10">
        <v>24150726000000</v>
      </c>
      <c r="L213" s="10"/>
      <c r="M213" s="10">
        <v>110830272000000</v>
      </c>
      <c r="N213" s="10">
        <v>6359094000000</v>
      </c>
      <c r="O213" s="10">
        <v>66249057000000</v>
      </c>
      <c r="P213" s="10">
        <v>2.8513193265266961</v>
      </c>
      <c r="Q213" s="10">
        <v>0</v>
      </c>
      <c r="R213" s="10" t="s">
        <v>238</v>
      </c>
      <c r="S213" s="10">
        <v>0.133848496923794</v>
      </c>
      <c r="T213" s="10">
        <v>0.22816276707237521</v>
      </c>
      <c r="U213" s="10">
        <v>8.6042088683186524E-2</v>
      </c>
      <c r="V213" s="10">
        <v>0.62024736199966779</v>
      </c>
    </row>
    <row r="214" spans="1:22" x14ac:dyDescent="0.3">
      <c r="A214" s="10" t="s">
        <v>86</v>
      </c>
      <c r="B214" s="10">
        <v>2025</v>
      </c>
      <c r="C214" s="10">
        <v>-10654965</v>
      </c>
      <c r="D214" s="10">
        <v>5453200</v>
      </c>
      <c r="E214" s="10">
        <v>778504329</v>
      </c>
      <c r="F214" s="10">
        <v>291044428</v>
      </c>
      <c r="G214" s="10">
        <v>394996451</v>
      </c>
      <c r="H214" s="10">
        <v>289998849</v>
      </c>
      <c r="I214" s="10">
        <v>375053593</v>
      </c>
      <c r="J214" s="10">
        <v>218510823</v>
      </c>
      <c r="K214" s="10">
        <v>1045579</v>
      </c>
      <c r="L214" s="10"/>
      <c r="M214" s="10">
        <v>778767632</v>
      </c>
      <c r="N214" s="10">
        <v>-16164165</v>
      </c>
      <c r="O214" s="10">
        <v>126060765</v>
      </c>
      <c r="P214" s="10">
        <v>1.828842117282957</v>
      </c>
      <c r="Q214" s="10">
        <v>0</v>
      </c>
      <c r="R214" s="10" t="s">
        <v>239</v>
      </c>
      <c r="S214" s="10">
        <v>1.3430612535489191E-3</v>
      </c>
      <c r="T214" s="10">
        <v>0.28068029278742779</v>
      </c>
      <c r="U214" s="10">
        <v>-1.3686455685720409E-2</v>
      </c>
      <c r="V214" s="10">
        <v>0.9495112982673356</v>
      </c>
    </row>
    <row r="215" spans="1:22" x14ac:dyDescent="0.3">
      <c r="A215" s="10" t="s">
        <v>86</v>
      </c>
      <c r="B215" s="10">
        <v>2024</v>
      </c>
      <c r="C215" s="10">
        <v>-15603884</v>
      </c>
      <c r="D215" s="10">
        <v>6745977</v>
      </c>
      <c r="E215" s="10">
        <v>784941331</v>
      </c>
      <c r="F215" s="10">
        <v>290923956</v>
      </c>
      <c r="G215" s="10">
        <v>382681681</v>
      </c>
      <c r="H215" s="10">
        <v>272504562</v>
      </c>
      <c r="I215" s="10">
        <v>395617248</v>
      </c>
      <c r="J215" s="10">
        <v>236396803</v>
      </c>
      <c r="K215" s="10">
        <v>18419394</v>
      </c>
      <c r="L215" s="10"/>
      <c r="M215" s="10">
        <v>877660037</v>
      </c>
      <c r="N215" s="10">
        <v>-16242999</v>
      </c>
      <c r="O215" s="10">
        <v>118233377</v>
      </c>
      <c r="P215" s="10">
        <v>2.0876396710754932</v>
      </c>
      <c r="Q215" s="10">
        <v>0</v>
      </c>
      <c r="R215" s="10" t="s">
        <v>239</v>
      </c>
      <c r="S215" s="10">
        <v>2.346594996664789E-2</v>
      </c>
      <c r="T215" s="10">
        <v>0.3011649325419456</v>
      </c>
      <c r="U215" s="10">
        <v>-1.9879044947373269E-2</v>
      </c>
      <c r="V215" s="10">
        <v>1.033802420241799</v>
      </c>
    </row>
    <row r="216" spans="1:22" x14ac:dyDescent="0.3">
      <c r="A216" s="10" t="s">
        <v>86</v>
      </c>
      <c r="B216" s="10">
        <v>2023</v>
      </c>
      <c r="C216" s="10">
        <v>-44747753</v>
      </c>
      <c r="D216" s="10">
        <v>6343601</v>
      </c>
      <c r="E216" s="10">
        <v>830622828</v>
      </c>
      <c r="F216" s="10">
        <v>315979195</v>
      </c>
      <c r="G216" s="10">
        <v>411848044</v>
      </c>
      <c r="H216" s="10">
        <v>311032243</v>
      </c>
      <c r="I216" s="10">
        <v>412767282</v>
      </c>
      <c r="J216" s="10">
        <v>255196627</v>
      </c>
      <c r="K216" s="10">
        <v>4946952</v>
      </c>
      <c r="L216" s="10"/>
      <c r="M216" s="10">
        <v>785598037</v>
      </c>
      <c r="N216" s="10">
        <v>-40806535</v>
      </c>
      <c r="O216" s="10">
        <v>117787802</v>
      </c>
      <c r="P216" s="10">
        <v>1.730976639576747</v>
      </c>
      <c r="Q216" s="10">
        <v>0</v>
      </c>
      <c r="R216" s="10" t="s">
        <v>239</v>
      </c>
      <c r="S216" s="10">
        <v>5.9557139934516704E-3</v>
      </c>
      <c r="T216" s="10">
        <v>0.30723526779834659</v>
      </c>
      <c r="U216" s="10">
        <v>-5.387252973500025E-2</v>
      </c>
      <c r="V216" s="10">
        <v>1.0022319834059961</v>
      </c>
    </row>
    <row r="217" spans="1:22" x14ac:dyDescent="0.3">
      <c r="A217" s="10" t="s">
        <v>86</v>
      </c>
      <c r="B217" s="10">
        <v>2022</v>
      </c>
      <c r="C217" s="10">
        <v>53377032</v>
      </c>
      <c r="D217" s="10">
        <v>1391938</v>
      </c>
      <c r="E217" s="10">
        <v>869800216</v>
      </c>
      <c r="F217" s="10">
        <v>362709546</v>
      </c>
      <c r="G217" s="10">
        <v>404643537</v>
      </c>
      <c r="H217" s="10">
        <v>261592898</v>
      </c>
      <c r="I217" s="10">
        <v>461009205</v>
      </c>
      <c r="J217" s="10">
        <v>306455673</v>
      </c>
      <c r="K217" s="10">
        <v>101116648</v>
      </c>
      <c r="L217" s="10"/>
      <c r="M217" s="10">
        <v>936141382</v>
      </c>
      <c r="N217" s="10">
        <v>42537982</v>
      </c>
      <c r="O217" s="10">
        <v>131671127</v>
      </c>
      <c r="P217" s="10">
        <v>3.5198580123641778</v>
      </c>
      <c r="Q217" s="10">
        <v>0</v>
      </c>
      <c r="R217" s="10" t="s">
        <v>238</v>
      </c>
      <c r="S217" s="10">
        <v>0.1162527280862391</v>
      </c>
      <c r="T217" s="10">
        <v>0.35232880765345781</v>
      </c>
      <c r="U217" s="10">
        <v>6.1367002465770829E-2</v>
      </c>
      <c r="V217" s="10">
        <v>1.1392970919982841</v>
      </c>
    </row>
    <row r="218" spans="1:22" x14ac:dyDescent="0.3">
      <c r="A218" s="10" t="s">
        <v>87</v>
      </c>
      <c r="B218" s="10">
        <v>2025</v>
      </c>
      <c r="C218" s="10">
        <v>159222046055</v>
      </c>
      <c r="D218" s="10">
        <v>13502105546</v>
      </c>
      <c r="E218" s="10">
        <v>4461919696546</v>
      </c>
      <c r="F218" s="10">
        <v>1853141305658</v>
      </c>
      <c r="G218" s="10">
        <v>894558167685</v>
      </c>
      <c r="H218" s="10">
        <v>640899091657</v>
      </c>
      <c r="I218" s="10">
        <v>3390174417938</v>
      </c>
      <c r="J218" s="10">
        <v>1139938819742</v>
      </c>
      <c r="K218" s="10">
        <v>1212242214001</v>
      </c>
      <c r="L218" s="10"/>
      <c r="M218" s="10">
        <v>3303153475980</v>
      </c>
      <c r="N218" s="10">
        <v>77237333131</v>
      </c>
      <c r="O218" s="10">
        <v>270664670506</v>
      </c>
      <c r="P218" s="10">
        <v>6.8341969936477742</v>
      </c>
      <c r="Q218" s="10">
        <v>0</v>
      </c>
      <c r="R218" s="10" t="s">
        <v>238</v>
      </c>
      <c r="S218" s="10">
        <v>0.27168624637942368</v>
      </c>
      <c r="T218" s="10">
        <v>0.2554816978495677</v>
      </c>
      <c r="U218" s="10">
        <v>3.5684650752064138E-2</v>
      </c>
      <c r="V218" s="10">
        <v>3.7897752660526591</v>
      </c>
    </row>
    <row r="219" spans="1:22" x14ac:dyDescent="0.3">
      <c r="A219" s="10" t="s">
        <v>87</v>
      </c>
      <c r="B219" s="10">
        <v>2024</v>
      </c>
      <c r="C219" s="10">
        <v>130528184810</v>
      </c>
      <c r="D219" s="10">
        <v>19288492844</v>
      </c>
      <c r="E219" s="10">
        <v>4255811894871</v>
      </c>
      <c r="F219" s="10">
        <v>1594628645319</v>
      </c>
      <c r="G219" s="10">
        <v>739038995061</v>
      </c>
      <c r="H219" s="10">
        <v>465366653800</v>
      </c>
      <c r="I219" s="10">
        <v>3360495963892</v>
      </c>
      <c r="J219" s="10">
        <v>1110226847518</v>
      </c>
      <c r="K219" s="10">
        <v>1129261991519</v>
      </c>
      <c r="L219" s="10"/>
      <c r="M219" s="10">
        <v>3165028322638</v>
      </c>
      <c r="N219" s="10">
        <v>69599052255</v>
      </c>
      <c r="O219" s="10">
        <v>206813780383</v>
      </c>
      <c r="P219" s="10">
        <v>7.5716929715947314</v>
      </c>
      <c r="Q219" s="10">
        <v>0</v>
      </c>
      <c r="R219" s="10" t="s">
        <v>238</v>
      </c>
      <c r="S219" s="10">
        <v>0.26534584220697321</v>
      </c>
      <c r="T219" s="10">
        <v>0.26087310128909091</v>
      </c>
      <c r="U219" s="10">
        <v>3.067057192243608E-2</v>
      </c>
      <c r="V219" s="10">
        <v>4.547115898281695</v>
      </c>
    </row>
    <row r="220" spans="1:22" x14ac:dyDescent="0.3">
      <c r="A220" s="10" t="s">
        <v>87</v>
      </c>
      <c r="B220" s="10">
        <v>2023</v>
      </c>
      <c r="C220" s="10">
        <v>279907294252</v>
      </c>
      <c r="D220" s="10">
        <v>27065870938</v>
      </c>
      <c r="E220" s="10">
        <v>4459381724679</v>
      </c>
      <c r="F220" s="10">
        <v>1739751164675</v>
      </c>
      <c r="G220" s="10">
        <v>968594117624</v>
      </c>
      <c r="H220" s="10">
        <v>665187653343</v>
      </c>
      <c r="I220" s="10">
        <v>3348925349593</v>
      </c>
      <c r="J220" s="10">
        <v>1097460429115</v>
      </c>
      <c r="K220" s="10">
        <v>1074563511332</v>
      </c>
      <c r="L220" s="10"/>
      <c r="M220" s="10">
        <v>3802563221254</v>
      </c>
      <c r="N220" s="10">
        <v>182929383432</v>
      </c>
      <c r="O220" s="10">
        <v>396260656889</v>
      </c>
      <c r="P220" s="10">
        <v>6.4352231845992156</v>
      </c>
      <c r="Q220" s="10">
        <v>0</v>
      </c>
      <c r="R220" s="10" t="s">
        <v>238</v>
      </c>
      <c r="S220" s="10">
        <v>0.24096692718301671</v>
      </c>
      <c r="T220" s="10">
        <v>0.2461014770369313</v>
      </c>
      <c r="U220" s="10">
        <v>6.2768184365770696E-2</v>
      </c>
      <c r="V220" s="10">
        <v>3.4575115506669061</v>
      </c>
    </row>
    <row r="221" spans="1:22" x14ac:dyDescent="0.3">
      <c r="A221" s="10" t="s">
        <v>87</v>
      </c>
      <c r="B221" s="10">
        <v>2022</v>
      </c>
      <c r="C221" s="10">
        <v>319737144397</v>
      </c>
      <c r="D221" s="10">
        <v>22658820755</v>
      </c>
      <c r="E221" s="10">
        <v>3882465049707</v>
      </c>
      <c r="F221" s="10">
        <v>1717891175942</v>
      </c>
      <c r="G221" s="10">
        <v>900110128340</v>
      </c>
      <c r="H221" s="10">
        <v>678454463993</v>
      </c>
      <c r="I221" s="10">
        <v>2847950114349</v>
      </c>
      <c r="J221" s="10">
        <v>961066815805</v>
      </c>
      <c r="K221" s="10">
        <v>1039436711949</v>
      </c>
      <c r="L221" s="10"/>
      <c r="M221" s="10">
        <v>3642215794469</v>
      </c>
      <c r="N221" s="10">
        <v>210203987750</v>
      </c>
      <c r="O221" s="10">
        <v>486906772797</v>
      </c>
      <c r="P221" s="10">
        <v>6.4388858325735869</v>
      </c>
      <c r="Q221" s="10">
        <v>0</v>
      </c>
      <c r="R221" s="10" t="s">
        <v>238</v>
      </c>
      <c r="S221" s="10">
        <v>0.26772596755956468</v>
      </c>
      <c r="T221" s="10">
        <v>0.24754036507747301</v>
      </c>
      <c r="U221" s="10">
        <v>8.2354159098258925E-2</v>
      </c>
      <c r="V221" s="10">
        <v>3.1640018534190291</v>
      </c>
    </row>
    <row r="222" spans="1:22" x14ac:dyDescent="0.3">
      <c r="A222" s="10" t="s">
        <v>88</v>
      </c>
      <c r="B222" s="10">
        <v>2025</v>
      </c>
      <c r="C222" s="10">
        <v>850856000</v>
      </c>
      <c r="D222" s="10">
        <v>302959000</v>
      </c>
      <c r="E222" s="10">
        <v>12347406000</v>
      </c>
      <c r="F222" s="10">
        <v>6133594000</v>
      </c>
      <c r="G222" s="10">
        <v>5503609000</v>
      </c>
      <c r="H222" s="10">
        <v>2272033000</v>
      </c>
      <c r="I222" s="10">
        <v>6843359000</v>
      </c>
      <c r="J222" s="10">
        <v>4577370000</v>
      </c>
      <c r="K222" s="10">
        <v>3861561000</v>
      </c>
      <c r="L222" s="10"/>
      <c r="M222" s="10">
        <v>3171276000</v>
      </c>
      <c r="N222" s="10">
        <v>453348000</v>
      </c>
      <c r="O222" s="10">
        <v>4720853000</v>
      </c>
      <c r="P222" s="10">
        <v>5.0287992226953886</v>
      </c>
      <c r="Q222" s="10">
        <v>0</v>
      </c>
      <c r="R222" s="10" t="s">
        <v>238</v>
      </c>
      <c r="S222" s="10">
        <v>0.31274269267569238</v>
      </c>
      <c r="T222" s="10">
        <v>0.37071511214582242</v>
      </c>
      <c r="U222" s="10">
        <v>6.8909696498195658E-2</v>
      </c>
      <c r="V222" s="10">
        <v>1.2434311739805639</v>
      </c>
    </row>
    <row r="223" spans="1:22" x14ac:dyDescent="0.3">
      <c r="A223" s="10" t="s">
        <v>88</v>
      </c>
      <c r="B223" s="10">
        <v>2024</v>
      </c>
      <c r="C223" s="10">
        <v>827759000</v>
      </c>
      <c r="D223" s="10">
        <v>300862000</v>
      </c>
      <c r="E223" s="10">
        <v>11777052000</v>
      </c>
      <c r="F223" s="10">
        <v>6240166000</v>
      </c>
      <c r="G223" s="10">
        <v>5368843000</v>
      </c>
      <c r="H223" s="10">
        <v>2321506000</v>
      </c>
      <c r="I223" s="10">
        <v>6407769000</v>
      </c>
      <c r="J223" s="10">
        <v>4150851000</v>
      </c>
      <c r="K223" s="10">
        <v>3918660000</v>
      </c>
      <c r="L223" s="10"/>
      <c r="M223" s="10">
        <v>3195731000</v>
      </c>
      <c r="N223" s="10">
        <v>424308000</v>
      </c>
      <c r="O223" s="10">
        <v>4637356000</v>
      </c>
      <c r="P223" s="10">
        <v>5.0572552352238844</v>
      </c>
      <c r="Q223" s="10">
        <v>0</v>
      </c>
      <c r="R223" s="10" t="s">
        <v>238</v>
      </c>
      <c r="S223" s="10">
        <v>0.33273691922222981</v>
      </c>
      <c r="T223" s="10">
        <v>0.3524524643348777</v>
      </c>
      <c r="U223" s="10">
        <v>7.0285755722229976E-2</v>
      </c>
      <c r="V223" s="10">
        <v>1.1935102218485441</v>
      </c>
    </row>
    <row r="224" spans="1:22" x14ac:dyDescent="0.3">
      <c r="A224" s="10" t="s">
        <v>88</v>
      </c>
      <c r="B224" s="10">
        <v>2023</v>
      </c>
      <c r="C224" s="10">
        <v>837598000</v>
      </c>
      <c r="D224" s="10">
        <v>287947000</v>
      </c>
      <c r="E224" s="10">
        <v>10125138000</v>
      </c>
      <c r="F224" s="10">
        <v>5623833000</v>
      </c>
      <c r="G224" s="10">
        <v>4125086000</v>
      </c>
      <c r="H224" s="10">
        <v>2122553000</v>
      </c>
      <c r="I224" s="10">
        <v>5999588000</v>
      </c>
      <c r="J224" s="10">
        <v>3753374000</v>
      </c>
      <c r="K224" s="10">
        <v>3501280000</v>
      </c>
      <c r="L224" s="10"/>
      <c r="M224" s="10">
        <v>3479018000</v>
      </c>
      <c r="N224" s="10">
        <v>411462000</v>
      </c>
      <c r="O224" s="10">
        <v>3456098000</v>
      </c>
      <c r="P224" s="10">
        <v>5.5599753314486193</v>
      </c>
      <c r="Q224" s="10">
        <v>0</v>
      </c>
      <c r="R224" s="10" t="s">
        <v>238</v>
      </c>
      <c r="S224" s="10">
        <v>0.34580071896304032</v>
      </c>
      <c r="T224" s="10">
        <v>0.37069855245429739</v>
      </c>
      <c r="U224" s="10">
        <v>8.2724600889390348E-2</v>
      </c>
      <c r="V224" s="10">
        <v>1.454415253403202</v>
      </c>
    </row>
    <row r="225" spans="1:22" x14ac:dyDescent="0.3">
      <c r="A225" s="10" t="s">
        <v>88</v>
      </c>
      <c r="B225" s="10">
        <v>2022</v>
      </c>
      <c r="C225" s="10">
        <v>1293844000</v>
      </c>
      <c r="D225" s="10">
        <v>246345000</v>
      </c>
      <c r="E225" s="10">
        <v>9640721000</v>
      </c>
      <c r="F225" s="10">
        <v>5476557000</v>
      </c>
      <c r="G225" s="10">
        <v>4035517000</v>
      </c>
      <c r="H225" s="10">
        <v>2239843000</v>
      </c>
      <c r="I225" s="10">
        <v>5604701000</v>
      </c>
      <c r="J225" s="10">
        <v>3370456000</v>
      </c>
      <c r="K225" s="10">
        <v>3236714000</v>
      </c>
      <c r="L225" s="10"/>
      <c r="M225" s="10">
        <v>4002632000</v>
      </c>
      <c r="N225" s="10">
        <v>857513000</v>
      </c>
      <c r="O225" s="10">
        <v>3356419000</v>
      </c>
      <c r="P225" s="10">
        <v>5.7022795307353338</v>
      </c>
      <c r="Q225" s="10">
        <v>0</v>
      </c>
      <c r="R225" s="10" t="s">
        <v>238</v>
      </c>
      <c r="S225" s="10">
        <v>0.33573360332697111</v>
      </c>
      <c r="T225" s="10">
        <v>0.34960621721134749</v>
      </c>
      <c r="U225" s="10">
        <v>0.134206144955341</v>
      </c>
      <c r="V225" s="10">
        <v>1.3888433625728751</v>
      </c>
    </row>
    <row r="226" spans="1:22" x14ac:dyDescent="0.3">
      <c r="A226" s="10" t="s">
        <v>89</v>
      </c>
      <c r="B226" s="10">
        <v>2025</v>
      </c>
      <c r="C226" s="10">
        <v>2908869000000</v>
      </c>
      <c r="D226" s="10">
        <v>172536000000</v>
      </c>
      <c r="E226" s="10">
        <v>31725343000000</v>
      </c>
      <c r="F226" s="10">
        <v>11215313000000</v>
      </c>
      <c r="G226" s="10">
        <v>8522242000000</v>
      </c>
      <c r="H226" s="10">
        <v>6104197000000</v>
      </c>
      <c r="I226" s="10">
        <v>23203101000000</v>
      </c>
      <c r="J226" s="10">
        <v>21864966000000</v>
      </c>
      <c r="K226" s="10">
        <v>5111116000000</v>
      </c>
      <c r="L226" s="10"/>
      <c r="M226" s="10">
        <v>17731188000000</v>
      </c>
      <c r="N226" s="10">
        <v>2248781000000</v>
      </c>
      <c r="O226" s="10">
        <v>2743494000000</v>
      </c>
      <c r="P226" s="10">
        <v>6.7785630791492579</v>
      </c>
      <c r="Q226" s="10">
        <v>0</v>
      </c>
      <c r="R226" s="10" t="s">
        <v>238</v>
      </c>
      <c r="S226" s="10">
        <v>0.16110514549834809</v>
      </c>
      <c r="T226" s="10">
        <v>0.68919557465462233</v>
      </c>
      <c r="U226" s="10">
        <v>9.1689126891394052E-2</v>
      </c>
      <c r="V226" s="10">
        <v>2.7226522081865312</v>
      </c>
    </row>
    <row r="227" spans="1:22" x14ac:dyDescent="0.3">
      <c r="A227" s="10" t="s">
        <v>89</v>
      </c>
      <c r="B227" s="10">
        <v>2024</v>
      </c>
      <c r="C227" s="10">
        <v>2644580000000</v>
      </c>
      <c r="D227" s="10">
        <v>181562000000</v>
      </c>
      <c r="E227" s="10">
        <v>30420006000000</v>
      </c>
      <c r="F227" s="10">
        <v>10388834000000</v>
      </c>
      <c r="G227" s="10">
        <v>8305656000000</v>
      </c>
      <c r="H227" s="10">
        <v>7175129000000</v>
      </c>
      <c r="I227" s="10">
        <v>22114350000000</v>
      </c>
      <c r="J227" s="10">
        <v>20484347000000</v>
      </c>
      <c r="K227" s="10">
        <v>3213705000000</v>
      </c>
      <c r="L227" s="10"/>
      <c r="M227" s="10">
        <v>18548734000000</v>
      </c>
      <c r="N227" s="10">
        <v>2007947000000</v>
      </c>
      <c r="O227" s="10">
        <v>2438744000000</v>
      </c>
      <c r="P227" s="10">
        <v>6.2681599414970366</v>
      </c>
      <c r="Q227" s="10">
        <v>0</v>
      </c>
      <c r="R227" s="10" t="s">
        <v>238</v>
      </c>
      <c r="S227" s="10">
        <v>0.1056444564803833</v>
      </c>
      <c r="T227" s="10">
        <v>0.6733840552168201</v>
      </c>
      <c r="U227" s="10">
        <v>8.6935551557747889E-2</v>
      </c>
      <c r="V227" s="10">
        <v>2.6625651242960222</v>
      </c>
    </row>
    <row r="228" spans="1:22" x14ac:dyDescent="0.3">
      <c r="A228" s="10" t="s">
        <v>89</v>
      </c>
      <c r="B228" s="10">
        <v>2023</v>
      </c>
      <c r="C228" s="10">
        <v>2456851000000</v>
      </c>
      <c r="D228" s="10">
        <v>60503000000</v>
      </c>
      <c r="E228" s="10">
        <v>29649645000000</v>
      </c>
      <c r="F228" s="10">
        <v>9228033000000</v>
      </c>
      <c r="G228" s="10">
        <v>8680134000000</v>
      </c>
      <c r="H228" s="10">
        <v>7368187000000</v>
      </c>
      <c r="I228" s="10">
        <v>20969511000000</v>
      </c>
      <c r="J228" s="10">
        <v>18772800000000</v>
      </c>
      <c r="K228" s="10">
        <v>1859846000000</v>
      </c>
      <c r="L228" s="10"/>
      <c r="M228" s="10">
        <v>17949756000000</v>
      </c>
      <c r="N228" s="10">
        <v>1950266000000</v>
      </c>
      <c r="O228" s="10">
        <v>2804861000000</v>
      </c>
      <c r="P228" s="10">
        <v>5.5690078153864668</v>
      </c>
      <c r="Q228" s="10">
        <v>0</v>
      </c>
      <c r="R228" s="10" t="s">
        <v>238</v>
      </c>
      <c r="S228" s="10">
        <v>6.2727428945607955E-2</v>
      </c>
      <c r="T228" s="10">
        <v>0.63315429240383825</v>
      </c>
      <c r="U228" s="10">
        <v>8.2862745911460325E-2</v>
      </c>
      <c r="V228" s="10">
        <v>2.4158049864207172</v>
      </c>
    </row>
    <row r="229" spans="1:22" x14ac:dyDescent="0.3">
      <c r="A229" s="10" t="s">
        <v>89</v>
      </c>
      <c r="B229" s="10">
        <v>2022</v>
      </c>
      <c r="C229" s="10">
        <v>2332223000000</v>
      </c>
      <c r="D229" s="10">
        <v>42914000000</v>
      </c>
      <c r="E229" s="10">
        <v>25706169000000</v>
      </c>
      <c r="F229" s="10">
        <v>10312090000000</v>
      </c>
      <c r="G229" s="10">
        <v>6139263000000</v>
      </c>
      <c r="H229" s="10">
        <v>4822152000000</v>
      </c>
      <c r="I229" s="10">
        <v>19566906000000</v>
      </c>
      <c r="J229" s="10">
        <v>17370195000000</v>
      </c>
      <c r="K229" s="10">
        <v>5489938000000</v>
      </c>
      <c r="L229" s="10"/>
      <c r="M229" s="10">
        <v>16328278000000</v>
      </c>
      <c r="N229" s="10">
        <v>1842434000000</v>
      </c>
      <c r="O229" s="10">
        <v>987476000000</v>
      </c>
      <c r="P229" s="10">
        <v>7.5600503385487343</v>
      </c>
      <c r="Q229" s="10">
        <v>0</v>
      </c>
      <c r="R229" s="10" t="s">
        <v>238</v>
      </c>
      <c r="S229" s="10">
        <v>0.21356500068135401</v>
      </c>
      <c r="T229" s="10">
        <v>0.67572087462740948</v>
      </c>
      <c r="U229" s="10">
        <v>9.0726198835773625E-2</v>
      </c>
      <c r="V229" s="10">
        <v>3.1871750729688562</v>
      </c>
    </row>
    <row r="230" spans="1:22" x14ac:dyDescent="0.3">
      <c r="A230" s="10" t="s">
        <v>90</v>
      </c>
      <c r="B230" s="10">
        <v>2025</v>
      </c>
      <c r="C230" s="10">
        <v>10151100</v>
      </c>
      <c r="D230" s="10">
        <v>7836029</v>
      </c>
      <c r="E230" s="10">
        <v>383891985</v>
      </c>
      <c r="F230" s="10">
        <v>130867917</v>
      </c>
      <c r="G230" s="10">
        <v>203104387</v>
      </c>
      <c r="H230" s="10">
        <v>111999938</v>
      </c>
      <c r="I230" s="10">
        <v>172676946</v>
      </c>
      <c r="J230" s="10">
        <v>84144349</v>
      </c>
      <c r="K230" s="10">
        <v>18867979</v>
      </c>
      <c r="L230" s="10"/>
      <c r="M230" s="10">
        <v>241584918</v>
      </c>
      <c r="N230" s="10">
        <v>1052329</v>
      </c>
      <c r="O230" s="10">
        <v>168143975</v>
      </c>
      <c r="P230" s="10">
        <v>2.1073619320471169</v>
      </c>
      <c r="Q230" s="10">
        <v>0</v>
      </c>
      <c r="R230" s="10" t="s">
        <v>239</v>
      </c>
      <c r="S230" s="10">
        <v>4.914918710793089E-2</v>
      </c>
      <c r="T230" s="10">
        <v>0.219187563918533</v>
      </c>
      <c r="U230" s="10">
        <v>2.6442594262550179E-2</v>
      </c>
      <c r="V230" s="10">
        <v>0.85018816457174806</v>
      </c>
    </row>
    <row r="231" spans="1:22" x14ac:dyDescent="0.3">
      <c r="A231" s="10" t="s">
        <v>90</v>
      </c>
      <c r="B231" s="10">
        <v>2024</v>
      </c>
      <c r="C231" s="10">
        <v>7594250</v>
      </c>
      <c r="D231" s="10">
        <v>5558913</v>
      </c>
      <c r="E231" s="10">
        <v>371808583</v>
      </c>
      <c r="F231" s="10">
        <v>130451808</v>
      </c>
      <c r="G231" s="10">
        <v>194776470</v>
      </c>
      <c r="H231" s="10">
        <v>113324773</v>
      </c>
      <c r="I231" s="10">
        <v>169391992</v>
      </c>
      <c r="J231" s="10">
        <v>83696675</v>
      </c>
      <c r="K231" s="10">
        <v>17127035</v>
      </c>
      <c r="L231" s="10"/>
      <c r="M231" s="10">
        <v>211926197</v>
      </c>
      <c r="N231" s="10">
        <v>1059377</v>
      </c>
      <c r="O231" s="10">
        <v>158033987</v>
      </c>
      <c r="P231" s="10">
        <v>2.0864436603880718</v>
      </c>
      <c r="Q231" s="10">
        <v>0</v>
      </c>
      <c r="R231" s="10" t="s">
        <v>239</v>
      </c>
      <c r="S231" s="10">
        <v>4.6064119504201979E-2</v>
      </c>
      <c r="T231" s="10">
        <v>0.2251068932424295</v>
      </c>
      <c r="U231" s="10">
        <v>2.0425160545581061E-2</v>
      </c>
      <c r="V231" s="10">
        <v>0.86967379581322113</v>
      </c>
    </row>
    <row r="232" spans="1:22" x14ac:dyDescent="0.3">
      <c r="A232" s="10" t="s">
        <v>90</v>
      </c>
      <c r="B232" s="10">
        <v>2023</v>
      </c>
      <c r="C232" s="10">
        <v>5964589</v>
      </c>
      <c r="D232" s="10">
        <v>4996245</v>
      </c>
      <c r="E232" s="10">
        <v>284075431</v>
      </c>
      <c r="F232" s="10">
        <v>113934065</v>
      </c>
      <c r="G232" s="10">
        <v>107102928</v>
      </c>
      <c r="H232" s="10">
        <v>84204424</v>
      </c>
      <c r="I232" s="10">
        <v>169220827</v>
      </c>
      <c r="J232" s="10">
        <v>81795410</v>
      </c>
      <c r="K232" s="10">
        <v>29729641</v>
      </c>
      <c r="L232" s="10"/>
      <c r="M232" s="10">
        <v>193862822</v>
      </c>
      <c r="N232" s="10">
        <v>285610</v>
      </c>
      <c r="O232" s="10">
        <v>79623745</v>
      </c>
      <c r="P232" s="10">
        <v>3.4252791429428129</v>
      </c>
      <c r="Q232" s="10">
        <v>0</v>
      </c>
      <c r="R232" s="10" t="s">
        <v>238</v>
      </c>
      <c r="S232" s="10">
        <v>0.1046540381734033</v>
      </c>
      <c r="T232" s="10">
        <v>0.28793553075696998</v>
      </c>
      <c r="U232" s="10">
        <v>2.0996497229638981E-2</v>
      </c>
      <c r="V232" s="10">
        <v>1.5799832008327539</v>
      </c>
    </row>
    <row r="233" spans="1:22" x14ac:dyDescent="0.3">
      <c r="A233" s="10" t="s">
        <v>90</v>
      </c>
      <c r="B233" s="10">
        <v>2022</v>
      </c>
      <c r="C233" s="10">
        <v>9299438</v>
      </c>
      <c r="D233" s="10">
        <v>4268366</v>
      </c>
      <c r="E233" s="10">
        <v>280534499</v>
      </c>
      <c r="F233" s="10">
        <v>119637098</v>
      </c>
      <c r="G233" s="10">
        <v>102615800</v>
      </c>
      <c r="H233" s="10">
        <v>82323398</v>
      </c>
      <c r="I233" s="10">
        <v>170038829</v>
      </c>
      <c r="J233" s="10">
        <v>81388734</v>
      </c>
      <c r="K233" s="10">
        <v>37313700</v>
      </c>
      <c r="L233" s="10"/>
      <c r="M233" s="10">
        <v>227701578</v>
      </c>
      <c r="N233" s="10">
        <v>3178662</v>
      </c>
      <c r="O233" s="10">
        <v>70386774</v>
      </c>
      <c r="P233" s="10">
        <v>3.7809898223204339</v>
      </c>
      <c r="Q233" s="10">
        <v>0</v>
      </c>
      <c r="R233" s="10" t="s">
        <v>238</v>
      </c>
      <c r="S233" s="10">
        <v>0.13300930948959691</v>
      </c>
      <c r="T233" s="10">
        <v>0.29012023223567951</v>
      </c>
      <c r="U233" s="10">
        <v>3.314899961733405E-2</v>
      </c>
      <c r="V233" s="10">
        <v>1.6570433500494079</v>
      </c>
    </row>
    <row r="234" spans="1:22" x14ac:dyDescent="0.3">
      <c r="A234" s="10" t="s">
        <v>91</v>
      </c>
      <c r="B234" s="10">
        <v>2025</v>
      </c>
      <c r="C234" s="10">
        <v>836585000000</v>
      </c>
      <c r="D234" s="10">
        <v>164099000000</v>
      </c>
      <c r="E234" s="10">
        <v>8796370000000</v>
      </c>
      <c r="F234" s="10">
        <v>5025701000000</v>
      </c>
      <c r="G234" s="10">
        <v>3123011000000</v>
      </c>
      <c r="H234" s="10">
        <v>1628609000000</v>
      </c>
      <c r="I234" s="10">
        <v>5673376000000</v>
      </c>
      <c r="J234" s="10">
        <v>2987168000000</v>
      </c>
      <c r="K234" s="10">
        <v>3397092000000</v>
      </c>
      <c r="L234" s="10"/>
      <c r="M234" s="10">
        <v>5932797000000</v>
      </c>
      <c r="N234" s="10">
        <v>534247000000</v>
      </c>
      <c r="O234" s="10">
        <v>2362936000000</v>
      </c>
      <c r="P234" s="10">
        <v>6.1870681000001797</v>
      </c>
      <c r="Q234" s="10">
        <v>0</v>
      </c>
      <c r="R234" s="10" t="s">
        <v>238</v>
      </c>
      <c r="S234" s="10">
        <v>0.38619248621874708</v>
      </c>
      <c r="T234" s="10">
        <v>0.33959099037443857</v>
      </c>
      <c r="U234" s="10">
        <v>9.5105708377432957E-2</v>
      </c>
      <c r="V234" s="10">
        <v>1.8166365728458851</v>
      </c>
    </row>
    <row r="235" spans="1:22" x14ac:dyDescent="0.3">
      <c r="A235" s="10" t="s">
        <v>91</v>
      </c>
      <c r="B235" s="10">
        <v>2024</v>
      </c>
      <c r="C235" s="10">
        <v>811349000000</v>
      </c>
      <c r="D235" s="10">
        <v>135760000000</v>
      </c>
      <c r="E235" s="10">
        <v>8295427000000</v>
      </c>
      <c r="F235" s="10">
        <v>5254241000000</v>
      </c>
      <c r="G235" s="10">
        <v>3251676000000</v>
      </c>
      <c r="H235" s="10">
        <v>1611148000000</v>
      </c>
      <c r="I235" s="10">
        <v>5043737000000</v>
      </c>
      <c r="J235" s="10">
        <v>2575745000000</v>
      </c>
      <c r="K235" s="10">
        <v>3643093000000</v>
      </c>
      <c r="L235" s="10"/>
      <c r="M235" s="10">
        <v>6118364000000</v>
      </c>
      <c r="N235" s="10">
        <v>530082000000</v>
      </c>
      <c r="O235" s="10">
        <v>2488969000000</v>
      </c>
      <c r="P235" s="10">
        <v>6.1791201047884714</v>
      </c>
      <c r="Q235" s="10">
        <v>0</v>
      </c>
      <c r="R235" s="10" t="s">
        <v>238</v>
      </c>
      <c r="S235" s="10">
        <v>0.43916883362363379</v>
      </c>
      <c r="T235" s="10">
        <v>0.31050179815939549</v>
      </c>
      <c r="U235" s="10">
        <v>9.7806779566621468E-2</v>
      </c>
      <c r="V235" s="10">
        <v>1.5511191766953409</v>
      </c>
    </row>
    <row r="236" spans="1:22" x14ac:dyDescent="0.3">
      <c r="A236" s="10" t="s">
        <v>91</v>
      </c>
      <c r="B236" s="10">
        <v>2023</v>
      </c>
      <c r="C236" s="10">
        <v>771676000000</v>
      </c>
      <c r="D236" s="10">
        <v>131092000000</v>
      </c>
      <c r="E236" s="10">
        <v>7971708000000</v>
      </c>
      <c r="F236" s="10">
        <v>5074574000000</v>
      </c>
      <c r="G236" s="10">
        <v>3353362000000</v>
      </c>
      <c r="H236" s="10">
        <v>2497358000000</v>
      </c>
      <c r="I236" s="10">
        <v>4618313000000</v>
      </c>
      <c r="J236" s="10">
        <v>2161643000000</v>
      </c>
      <c r="K236" s="10">
        <v>2577216000000</v>
      </c>
      <c r="L236" s="10"/>
      <c r="M236" s="10">
        <v>6455329000000</v>
      </c>
      <c r="N236" s="10">
        <v>498087000000</v>
      </c>
      <c r="O236" s="10">
        <v>2660110000000</v>
      </c>
      <c r="P236" s="10">
        <v>5.101401207711481</v>
      </c>
      <c r="Q236" s="10">
        <v>0</v>
      </c>
      <c r="R236" s="10" t="s">
        <v>238</v>
      </c>
      <c r="S236" s="10">
        <v>0.3232953339485089</v>
      </c>
      <c r="T236" s="10">
        <v>0.27116434771569659</v>
      </c>
      <c r="U236" s="10">
        <v>9.680183970612069E-2</v>
      </c>
      <c r="V236" s="10">
        <v>1.3772187434580581</v>
      </c>
    </row>
    <row r="237" spans="1:22" x14ac:dyDescent="0.3">
      <c r="A237" s="10" t="s">
        <v>91</v>
      </c>
      <c r="B237" s="10">
        <v>2022</v>
      </c>
      <c r="C237" s="10">
        <v>490186000000</v>
      </c>
      <c r="D237" s="10">
        <v>96955000000</v>
      </c>
      <c r="E237" s="10">
        <v>7405931000000</v>
      </c>
      <c r="F237" s="10">
        <v>4401410000000</v>
      </c>
      <c r="G237" s="10">
        <v>3261396000000</v>
      </c>
      <c r="H237" s="10">
        <v>2606899000000</v>
      </c>
      <c r="I237" s="10">
        <v>4144474000000</v>
      </c>
      <c r="J237" s="10">
        <v>1715948000000</v>
      </c>
      <c r="K237" s="10">
        <v>1794511000000</v>
      </c>
      <c r="L237" s="10"/>
      <c r="M237" s="10">
        <v>6255945000000</v>
      </c>
      <c r="N237" s="10">
        <v>305860000000</v>
      </c>
      <c r="O237" s="10">
        <v>2620637000000</v>
      </c>
      <c r="P237" s="10">
        <v>4.1239656345316114</v>
      </c>
      <c r="Q237" s="10">
        <v>0</v>
      </c>
      <c r="R237" s="10" t="s">
        <v>238</v>
      </c>
      <c r="S237" s="10">
        <v>0.24230728047560801</v>
      </c>
      <c r="T237" s="10">
        <v>0.2316991611182983</v>
      </c>
      <c r="U237" s="10">
        <v>6.618830232147721E-2</v>
      </c>
      <c r="V237" s="10">
        <v>1.270766874062518</v>
      </c>
    </row>
    <row r="238" spans="1:22" x14ac:dyDescent="0.3">
      <c r="A238" s="10" t="s">
        <v>92</v>
      </c>
      <c r="B238" s="10">
        <v>2025</v>
      </c>
      <c r="C238" s="10">
        <v>467277099456</v>
      </c>
      <c r="D238" s="10">
        <v>123683275985</v>
      </c>
      <c r="E238" s="10">
        <v>4019981349537</v>
      </c>
      <c r="F238" s="10">
        <v>1853937570919</v>
      </c>
      <c r="G238" s="10">
        <v>2102978770822</v>
      </c>
      <c r="H238" s="10">
        <v>427395349989</v>
      </c>
      <c r="I238" s="10">
        <v>1917002578715</v>
      </c>
      <c r="J238" s="10">
        <v>577900963369</v>
      </c>
      <c r="K238" s="10">
        <v>1426542220930</v>
      </c>
      <c r="L238" s="10"/>
      <c r="M238" s="10">
        <v>4278884819576</v>
      </c>
      <c r="N238" s="10">
        <v>268481281878</v>
      </c>
      <c r="O238" s="10">
        <v>1787116055442</v>
      </c>
      <c r="P238" s="10">
        <v>4.5348159912230086</v>
      </c>
      <c r="Q238" s="10">
        <v>0</v>
      </c>
      <c r="R238" s="10" t="s">
        <v>238</v>
      </c>
      <c r="S238" s="10">
        <v>0.35486289534509941</v>
      </c>
      <c r="T238" s="10">
        <v>0.14375712549899261</v>
      </c>
      <c r="U238" s="10">
        <v>0.1162386237214306</v>
      </c>
      <c r="V238" s="10">
        <v>0.91156534973755021</v>
      </c>
    </row>
    <row r="239" spans="1:22" x14ac:dyDescent="0.3">
      <c r="A239" s="10" t="s">
        <v>92</v>
      </c>
      <c r="B239" s="10">
        <v>2024</v>
      </c>
      <c r="C239" s="10">
        <v>424746759945</v>
      </c>
      <c r="D239" s="10">
        <v>90145257178</v>
      </c>
      <c r="E239" s="10">
        <v>4105433051060</v>
      </c>
      <c r="F239" s="10">
        <v>1922274094835</v>
      </c>
      <c r="G239" s="10">
        <v>2404070189257</v>
      </c>
      <c r="H239" s="10">
        <v>601866800788</v>
      </c>
      <c r="I239" s="10">
        <v>1701362861803</v>
      </c>
      <c r="J239" s="10">
        <v>361572939024</v>
      </c>
      <c r="K239" s="10">
        <v>1320407294047</v>
      </c>
      <c r="L239" s="10"/>
      <c r="M239" s="10">
        <v>3864889048543</v>
      </c>
      <c r="N239" s="10">
        <v>260725531457</v>
      </c>
      <c r="O239" s="10">
        <v>1855318684517</v>
      </c>
      <c r="P239" s="10">
        <v>3.8353049881352761</v>
      </c>
      <c r="Q239" s="10">
        <v>0</v>
      </c>
      <c r="R239" s="10" t="s">
        <v>238</v>
      </c>
      <c r="S239" s="10">
        <v>0.32162436401345729</v>
      </c>
      <c r="T239" s="10">
        <v>8.8071814721383382E-2</v>
      </c>
      <c r="U239" s="10">
        <v>0.103459672746419</v>
      </c>
      <c r="V239" s="10">
        <v>0.70770099367557227</v>
      </c>
    </row>
    <row r="240" spans="1:22" x14ac:dyDescent="0.3">
      <c r="A240" s="10" t="s">
        <v>92</v>
      </c>
      <c r="B240" s="10">
        <v>2023</v>
      </c>
      <c r="C240" s="10">
        <v>265310422881</v>
      </c>
      <c r="D240" s="10">
        <v>48111414101</v>
      </c>
      <c r="E240" s="10">
        <v>3652686220005</v>
      </c>
      <c r="F240" s="10">
        <v>1352081262260</v>
      </c>
      <c r="G240" s="10">
        <v>2211114704243</v>
      </c>
      <c r="H240" s="10">
        <v>365656547353</v>
      </c>
      <c r="I240" s="10">
        <v>1441571515762</v>
      </c>
      <c r="J240" s="10">
        <v>100847407567</v>
      </c>
      <c r="K240" s="10">
        <v>986424714907</v>
      </c>
      <c r="L240" s="10"/>
      <c r="M240" s="10">
        <v>4442279649263</v>
      </c>
      <c r="N240" s="10">
        <v>77266308096</v>
      </c>
      <c r="O240" s="10">
        <v>1924831437938</v>
      </c>
      <c r="P240" s="10">
        <v>3.0342308306272501</v>
      </c>
      <c r="Q240" s="10">
        <v>0</v>
      </c>
      <c r="R240" s="10" t="s">
        <v>238</v>
      </c>
      <c r="S240" s="10">
        <v>0.27005459968188827</v>
      </c>
      <c r="T240" s="10">
        <v>2.7609107788859551E-2</v>
      </c>
      <c r="U240" s="10">
        <v>7.2634331804344476E-2</v>
      </c>
      <c r="V240" s="10">
        <v>0.65196595771160515</v>
      </c>
    </row>
    <row r="241" spans="1:22" x14ac:dyDescent="0.3">
      <c r="A241" s="10" t="s">
        <v>92</v>
      </c>
      <c r="B241" s="10">
        <v>2022</v>
      </c>
      <c r="C241" s="10">
        <v>252182095079</v>
      </c>
      <c r="D241" s="10">
        <v>49957648906</v>
      </c>
      <c r="E241" s="10">
        <v>3489310229052</v>
      </c>
      <c r="F241" s="10">
        <v>1499585685715</v>
      </c>
      <c r="G241" s="10">
        <v>2215046114094</v>
      </c>
      <c r="H241" s="10">
        <v>994042400953</v>
      </c>
      <c r="I241" s="10">
        <v>1274264114958</v>
      </c>
      <c r="J241" s="10">
        <v>40407142498</v>
      </c>
      <c r="K241" s="10">
        <v>505543284762</v>
      </c>
      <c r="L241" s="10"/>
      <c r="M241" s="10">
        <v>4642340995500</v>
      </c>
      <c r="N241" s="10">
        <v>41681880210</v>
      </c>
      <c r="O241" s="10">
        <v>1446612914333</v>
      </c>
      <c r="P241" s="10">
        <v>2.0779004302944908</v>
      </c>
      <c r="Q241" s="10">
        <v>0</v>
      </c>
      <c r="R241" s="10" t="s">
        <v>239</v>
      </c>
      <c r="S241" s="10">
        <v>0.14488344445639889</v>
      </c>
      <c r="T241" s="10">
        <v>1.1580266541384049E-2</v>
      </c>
      <c r="U241" s="10">
        <v>7.2272764106593806E-2</v>
      </c>
      <c r="V241" s="10">
        <v>0.57527656279932604</v>
      </c>
    </row>
    <row r="242" spans="1:22" x14ac:dyDescent="0.3">
      <c r="A242" s="10" t="s">
        <v>94</v>
      </c>
      <c r="B242" s="10">
        <v>2025</v>
      </c>
      <c r="C242" s="10">
        <v>183342474000</v>
      </c>
      <c r="D242" s="10">
        <v>37501202000</v>
      </c>
      <c r="E242" s="10">
        <v>2574370034000</v>
      </c>
      <c r="F242" s="10">
        <v>1962563676000</v>
      </c>
      <c r="G242" s="10">
        <v>1657245378000</v>
      </c>
      <c r="H242" s="10">
        <v>1566893096000</v>
      </c>
      <c r="I242" s="10">
        <v>917116864000</v>
      </c>
      <c r="J242" s="10">
        <v>535552765000</v>
      </c>
      <c r="K242" s="10">
        <v>395670580000</v>
      </c>
      <c r="L242" s="10"/>
      <c r="M242" s="10">
        <v>4054410126000</v>
      </c>
      <c r="N242" s="10">
        <v>115373220000</v>
      </c>
      <c r="O242" s="10">
        <v>1123594097000</v>
      </c>
      <c r="P242" s="10">
        <v>2.7460882065901919</v>
      </c>
      <c r="Q242" s="10">
        <v>0</v>
      </c>
      <c r="R242" s="10" t="s">
        <v>238</v>
      </c>
      <c r="S242" s="10">
        <v>0.1536960789530383</v>
      </c>
      <c r="T242" s="10">
        <v>0.20803255084812719</v>
      </c>
      <c r="U242" s="10">
        <v>7.1218384140032301E-2</v>
      </c>
      <c r="V242" s="10">
        <v>0.55339835378318969</v>
      </c>
    </row>
    <row r="243" spans="1:22" x14ac:dyDescent="0.3">
      <c r="A243" s="10" t="s">
        <v>94</v>
      </c>
      <c r="B243" s="10">
        <v>2024</v>
      </c>
      <c r="C243" s="10">
        <v>113135283000</v>
      </c>
      <c r="D243" s="10">
        <v>18830639000</v>
      </c>
      <c r="E243" s="10">
        <v>2559780236000</v>
      </c>
      <c r="F243" s="10">
        <v>1966667496000</v>
      </c>
      <c r="G243" s="10">
        <v>1729104372000</v>
      </c>
      <c r="H243" s="10">
        <v>1652255723000</v>
      </c>
      <c r="I243" s="10">
        <v>830668275000</v>
      </c>
      <c r="J243" s="10">
        <v>432739342000</v>
      </c>
      <c r="K243" s="10">
        <v>314411773000</v>
      </c>
      <c r="L243" s="10"/>
      <c r="M243" s="10">
        <v>3508544707000</v>
      </c>
      <c r="N243" s="10">
        <v>76581895000</v>
      </c>
      <c r="O243" s="10">
        <v>1148964353000</v>
      </c>
      <c r="P243" s="10">
        <v>2.1582927370933338</v>
      </c>
      <c r="Q243" s="10">
        <v>0</v>
      </c>
      <c r="R243" s="10" t="s">
        <v>239</v>
      </c>
      <c r="S243" s="10">
        <v>0.1228276430055224</v>
      </c>
      <c r="T243" s="10">
        <v>0.1690533179036546</v>
      </c>
      <c r="U243" s="10">
        <v>4.4197264049819003E-2</v>
      </c>
      <c r="V243" s="10">
        <v>0.48040377923467542</v>
      </c>
    </row>
    <row r="244" spans="1:22" x14ac:dyDescent="0.3">
      <c r="A244" s="10" t="s">
        <v>94</v>
      </c>
      <c r="B244" s="10">
        <v>2023</v>
      </c>
      <c r="C244" s="10">
        <v>137007525000</v>
      </c>
      <c r="D244" s="10">
        <v>29724203000</v>
      </c>
      <c r="E244" s="10">
        <v>2162295387000</v>
      </c>
      <c r="F244" s="10">
        <v>1593571789000</v>
      </c>
      <c r="G244" s="10">
        <v>1369447284000</v>
      </c>
      <c r="H244" s="10">
        <v>1303802353000</v>
      </c>
      <c r="I244" s="10">
        <v>792841680000</v>
      </c>
      <c r="J244" s="10">
        <v>396456276000</v>
      </c>
      <c r="K244" s="10">
        <v>289769436000</v>
      </c>
      <c r="L244" s="10"/>
      <c r="M244" s="10">
        <v>3087562665000</v>
      </c>
      <c r="N244" s="10">
        <v>64390135000</v>
      </c>
      <c r="O244" s="10">
        <v>740343584000</v>
      </c>
      <c r="P244" s="10">
        <v>2.5105172080509748</v>
      </c>
      <c r="Q244" s="10">
        <v>0</v>
      </c>
      <c r="R244" s="10" t="s">
        <v>239</v>
      </c>
      <c r="S244" s="10">
        <v>0.1340101069179222</v>
      </c>
      <c r="T244" s="10">
        <v>0.18334973028363591</v>
      </c>
      <c r="U244" s="10">
        <v>6.336207616392607E-2</v>
      </c>
      <c r="V244" s="10">
        <v>0.57895012773635179</v>
      </c>
    </row>
    <row r="245" spans="1:22" x14ac:dyDescent="0.3">
      <c r="A245" s="10" t="s">
        <v>94</v>
      </c>
      <c r="B245" s="10">
        <v>2022</v>
      </c>
      <c r="C245" s="10">
        <v>93995355000</v>
      </c>
      <c r="D245" s="10">
        <v>33909603000</v>
      </c>
      <c r="E245" s="10">
        <v>2199797641000</v>
      </c>
      <c r="F245" s="10">
        <v>1612699929000</v>
      </c>
      <c r="G245" s="10">
        <v>1451568681000</v>
      </c>
      <c r="H245" s="10">
        <v>1391322089000</v>
      </c>
      <c r="I245" s="10">
        <v>748223381000</v>
      </c>
      <c r="J245" s="10">
        <v>348445662000</v>
      </c>
      <c r="K245" s="10">
        <v>221377840000</v>
      </c>
      <c r="L245" s="10"/>
      <c r="M245" s="10">
        <v>2816473345000</v>
      </c>
      <c r="N245" s="10">
        <v>57624980000</v>
      </c>
      <c r="O245" s="10">
        <v>887477482000</v>
      </c>
      <c r="P245" s="10">
        <v>2.0049207026307969</v>
      </c>
      <c r="Q245" s="10">
        <v>0</v>
      </c>
      <c r="R245" s="10" t="s">
        <v>239</v>
      </c>
      <c r="S245" s="10">
        <v>0.1006355475039806</v>
      </c>
      <c r="T245" s="10">
        <v>0.15839896157066569</v>
      </c>
      <c r="U245" s="10">
        <v>4.2729091643752701E-2</v>
      </c>
      <c r="V245" s="10">
        <v>0.5154584766079009</v>
      </c>
    </row>
    <row r="246" spans="1:22" x14ac:dyDescent="0.3">
      <c r="A246" s="10" t="s">
        <v>95</v>
      </c>
      <c r="B246" s="10">
        <v>2025</v>
      </c>
      <c r="C246" s="10">
        <v>66630259386</v>
      </c>
      <c r="D246" s="10">
        <v>14931705684</v>
      </c>
      <c r="E246" s="10">
        <v>552114462075</v>
      </c>
      <c r="F246" s="10">
        <v>369259456868</v>
      </c>
      <c r="G246" s="10">
        <v>406594316759</v>
      </c>
      <c r="H246" s="10">
        <v>323886234629</v>
      </c>
      <c r="I246" s="10">
        <v>144739135572</v>
      </c>
      <c r="J246" s="10">
        <v>52616752362</v>
      </c>
      <c r="K246" s="10">
        <v>45373222239</v>
      </c>
      <c r="L246" s="10"/>
      <c r="M246" s="10">
        <v>753050908792</v>
      </c>
      <c r="N246" s="10">
        <v>39022996406</v>
      </c>
      <c r="O246" s="10">
        <v>208774340431</v>
      </c>
      <c r="P246" s="10">
        <v>2.0345466770612801</v>
      </c>
      <c r="Q246" s="10">
        <v>0</v>
      </c>
      <c r="R246" s="10" t="s">
        <v>239</v>
      </c>
      <c r="S246" s="10">
        <v>8.2180825455060141E-2</v>
      </c>
      <c r="T246" s="10">
        <v>9.5300442166016769E-2</v>
      </c>
      <c r="U246" s="10">
        <v>0.1206819671696063</v>
      </c>
      <c r="V246" s="10">
        <v>0.35597923927153913</v>
      </c>
    </row>
    <row r="247" spans="1:22" x14ac:dyDescent="0.3">
      <c r="A247" s="10" t="s">
        <v>96</v>
      </c>
      <c r="B247" s="10">
        <v>2025</v>
      </c>
      <c r="C247" s="10">
        <v>6199595000000</v>
      </c>
      <c r="D247" s="10">
        <v>715946000000</v>
      </c>
      <c r="E247" s="10">
        <v>40060430000000</v>
      </c>
      <c r="F247" s="10">
        <v>21376175000000</v>
      </c>
      <c r="G247" s="10">
        <v>20041473000000</v>
      </c>
      <c r="H247" s="10">
        <v>16517464000000</v>
      </c>
      <c r="I247" s="10">
        <v>18663756000000</v>
      </c>
      <c r="J247" s="10">
        <v>15415318000000</v>
      </c>
      <c r="K247" s="10">
        <v>4858711000000</v>
      </c>
      <c r="L247" s="10"/>
      <c r="M247" s="10">
        <v>60715806000000</v>
      </c>
      <c r="N247" s="10">
        <v>4003999000000</v>
      </c>
      <c r="O247" s="10">
        <v>11862081000000</v>
      </c>
      <c r="P247" s="10">
        <v>4.0678602365316774</v>
      </c>
      <c r="Q247" s="10">
        <v>0</v>
      </c>
      <c r="R247" s="10" t="s">
        <v>238</v>
      </c>
      <c r="S247" s="10">
        <v>0.12128454437458611</v>
      </c>
      <c r="T247" s="10">
        <v>0.38480161096623278</v>
      </c>
      <c r="U247" s="10">
        <v>0.1547560772562851</v>
      </c>
      <c r="V247" s="10">
        <v>0.93125669954498858</v>
      </c>
    </row>
    <row r="248" spans="1:22" x14ac:dyDescent="0.3">
      <c r="A248" s="10" t="s">
        <v>96</v>
      </c>
      <c r="B248" s="10">
        <v>2024</v>
      </c>
      <c r="C248" s="10">
        <v>5065071000000</v>
      </c>
      <c r="D248" s="10">
        <v>823599000000</v>
      </c>
      <c r="E248" s="10">
        <v>34666283000000</v>
      </c>
      <c r="F248" s="10">
        <v>17169254000000</v>
      </c>
      <c r="G248" s="10">
        <v>18093761000000</v>
      </c>
      <c r="H248" s="10">
        <v>9295556000000</v>
      </c>
      <c r="I248" s="10">
        <v>15476838000000</v>
      </c>
      <c r="J248" s="10">
        <v>12377416000000</v>
      </c>
      <c r="K248" s="10">
        <v>7873698000000</v>
      </c>
      <c r="L248" s="10"/>
      <c r="M248" s="10">
        <v>55800849000000</v>
      </c>
      <c r="N248" s="10">
        <v>3018892000000</v>
      </c>
      <c r="O248" s="10">
        <v>10743624000000</v>
      </c>
      <c r="P248" s="10">
        <v>4.5339210615436789</v>
      </c>
      <c r="Q248" s="10">
        <v>0</v>
      </c>
      <c r="R248" s="10" t="s">
        <v>238</v>
      </c>
      <c r="S248" s="10">
        <v>0.2271284175462365</v>
      </c>
      <c r="T248" s="10">
        <v>0.35704479767848202</v>
      </c>
      <c r="U248" s="10">
        <v>0.14610943434575899</v>
      </c>
      <c r="V248" s="10">
        <v>0.85536876495715841</v>
      </c>
    </row>
    <row r="249" spans="1:22" x14ac:dyDescent="0.3">
      <c r="A249" s="10" t="s">
        <v>96</v>
      </c>
      <c r="B249" s="10">
        <v>2023</v>
      </c>
      <c r="C249" s="10">
        <v>2160623000000</v>
      </c>
      <c r="D249" s="10">
        <v>899386000000</v>
      </c>
      <c r="E249" s="10">
        <v>34109431000000</v>
      </c>
      <c r="F249" s="10">
        <v>17218323000000</v>
      </c>
      <c r="G249" s="10">
        <v>19942219000000</v>
      </c>
      <c r="H249" s="10">
        <v>10684062000000</v>
      </c>
      <c r="I249" s="10">
        <v>13226291000000</v>
      </c>
      <c r="J249" s="10">
        <v>10165559000000</v>
      </c>
      <c r="K249" s="10">
        <v>6534261000000</v>
      </c>
      <c r="L249" s="10"/>
      <c r="M249" s="10">
        <v>51175898000000</v>
      </c>
      <c r="N249" s="10">
        <v>929716000000</v>
      </c>
      <c r="O249" s="10">
        <v>12845690000000</v>
      </c>
      <c r="P249" s="10">
        <v>3.350316878394469</v>
      </c>
      <c r="Q249" s="10">
        <v>0</v>
      </c>
      <c r="R249" s="10" t="s">
        <v>238</v>
      </c>
      <c r="S249" s="10">
        <v>0.19156757554824061</v>
      </c>
      <c r="T249" s="10">
        <v>0.29802780937623968</v>
      </c>
      <c r="U249" s="10">
        <v>6.3343859356668836E-2</v>
      </c>
      <c r="V249" s="10">
        <v>0.66323065652824287</v>
      </c>
    </row>
    <row r="250" spans="1:22" x14ac:dyDescent="0.3">
      <c r="A250" s="10" t="s">
        <v>96</v>
      </c>
      <c r="B250" s="10">
        <v>2022</v>
      </c>
      <c r="C250" s="10">
        <v>2632011000000</v>
      </c>
      <c r="D250" s="10">
        <v>677482000000</v>
      </c>
      <c r="E250" s="10">
        <v>32690887000000</v>
      </c>
      <c r="F250" s="10">
        <v>17001468000000</v>
      </c>
      <c r="G250" s="10">
        <v>19036110000000</v>
      </c>
      <c r="H250" s="10">
        <v>9412440000000</v>
      </c>
      <c r="I250" s="10">
        <v>12748045000000</v>
      </c>
      <c r="J250" s="10">
        <v>9880493000000</v>
      </c>
      <c r="K250" s="10">
        <v>7589028000000</v>
      </c>
      <c r="L250" s="10"/>
      <c r="M250" s="10">
        <v>48972085000000</v>
      </c>
      <c r="N250" s="10">
        <v>1419855000000</v>
      </c>
      <c r="O250" s="10">
        <v>12866660000000</v>
      </c>
      <c r="P250" s="10">
        <v>3.7523759023244661</v>
      </c>
      <c r="Q250" s="10">
        <v>0</v>
      </c>
      <c r="R250" s="10" t="s">
        <v>238</v>
      </c>
      <c r="S250" s="10">
        <v>0.23214506232272011</v>
      </c>
      <c r="T250" s="10">
        <v>0.30223997898863991</v>
      </c>
      <c r="U250" s="10">
        <v>8.0512070535131083E-2</v>
      </c>
      <c r="V250" s="10">
        <v>0.66967699808416736</v>
      </c>
    </row>
    <row r="251" spans="1:22" x14ac:dyDescent="0.3">
      <c r="A251" s="10" t="s">
        <v>97</v>
      </c>
      <c r="B251" s="10">
        <v>2025</v>
      </c>
      <c r="C251" s="10">
        <v>239601546732</v>
      </c>
      <c r="D251" s="10">
        <v>10205012782</v>
      </c>
      <c r="E251" s="10">
        <v>3364952358680</v>
      </c>
      <c r="F251" s="10">
        <v>2511280661732</v>
      </c>
      <c r="G251" s="10">
        <v>443811167738</v>
      </c>
      <c r="H251" s="10">
        <v>321183815056</v>
      </c>
      <c r="I251" s="10">
        <v>2813582698747</v>
      </c>
      <c r="J251" s="10">
        <v>2068043737062</v>
      </c>
      <c r="K251" s="10">
        <v>2190096846676</v>
      </c>
      <c r="L251" s="10"/>
      <c r="M251" s="10">
        <v>3735132227593</v>
      </c>
      <c r="N251" s="10">
        <v>203710801127</v>
      </c>
      <c r="O251" s="10">
        <v>122804605017</v>
      </c>
      <c r="P251" s="10">
        <v>13.408223805895309</v>
      </c>
      <c r="Q251" s="10">
        <v>0</v>
      </c>
      <c r="R251" s="10" t="s">
        <v>238</v>
      </c>
      <c r="S251" s="10">
        <v>0.65085523158346559</v>
      </c>
      <c r="T251" s="10">
        <v>0.61458336303853345</v>
      </c>
      <c r="U251" s="10">
        <v>7.1205033888203595E-2</v>
      </c>
      <c r="V251" s="10">
        <v>6.3395941861651703</v>
      </c>
    </row>
    <row r="252" spans="1:22" x14ac:dyDescent="0.3">
      <c r="A252" s="10" t="s">
        <v>97</v>
      </c>
      <c r="B252" s="10">
        <v>2024</v>
      </c>
      <c r="C252" s="10">
        <v>276845848746</v>
      </c>
      <c r="D252" s="10">
        <v>367815736</v>
      </c>
      <c r="E252" s="10">
        <v>3120121052477</v>
      </c>
      <c r="F252" s="10">
        <v>2288504899190</v>
      </c>
      <c r="G252" s="10">
        <v>333194743386</v>
      </c>
      <c r="H252" s="10">
        <v>223969870769</v>
      </c>
      <c r="I252" s="10">
        <v>2681962428889</v>
      </c>
      <c r="J252" s="10">
        <v>1937455932754</v>
      </c>
      <c r="K252" s="10">
        <v>2064535028421</v>
      </c>
      <c r="L252" s="10"/>
      <c r="M252" s="10">
        <v>3393775712485</v>
      </c>
      <c r="N252" s="10">
        <v>229584387673</v>
      </c>
      <c r="O252" s="10">
        <v>4307798018</v>
      </c>
      <c r="P252" s="10">
        <v>15.412919187250541</v>
      </c>
      <c r="Q252" s="10">
        <v>0</v>
      </c>
      <c r="R252" s="10" t="s">
        <v>238</v>
      </c>
      <c r="S252" s="10">
        <v>0.66168427240411332</v>
      </c>
      <c r="T252" s="10">
        <v>0.62095537325896166</v>
      </c>
      <c r="U252" s="10">
        <v>8.8729201236028246E-2</v>
      </c>
      <c r="V252" s="10">
        <v>8.0492339153802188</v>
      </c>
    </row>
    <row r="253" spans="1:22" x14ac:dyDescent="0.3">
      <c r="A253" s="10" t="s">
        <v>97</v>
      </c>
      <c r="B253" s="10">
        <v>2023</v>
      </c>
      <c r="C253" s="10">
        <v>138958792207</v>
      </c>
      <c r="D253" s="10">
        <v>407240986</v>
      </c>
      <c r="E253" s="10">
        <v>2976407140255</v>
      </c>
      <c r="F253" s="10">
        <v>2186612525959</v>
      </c>
      <c r="G253" s="10">
        <v>381355701983</v>
      </c>
      <c r="H253" s="10">
        <v>273711862370</v>
      </c>
      <c r="I253" s="10">
        <v>2486380414812</v>
      </c>
      <c r="J253" s="10">
        <v>1744929425937</v>
      </c>
      <c r="K253" s="10">
        <v>1912900663589</v>
      </c>
      <c r="L253" s="10"/>
      <c r="M253" s="10">
        <v>2764212244707</v>
      </c>
      <c r="N253" s="10">
        <v>125302243029</v>
      </c>
      <c r="O253" s="10">
        <v>100510307557</v>
      </c>
      <c r="P253" s="10">
        <v>13.28679217114008</v>
      </c>
      <c r="Q253" s="10">
        <v>0</v>
      </c>
      <c r="R253" s="10" t="s">
        <v>238</v>
      </c>
      <c r="S253" s="10">
        <v>0.64268783585336875</v>
      </c>
      <c r="T253" s="10">
        <v>0.58625360836471629</v>
      </c>
      <c r="U253" s="10">
        <v>4.6686755426576111E-2</v>
      </c>
      <c r="V253" s="10">
        <v>6.5198459125775372</v>
      </c>
    </row>
    <row r="254" spans="1:22" x14ac:dyDescent="0.3">
      <c r="A254" s="10" t="s">
        <v>97</v>
      </c>
      <c r="B254" s="10">
        <v>2022</v>
      </c>
      <c r="C254" s="10">
        <v>87056016776</v>
      </c>
      <c r="D254" s="10">
        <v>322836887</v>
      </c>
      <c r="E254" s="10">
        <v>2797005026270</v>
      </c>
      <c r="F254" s="10">
        <v>1952463428100</v>
      </c>
      <c r="G254" s="10">
        <v>301997266597</v>
      </c>
      <c r="H254" s="10">
        <v>187361934985</v>
      </c>
      <c r="I254" s="10">
        <v>2375608208051</v>
      </c>
      <c r="J254" s="10">
        <v>1640656123336</v>
      </c>
      <c r="K254" s="10">
        <v>1765101493115</v>
      </c>
      <c r="L254" s="10"/>
      <c r="M254" s="10">
        <v>2221091331884</v>
      </c>
      <c r="N254" s="10">
        <v>64947090367</v>
      </c>
      <c r="O254" s="10">
        <v>50649569860</v>
      </c>
      <c r="P254" s="10">
        <v>14.520844481730551</v>
      </c>
      <c r="Q254" s="10">
        <v>0</v>
      </c>
      <c r="R254" s="10" t="s">
        <v>238</v>
      </c>
      <c r="S254" s="10">
        <v>0.63106840228631444</v>
      </c>
      <c r="T254" s="10">
        <v>0.58657603684178161</v>
      </c>
      <c r="U254" s="10">
        <v>3.1124726612341929E-2</v>
      </c>
      <c r="V254" s="10">
        <v>7.866323542660167</v>
      </c>
    </row>
    <row r="255" spans="1:22" x14ac:dyDescent="0.3">
      <c r="A255" s="10" t="s">
        <v>98</v>
      </c>
      <c r="B255" s="10">
        <v>2025</v>
      </c>
      <c r="C255" s="10">
        <v>226953019919</v>
      </c>
      <c r="D255" s="10">
        <v>399241934</v>
      </c>
      <c r="E255" s="10">
        <v>1251481880725</v>
      </c>
      <c r="F255" s="10">
        <v>756232840845</v>
      </c>
      <c r="G255" s="10">
        <v>406394445935</v>
      </c>
      <c r="H255" s="10">
        <v>404740713527</v>
      </c>
      <c r="I255" s="10">
        <v>845087434790</v>
      </c>
      <c r="J255" s="10">
        <v>539690631001</v>
      </c>
      <c r="K255" s="10">
        <v>351492127318</v>
      </c>
      <c r="L255" s="10"/>
      <c r="M255" s="10">
        <v>1506300329890</v>
      </c>
      <c r="N255" s="10">
        <v>179446799045</v>
      </c>
      <c r="O255" s="10"/>
      <c r="P255" s="10">
        <v>6.6503973375880072</v>
      </c>
      <c r="Q255" s="10">
        <v>0</v>
      </c>
      <c r="R255" s="10" t="s">
        <v>238</v>
      </c>
      <c r="S255" s="10">
        <v>0.28086074016059742</v>
      </c>
      <c r="T255" s="10">
        <v>0.43124126630451098</v>
      </c>
      <c r="U255" s="10">
        <v>0.18134742772905599</v>
      </c>
      <c r="V255" s="10">
        <v>2.079475847278597</v>
      </c>
    </row>
    <row r="256" spans="1:22" x14ac:dyDescent="0.3">
      <c r="A256" s="10" t="s">
        <v>98</v>
      </c>
      <c r="B256" s="10">
        <v>2024</v>
      </c>
      <c r="C256" s="10">
        <v>186235224083</v>
      </c>
      <c r="D256" s="10">
        <v>238796739</v>
      </c>
      <c r="E256" s="10">
        <v>974057856516</v>
      </c>
      <c r="F256" s="10">
        <v>675847013685</v>
      </c>
      <c r="G256" s="10">
        <v>234190127915</v>
      </c>
      <c r="H256" s="10">
        <v>231156952579</v>
      </c>
      <c r="I256" s="10">
        <v>739867728601</v>
      </c>
      <c r="J256" s="10">
        <v>435368831943</v>
      </c>
      <c r="K256" s="10">
        <v>444690061106</v>
      </c>
      <c r="L256" s="10"/>
      <c r="M256" s="10">
        <v>1264335961440</v>
      </c>
      <c r="N256" s="10">
        <v>146880537264</v>
      </c>
      <c r="O256" s="10"/>
      <c r="P256" s="10">
        <v>9.0540186579167354</v>
      </c>
      <c r="Q256" s="10">
        <v>0</v>
      </c>
      <c r="R256" s="10" t="s">
        <v>238</v>
      </c>
      <c r="S256" s="10">
        <v>0.45653351916544538</v>
      </c>
      <c r="T256" s="10">
        <v>0.44696403712631888</v>
      </c>
      <c r="U256" s="10">
        <v>0.1911952383907915</v>
      </c>
      <c r="V256" s="10">
        <v>3.159260961117615</v>
      </c>
    </row>
    <row r="257" spans="1:22" x14ac:dyDescent="0.3">
      <c r="A257" s="10" t="s">
        <v>98</v>
      </c>
      <c r="B257" s="10">
        <v>2023</v>
      </c>
      <c r="C257" s="10">
        <v>104039135409</v>
      </c>
      <c r="D257" s="10">
        <v>1058466028</v>
      </c>
      <c r="E257" s="10">
        <v>828378354007</v>
      </c>
      <c r="F257" s="10">
        <v>626945337747</v>
      </c>
      <c r="G257" s="10">
        <v>157605395595</v>
      </c>
      <c r="H257" s="10">
        <v>155478057562</v>
      </c>
      <c r="I257" s="10">
        <v>670772958412</v>
      </c>
      <c r="J257" s="10">
        <v>367988294679</v>
      </c>
      <c r="K257" s="10">
        <v>471467280185</v>
      </c>
      <c r="L257" s="10"/>
      <c r="M257" s="10">
        <v>1019669802028</v>
      </c>
      <c r="N257" s="10">
        <v>80342415257</v>
      </c>
      <c r="O257" s="10">
        <v>0</v>
      </c>
      <c r="P257" s="10">
        <v>10.49459053206626</v>
      </c>
      <c r="Q257" s="10">
        <v>0</v>
      </c>
      <c r="R257" s="10" t="s">
        <v>238</v>
      </c>
      <c r="S257" s="10">
        <v>0.5691448574246738</v>
      </c>
      <c r="T257" s="10">
        <v>0.44422731822841721</v>
      </c>
      <c r="U257" s="10">
        <v>0.12559373975158319</v>
      </c>
      <c r="V257" s="10">
        <v>4.2560278845763078</v>
      </c>
    </row>
    <row r="258" spans="1:22" x14ac:dyDescent="0.3">
      <c r="A258" s="10" t="s">
        <v>98</v>
      </c>
      <c r="B258" s="10">
        <v>2022</v>
      </c>
      <c r="C258" s="10">
        <v>151258845585</v>
      </c>
      <c r="D258" s="10">
        <v>868933617</v>
      </c>
      <c r="E258" s="10">
        <v>860100358989</v>
      </c>
      <c r="F258" s="10">
        <v>641093981245</v>
      </c>
      <c r="G258" s="10">
        <v>156594539652</v>
      </c>
      <c r="H258" s="10">
        <v>153894624540</v>
      </c>
      <c r="I258" s="10">
        <v>703505819337</v>
      </c>
      <c r="J258" s="10">
        <v>400145879422</v>
      </c>
      <c r="K258" s="10">
        <v>487199356705</v>
      </c>
      <c r="L258" s="10"/>
      <c r="M258" s="10">
        <v>1044368857579</v>
      </c>
      <c r="N258" s="10">
        <v>117370750383</v>
      </c>
      <c r="O258" s="10">
        <v>2238080021</v>
      </c>
      <c r="P258" s="10">
        <v>11.131482001483519</v>
      </c>
      <c r="Q258" s="10">
        <v>0</v>
      </c>
      <c r="R258" s="10" t="s">
        <v>238</v>
      </c>
      <c r="S258" s="10">
        <v>0.56644477776718483</v>
      </c>
      <c r="T258" s="10">
        <v>0.46523161540398522</v>
      </c>
      <c r="U258" s="10">
        <v>0.17586185612432059</v>
      </c>
      <c r="V258" s="10">
        <v>4.4925309713889181</v>
      </c>
    </row>
    <row r="259" spans="1:22" x14ac:dyDescent="0.3">
      <c r="A259" s="10" t="s">
        <v>99</v>
      </c>
      <c r="B259" s="10">
        <v>2025</v>
      </c>
      <c r="C259" s="10">
        <v>223794694985</v>
      </c>
      <c r="D259" s="10">
        <v>62472890122</v>
      </c>
      <c r="E259" s="10">
        <v>2393143026662</v>
      </c>
      <c r="F259" s="10">
        <v>1584977341133</v>
      </c>
      <c r="G259" s="10">
        <v>1225657724774</v>
      </c>
      <c r="H259" s="10">
        <v>886180868626</v>
      </c>
      <c r="I259" s="10">
        <v>1165319457089</v>
      </c>
      <c r="J259" s="10">
        <v>761274100586</v>
      </c>
      <c r="K259" s="10">
        <v>698796472507</v>
      </c>
      <c r="L259" s="10"/>
      <c r="M259" s="10">
        <v>750217960446</v>
      </c>
      <c r="N259" s="10">
        <v>138477958759</v>
      </c>
      <c r="O259" s="10">
        <v>803313112420</v>
      </c>
      <c r="P259" s="10">
        <v>4.5792731351422802</v>
      </c>
      <c r="Q259" s="10">
        <v>0</v>
      </c>
      <c r="R259" s="10" t="s">
        <v>238</v>
      </c>
      <c r="S259" s="10">
        <v>0.2919994604257708</v>
      </c>
      <c r="T259" s="10">
        <v>0.31810639485590592</v>
      </c>
      <c r="U259" s="10">
        <v>9.3514968596403944E-2</v>
      </c>
      <c r="V259" s="10">
        <v>0.95077070338203451</v>
      </c>
    </row>
    <row r="260" spans="1:22" x14ac:dyDescent="0.3">
      <c r="A260" s="10" t="s">
        <v>99</v>
      </c>
      <c r="B260" s="10">
        <v>2024</v>
      </c>
      <c r="C260" s="10">
        <v>165556518134</v>
      </c>
      <c r="D260" s="10">
        <v>63889451226</v>
      </c>
      <c r="E260" s="10">
        <v>2071054520464</v>
      </c>
      <c r="F260" s="10">
        <v>1290087345725</v>
      </c>
      <c r="G260" s="10">
        <v>1041956931502</v>
      </c>
      <c r="H260" s="10">
        <v>350797545723</v>
      </c>
      <c r="I260" s="10">
        <v>1026934023349</v>
      </c>
      <c r="J260" s="10">
        <v>622796141827</v>
      </c>
      <c r="K260" s="10">
        <v>939289800002</v>
      </c>
      <c r="L260" s="10"/>
      <c r="M260" s="10">
        <v>556385363865</v>
      </c>
      <c r="N260" s="10">
        <v>84887129781</v>
      </c>
      <c r="O260" s="10">
        <v>802108321158</v>
      </c>
      <c r="P260" s="10">
        <v>5.5275464814818687</v>
      </c>
      <c r="Q260" s="10">
        <v>0</v>
      </c>
      <c r="R260" s="10" t="s">
        <v>238</v>
      </c>
      <c r="S260" s="10">
        <v>0.45353214544615711</v>
      </c>
      <c r="T260" s="10">
        <v>0.30071450832084728</v>
      </c>
      <c r="U260" s="10">
        <v>7.9938271300027702E-2</v>
      </c>
      <c r="V260" s="10">
        <v>0.98558202580278997</v>
      </c>
    </row>
    <row r="261" spans="1:22" x14ac:dyDescent="0.3">
      <c r="A261" s="10" t="s">
        <v>99</v>
      </c>
      <c r="B261" s="10">
        <v>2023</v>
      </c>
      <c r="C261" s="10">
        <v>134897890630</v>
      </c>
      <c r="D261" s="10">
        <v>45323787027</v>
      </c>
      <c r="E261" s="10">
        <v>2175079867209</v>
      </c>
      <c r="F261" s="10">
        <v>1586014805968</v>
      </c>
      <c r="G261" s="10">
        <v>1232550744649</v>
      </c>
      <c r="H261" s="10">
        <v>567318977269</v>
      </c>
      <c r="I261" s="10">
        <v>940366951890</v>
      </c>
      <c r="J261" s="10">
        <v>537909012046</v>
      </c>
      <c r="K261" s="10">
        <v>1018695828699</v>
      </c>
      <c r="L261" s="10"/>
      <c r="M261" s="10">
        <v>390516818350</v>
      </c>
      <c r="N261" s="10">
        <v>77513721375</v>
      </c>
      <c r="O261" s="10">
        <v>1100144650061</v>
      </c>
      <c r="P261" s="10">
        <v>5.0964467546848526</v>
      </c>
      <c r="Q261" s="10">
        <v>0</v>
      </c>
      <c r="R261" s="10" t="s">
        <v>238</v>
      </c>
      <c r="S261" s="10">
        <v>0.46834870022780423</v>
      </c>
      <c r="T261" s="10">
        <v>0.24730540710499491</v>
      </c>
      <c r="U261" s="10">
        <v>6.2019741281085512E-2</v>
      </c>
      <c r="V261" s="10">
        <v>0.76294380249455229</v>
      </c>
    </row>
    <row r="262" spans="1:22" x14ac:dyDescent="0.3">
      <c r="A262" s="10" t="s">
        <v>99</v>
      </c>
      <c r="B262" s="10">
        <v>2022</v>
      </c>
      <c r="C262" s="10">
        <v>122303622376</v>
      </c>
      <c r="D262" s="10">
        <v>44016199697</v>
      </c>
      <c r="E262" s="10">
        <v>1605014790547</v>
      </c>
      <c r="F262" s="10">
        <v>1150187143337</v>
      </c>
      <c r="G262" s="10">
        <v>739930820251</v>
      </c>
      <c r="H262" s="10">
        <v>143887637583</v>
      </c>
      <c r="I262" s="10">
        <v>862759834847</v>
      </c>
      <c r="J262" s="10">
        <v>460395290671</v>
      </c>
      <c r="K262" s="10">
        <v>1006299505754</v>
      </c>
      <c r="L262" s="10"/>
      <c r="M262" s="10">
        <v>353133853101</v>
      </c>
      <c r="N262" s="10">
        <v>67559626571</v>
      </c>
      <c r="O262" s="10">
        <v>591524783073</v>
      </c>
      <c r="P262" s="10">
        <v>6.784432489428621</v>
      </c>
      <c r="Q262" s="10">
        <v>0</v>
      </c>
      <c r="R262" s="10" t="s">
        <v>238</v>
      </c>
      <c r="S262" s="10">
        <v>0.62697210747263343</v>
      </c>
      <c r="T262" s="10">
        <v>0.28684800500442381</v>
      </c>
      <c r="U262" s="10">
        <v>7.6200931665133184E-2</v>
      </c>
      <c r="V262" s="10">
        <v>1.166000673622885</v>
      </c>
    </row>
    <row r="263" spans="1:22" x14ac:dyDescent="0.3">
      <c r="A263" s="10" t="s">
        <v>101</v>
      </c>
      <c r="B263" s="10">
        <v>2025</v>
      </c>
      <c r="C263" s="10">
        <v>4813722000000</v>
      </c>
      <c r="D263" s="10">
        <v>35247000000</v>
      </c>
      <c r="E263" s="10">
        <v>30699348000000</v>
      </c>
      <c r="F263" s="10">
        <v>18508334000000</v>
      </c>
      <c r="G263" s="10">
        <v>5970845000000</v>
      </c>
      <c r="H263" s="10">
        <v>5336151000000</v>
      </c>
      <c r="I263" s="10">
        <v>23312457000000</v>
      </c>
      <c r="J263" s="10">
        <v>24938581000000</v>
      </c>
      <c r="K263" s="10">
        <v>13172183000000</v>
      </c>
      <c r="L263" s="10"/>
      <c r="M263" s="10">
        <v>35324544000000</v>
      </c>
      <c r="N263" s="10">
        <v>3664998000000</v>
      </c>
      <c r="O263" s="10">
        <v>297283000000</v>
      </c>
      <c r="P263" s="10">
        <v>10.61627016973798</v>
      </c>
      <c r="Q263" s="10">
        <v>0</v>
      </c>
      <c r="R263" s="10" t="s">
        <v>238</v>
      </c>
      <c r="S263" s="10">
        <v>0.42907044801081767</v>
      </c>
      <c r="T263" s="10">
        <v>0.81234888115539128</v>
      </c>
      <c r="U263" s="10">
        <v>0.15680209234411099</v>
      </c>
      <c r="V263" s="10">
        <v>3.9043815406362081</v>
      </c>
    </row>
    <row r="264" spans="1:22" x14ac:dyDescent="0.3">
      <c r="A264" s="10" t="s">
        <v>101</v>
      </c>
      <c r="B264" s="10">
        <v>2024</v>
      </c>
      <c r="C264" s="10">
        <v>4275194000000</v>
      </c>
      <c r="D264" s="10">
        <v>56319000000</v>
      </c>
      <c r="E264" s="10">
        <v>29429728000000</v>
      </c>
      <c r="F264" s="10">
        <v>17187668000000</v>
      </c>
      <c r="G264" s="10">
        <v>4839294000000</v>
      </c>
      <c r="H264" s="10">
        <v>4185749000000</v>
      </c>
      <c r="I264" s="10">
        <v>22788880000000</v>
      </c>
      <c r="J264" s="10">
        <v>22941791000000</v>
      </c>
      <c r="K264" s="10">
        <v>13001919000000</v>
      </c>
      <c r="L264" s="10"/>
      <c r="M264" s="10">
        <v>32627776000000</v>
      </c>
      <c r="N264" s="10">
        <v>3240637000000</v>
      </c>
      <c r="O264" s="10">
        <v>559222000000</v>
      </c>
      <c r="P264" s="10">
        <v>11.36028390667386</v>
      </c>
      <c r="Q264" s="10">
        <v>0</v>
      </c>
      <c r="R264" s="10" t="s">
        <v>238</v>
      </c>
      <c r="S264" s="10">
        <v>0.44179541856452093</v>
      </c>
      <c r="T264" s="10">
        <v>0.77954478546318884</v>
      </c>
      <c r="U264" s="10">
        <v>0.1452678733558122</v>
      </c>
      <c r="V264" s="10">
        <v>4.7091331917424322</v>
      </c>
    </row>
    <row r="265" spans="1:22" x14ac:dyDescent="0.3">
      <c r="A265" s="10" t="s">
        <v>101</v>
      </c>
      <c r="B265" s="10">
        <v>2023</v>
      </c>
      <c r="C265" s="10">
        <v>3689195410563</v>
      </c>
      <c r="D265" s="10">
        <v>82958206753</v>
      </c>
      <c r="E265" s="10">
        <v>27057568182323</v>
      </c>
      <c r="F265" s="10">
        <v>15917724100860</v>
      </c>
      <c r="G265" s="10">
        <v>3937546172108</v>
      </c>
      <c r="H265" s="10">
        <v>3243168544925</v>
      </c>
      <c r="I265" s="10">
        <v>21418856503057</v>
      </c>
      <c r="J265" s="10">
        <v>21162752455815</v>
      </c>
      <c r="K265" s="10">
        <v>12674555555935</v>
      </c>
      <c r="L265" s="10"/>
      <c r="M265" s="10">
        <v>30449134077618</v>
      </c>
      <c r="N265" s="10">
        <v>2766748040055</v>
      </c>
      <c r="O265" s="10">
        <v>618538351178</v>
      </c>
      <c r="P265" s="10">
        <v>12.25053984512892</v>
      </c>
      <c r="Q265" s="10">
        <v>0</v>
      </c>
      <c r="R265" s="10" t="s">
        <v>238</v>
      </c>
      <c r="S265" s="10">
        <v>0.46842921989624409</v>
      </c>
      <c r="T265" s="10">
        <v>0.78213800712662918</v>
      </c>
      <c r="U265" s="10">
        <v>0.1363461559333034</v>
      </c>
      <c r="V265" s="10">
        <v>5.4396458014332891</v>
      </c>
    </row>
    <row r="266" spans="1:22" x14ac:dyDescent="0.3">
      <c r="A266" s="10" t="s">
        <v>101</v>
      </c>
      <c r="B266" s="10">
        <v>2022</v>
      </c>
      <c r="C266" s="10">
        <v>4500122804946</v>
      </c>
      <c r="D266" s="10">
        <v>41225899596</v>
      </c>
      <c r="E266" s="10">
        <v>27241313025674</v>
      </c>
      <c r="F266" s="10">
        <v>16710229570163</v>
      </c>
      <c r="G266" s="10">
        <v>5143984823285</v>
      </c>
      <c r="H266" s="10">
        <v>4431038459634</v>
      </c>
      <c r="I266" s="10">
        <v>20385217971511</v>
      </c>
      <c r="J266" s="10">
        <v>20187540887030</v>
      </c>
      <c r="K266" s="10">
        <v>12279191110529</v>
      </c>
      <c r="L266" s="10"/>
      <c r="M266" s="10">
        <v>28933502646719</v>
      </c>
      <c r="N266" s="10">
        <v>3382209769015</v>
      </c>
      <c r="O266" s="10">
        <v>1167717692480</v>
      </c>
      <c r="P266" s="10">
        <v>10.644006088948689</v>
      </c>
      <c r="Q266" s="10">
        <v>0</v>
      </c>
      <c r="R266" s="10" t="s">
        <v>238</v>
      </c>
      <c r="S266" s="10">
        <v>0.45075621351130479</v>
      </c>
      <c r="T266" s="10">
        <v>0.74106343067986247</v>
      </c>
      <c r="U266" s="10">
        <v>0.1651947834050726</v>
      </c>
      <c r="V266" s="10">
        <v>3.9629234283962749</v>
      </c>
    </row>
    <row r="267" spans="1:22" x14ac:dyDescent="0.3">
      <c r="A267" s="10" t="s">
        <v>102</v>
      </c>
      <c r="B267" s="10">
        <v>2025</v>
      </c>
      <c r="C267" s="10">
        <v>443388421981</v>
      </c>
      <c r="D267" s="10">
        <v>168400656582</v>
      </c>
      <c r="E267" s="10">
        <v>4527351995671</v>
      </c>
      <c r="F267" s="10">
        <v>3250232657230</v>
      </c>
      <c r="G267" s="10">
        <v>2345863305521</v>
      </c>
      <c r="H267" s="10">
        <v>2221401039814</v>
      </c>
      <c r="I267" s="10">
        <v>2139756628363</v>
      </c>
      <c r="J267" s="10">
        <v>700127304584</v>
      </c>
      <c r="K267" s="10">
        <v>1028831617416</v>
      </c>
      <c r="L267" s="10"/>
      <c r="M267" s="10">
        <v>12827191806419</v>
      </c>
      <c r="N267" s="10">
        <v>185107494108</v>
      </c>
      <c r="O267" s="10">
        <v>2050206915962</v>
      </c>
      <c r="P267" s="10">
        <v>3.6107597101199418</v>
      </c>
      <c r="Q267" s="10">
        <v>0</v>
      </c>
      <c r="R267" s="10" t="s">
        <v>238</v>
      </c>
      <c r="S267" s="10">
        <v>0.22724798478222069</v>
      </c>
      <c r="T267" s="10">
        <v>0.15464388570922991</v>
      </c>
      <c r="U267" s="10">
        <v>9.7935486881727485E-2</v>
      </c>
      <c r="V267" s="10">
        <v>0.91214037208692977</v>
      </c>
    </row>
    <row r="268" spans="1:22" x14ac:dyDescent="0.3">
      <c r="A268" s="10" t="s">
        <v>102</v>
      </c>
      <c r="B268" s="10">
        <v>2024</v>
      </c>
      <c r="C268" s="10">
        <v>532780302048</v>
      </c>
      <c r="D268" s="10">
        <v>253248688381</v>
      </c>
      <c r="E268" s="10">
        <v>5603673083158</v>
      </c>
      <c r="F268" s="10">
        <v>4149501502615</v>
      </c>
      <c r="G268" s="10">
        <v>3552297757593</v>
      </c>
      <c r="H268" s="10">
        <v>3450608568118</v>
      </c>
      <c r="I268" s="10">
        <v>1991426396411</v>
      </c>
      <c r="J268" s="10">
        <v>518209140689</v>
      </c>
      <c r="K268" s="10">
        <v>698892934497</v>
      </c>
      <c r="L268" s="10"/>
      <c r="M268" s="10">
        <v>11258880089614</v>
      </c>
      <c r="N268" s="10">
        <v>194843339813</v>
      </c>
      <c r="O268" s="10">
        <v>3241527226576</v>
      </c>
      <c r="P268" s="10">
        <v>2.3471902579431489</v>
      </c>
      <c r="Q268" s="10">
        <v>0</v>
      </c>
      <c r="R268" s="10" t="s">
        <v>239</v>
      </c>
      <c r="S268" s="10">
        <v>0.1247205045914514</v>
      </c>
      <c r="T268" s="10">
        <v>9.2476690377690379E-2</v>
      </c>
      <c r="U268" s="10">
        <v>9.5076977928867129E-2</v>
      </c>
      <c r="V268" s="10">
        <v>0.56060232905711427</v>
      </c>
    </row>
    <row r="269" spans="1:22" x14ac:dyDescent="0.3">
      <c r="A269" s="10" t="s">
        <v>102</v>
      </c>
      <c r="B269" s="10">
        <v>2023</v>
      </c>
      <c r="C269" s="10">
        <v>117890383145</v>
      </c>
      <c r="D269" s="10">
        <v>165456540887</v>
      </c>
      <c r="E269" s="10">
        <v>4582841788763</v>
      </c>
      <c r="F269" s="10">
        <v>3003401022371</v>
      </c>
      <c r="G269" s="10">
        <v>2684113538701</v>
      </c>
      <c r="H269" s="10">
        <v>2581324360801</v>
      </c>
      <c r="I269" s="10">
        <v>1839451197519</v>
      </c>
      <c r="J269" s="10">
        <v>318942770384</v>
      </c>
      <c r="K269" s="10">
        <v>422076661570</v>
      </c>
      <c r="L269" s="10"/>
      <c r="M269" s="10">
        <v>9139546141519</v>
      </c>
      <c r="N269" s="10">
        <v>-70395061782</v>
      </c>
      <c r="O269" s="10">
        <v>2469731906609</v>
      </c>
      <c r="P269" s="10">
        <v>1.723494538744093</v>
      </c>
      <c r="Q269" s="10">
        <v>0</v>
      </c>
      <c r="R269" s="10" t="s">
        <v>239</v>
      </c>
      <c r="S269" s="10">
        <v>9.2099330726389067E-2</v>
      </c>
      <c r="T269" s="10">
        <v>6.9594977327395141E-2</v>
      </c>
      <c r="U269" s="10">
        <v>2.5724296970945831E-2</v>
      </c>
      <c r="V269" s="10">
        <v>0.68531050233039636</v>
      </c>
    </row>
    <row r="270" spans="1:22" x14ac:dyDescent="0.3">
      <c r="A270" s="10" t="s">
        <v>102</v>
      </c>
      <c r="B270" s="10">
        <v>2022</v>
      </c>
      <c r="C270" s="10">
        <v>104013134571</v>
      </c>
      <c r="D270" s="10">
        <v>133048292819</v>
      </c>
      <c r="E270" s="10">
        <v>4798796481698</v>
      </c>
      <c r="F270" s="10">
        <v>3156818935137</v>
      </c>
      <c r="G270" s="10">
        <v>2842079571503</v>
      </c>
      <c r="H270" s="10">
        <v>324525728178</v>
      </c>
      <c r="I270" s="10">
        <v>1894662618269</v>
      </c>
      <c r="J270" s="10">
        <v>390710826949</v>
      </c>
      <c r="K270" s="10">
        <v>2832293206959</v>
      </c>
      <c r="L270" s="10"/>
      <c r="M270" s="10">
        <v>11484294844569</v>
      </c>
      <c r="N270" s="10">
        <v>-23828521522</v>
      </c>
      <c r="O270" s="10">
        <v>2621466720929</v>
      </c>
      <c r="P270" s="10">
        <v>4.9828296324547976</v>
      </c>
      <c r="Q270" s="10">
        <v>0</v>
      </c>
      <c r="R270" s="10" t="s">
        <v>238</v>
      </c>
      <c r="S270" s="10">
        <v>0.59020906966173836</v>
      </c>
      <c r="T270" s="10">
        <v>8.1418503251621824E-2</v>
      </c>
      <c r="U270" s="10">
        <v>2.1674837632246521E-2</v>
      </c>
      <c r="V270" s="10">
        <v>0.66664657712839126</v>
      </c>
    </row>
    <row r="271" spans="1:22" x14ac:dyDescent="0.3">
      <c r="A271" s="10" t="s">
        <v>104</v>
      </c>
      <c r="B271" s="10">
        <v>2025</v>
      </c>
      <c r="C271" s="10">
        <v>2278718000000</v>
      </c>
      <c r="D271" s="10">
        <v>1176000000</v>
      </c>
      <c r="E271" s="10">
        <v>15540077000000</v>
      </c>
      <c r="F271" s="10">
        <v>8699271000000</v>
      </c>
      <c r="G271" s="10">
        <v>1543964000000</v>
      </c>
      <c r="H271" s="10">
        <v>920410000000</v>
      </c>
      <c r="I271" s="10">
        <v>13999946000000</v>
      </c>
      <c r="J271" s="10">
        <v>12165641000000</v>
      </c>
      <c r="K271" s="10">
        <v>7778861000000</v>
      </c>
      <c r="L271" s="10"/>
      <c r="M271" s="10">
        <v>5511706000000</v>
      </c>
      <c r="N271" s="10">
        <v>1887756000000</v>
      </c>
      <c r="O271" s="10">
        <v>329000000</v>
      </c>
      <c r="P271" s="10">
        <v>16.342131862252131</v>
      </c>
      <c r="Q271" s="10">
        <v>0</v>
      </c>
      <c r="R271" s="10" t="s">
        <v>238</v>
      </c>
      <c r="S271" s="10">
        <v>0.50056772562967355</v>
      </c>
      <c r="T271" s="10">
        <v>0.78285590219404966</v>
      </c>
      <c r="U271" s="10">
        <v>0.14663492336620981</v>
      </c>
      <c r="V271" s="10">
        <v>9.0675339580456544</v>
      </c>
    </row>
    <row r="272" spans="1:22" x14ac:dyDescent="0.3">
      <c r="A272" s="10" t="s">
        <v>104</v>
      </c>
      <c r="B272" s="10">
        <v>2024</v>
      </c>
      <c r="C272" s="10">
        <v>1773706000000</v>
      </c>
      <c r="D272" s="10">
        <v>653000000</v>
      </c>
      <c r="E272" s="10">
        <v>13841956000000</v>
      </c>
      <c r="F272" s="10">
        <v>7117283000000</v>
      </c>
      <c r="G272" s="10">
        <v>1285202000000</v>
      </c>
      <c r="H272" s="10">
        <v>677973000000</v>
      </c>
      <c r="I272" s="10">
        <v>12559186000000</v>
      </c>
      <c r="J272" s="10">
        <v>10729706000000</v>
      </c>
      <c r="K272" s="10">
        <v>6439310000000</v>
      </c>
      <c r="L272" s="10"/>
      <c r="M272" s="10">
        <v>4562503000000</v>
      </c>
      <c r="N272" s="10">
        <v>1476909000000</v>
      </c>
      <c r="O272" s="10">
        <v>3558000000</v>
      </c>
      <c r="P272" s="10">
        <v>16.700599621233291</v>
      </c>
      <c r="Q272" s="10">
        <v>0</v>
      </c>
      <c r="R272" s="10" t="s">
        <v>238</v>
      </c>
      <c r="S272" s="10">
        <v>0.46520231678239687</v>
      </c>
      <c r="T272" s="10">
        <v>0.77515822185824024</v>
      </c>
      <c r="U272" s="10">
        <v>0.12813983804023071</v>
      </c>
      <c r="V272" s="10">
        <v>9.772149436431004</v>
      </c>
    </row>
    <row r="273" spans="1:22" x14ac:dyDescent="0.3">
      <c r="A273" s="10" t="s">
        <v>104</v>
      </c>
      <c r="B273" s="10">
        <v>2023</v>
      </c>
      <c r="C273" s="10">
        <v>911992000000</v>
      </c>
      <c r="D273" s="10">
        <v>566000000</v>
      </c>
      <c r="E273" s="10">
        <v>12514203000000</v>
      </c>
      <c r="F273" s="10">
        <v>5376837000000</v>
      </c>
      <c r="G273" s="10">
        <v>1166762000000</v>
      </c>
      <c r="H273" s="10">
        <v>564496000000</v>
      </c>
      <c r="I273" s="10">
        <v>11348618000000</v>
      </c>
      <c r="J273" s="10">
        <v>9524141000000</v>
      </c>
      <c r="K273" s="10">
        <v>4812341000000</v>
      </c>
      <c r="L273" s="10"/>
      <c r="M273" s="10">
        <v>4189896000000</v>
      </c>
      <c r="N273" s="10">
        <v>761995000000</v>
      </c>
      <c r="O273" s="10">
        <v>8417000000</v>
      </c>
      <c r="P273" s="10">
        <v>15.70637920100342</v>
      </c>
      <c r="Q273" s="10">
        <v>0</v>
      </c>
      <c r="R273" s="10" t="s">
        <v>238</v>
      </c>
      <c r="S273" s="10">
        <v>0.38455033852335618</v>
      </c>
      <c r="T273" s="10">
        <v>0.76106652577075828</v>
      </c>
      <c r="U273" s="10">
        <v>7.2876554743438321E-2</v>
      </c>
      <c r="V273" s="10">
        <v>9.726592055620598</v>
      </c>
    </row>
    <row r="274" spans="1:22" x14ac:dyDescent="0.3">
      <c r="A274" s="10" t="s">
        <v>104</v>
      </c>
      <c r="B274" s="10">
        <v>2022</v>
      </c>
      <c r="C274" s="10">
        <v>1284201000000</v>
      </c>
      <c r="D274" s="10">
        <v>676000000</v>
      </c>
      <c r="E274" s="10">
        <v>12417013000000</v>
      </c>
      <c r="F274" s="10">
        <v>5107489000000</v>
      </c>
      <c r="G274" s="10">
        <v>1481306000000</v>
      </c>
      <c r="H274" s="10">
        <v>709627000000</v>
      </c>
      <c r="I274" s="10">
        <v>10935562000000</v>
      </c>
      <c r="J274" s="10">
        <v>9116053000000</v>
      </c>
      <c r="K274" s="10">
        <v>4397862000000</v>
      </c>
      <c r="L274" s="10"/>
      <c r="M274" s="10">
        <v>4585348000000</v>
      </c>
      <c r="N274" s="10">
        <v>1036448000000</v>
      </c>
      <c r="O274" s="10">
        <v>3772000000</v>
      </c>
      <c r="P274" s="10">
        <v>13.16327737860634</v>
      </c>
      <c r="Q274" s="10">
        <v>0</v>
      </c>
      <c r="R274" s="10" t="s">
        <v>238</v>
      </c>
      <c r="S274" s="10">
        <v>0.35418034917093177</v>
      </c>
      <c r="T274" s="10">
        <v>0.73415828750441026</v>
      </c>
      <c r="U274" s="10">
        <v>0.1034226991628341</v>
      </c>
      <c r="V274" s="10">
        <v>7.3823787927680034</v>
      </c>
    </row>
    <row r="275" spans="1:22" x14ac:dyDescent="0.3">
      <c r="A275" s="10" t="s">
        <v>105</v>
      </c>
      <c r="B275" s="10">
        <v>2025</v>
      </c>
      <c r="C275" s="10">
        <v>371968000000</v>
      </c>
      <c r="D275" s="10">
        <v>131757000000</v>
      </c>
      <c r="E275" s="10">
        <v>6682022000000</v>
      </c>
      <c r="F275" s="10">
        <v>3179851000000</v>
      </c>
      <c r="G275" s="10">
        <v>3375629000000</v>
      </c>
      <c r="H275" s="10">
        <v>2694051000000</v>
      </c>
      <c r="I275" s="10">
        <v>3045864000000</v>
      </c>
      <c r="J275" s="10">
        <v>2216143000000</v>
      </c>
      <c r="K275" s="10">
        <v>485800000000</v>
      </c>
      <c r="L275" s="10"/>
      <c r="M275" s="10">
        <v>8799179000000</v>
      </c>
      <c r="N275" s="10">
        <v>149451000000</v>
      </c>
      <c r="O275" s="10">
        <v>1349037000000</v>
      </c>
      <c r="P275" s="10">
        <v>2.879639962849446</v>
      </c>
      <c r="Q275" s="10">
        <v>0</v>
      </c>
      <c r="R275" s="10" t="s">
        <v>238</v>
      </c>
      <c r="S275" s="10">
        <v>7.2702544229875335E-2</v>
      </c>
      <c r="T275" s="10">
        <v>0.33165754318079171</v>
      </c>
      <c r="U275" s="10">
        <v>5.5666982239807053E-2</v>
      </c>
      <c r="V275" s="10">
        <v>0.90231005836245626</v>
      </c>
    </row>
    <row r="276" spans="1:22" x14ac:dyDescent="0.3">
      <c r="A276" s="10" t="s">
        <v>105</v>
      </c>
      <c r="B276" s="10">
        <v>2024</v>
      </c>
      <c r="C276" s="10">
        <v>419942000000</v>
      </c>
      <c r="D276" s="10">
        <v>106691000000</v>
      </c>
      <c r="E276" s="10">
        <v>6060384000000</v>
      </c>
      <c r="F276" s="10">
        <v>2582070000000</v>
      </c>
      <c r="G276" s="10">
        <v>2929660000000</v>
      </c>
      <c r="H276" s="10">
        <v>2226311000000</v>
      </c>
      <c r="I276" s="10">
        <v>2871765000000</v>
      </c>
      <c r="J276" s="10">
        <v>2132846000000</v>
      </c>
      <c r="K276" s="10">
        <v>355759000000</v>
      </c>
      <c r="L276" s="10"/>
      <c r="M276" s="10">
        <v>7722382000000</v>
      </c>
      <c r="N276" s="10">
        <v>220360000000</v>
      </c>
      <c r="O276" s="10">
        <v>1182452000000</v>
      </c>
      <c r="P276" s="10">
        <v>3.027286539879023</v>
      </c>
      <c r="Q276" s="10">
        <v>0</v>
      </c>
      <c r="R276" s="10" t="s">
        <v>238</v>
      </c>
      <c r="S276" s="10">
        <v>5.8702385855417739E-2</v>
      </c>
      <c r="T276" s="10">
        <v>0.35193248480624328</v>
      </c>
      <c r="U276" s="10">
        <v>6.9292968894380289E-2</v>
      </c>
      <c r="V276" s="10">
        <v>0.98023832117037468</v>
      </c>
    </row>
    <row r="277" spans="1:22" x14ac:dyDescent="0.3">
      <c r="A277" s="10" t="s">
        <v>105</v>
      </c>
      <c r="B277" s="10">
        <v>2023</v>
      </c>
      <c r="C277" s="10">
        <v>328051000000</v>
      </c>
      <c r="D277" s="10">
        <v>95757000000</v>
      </c>
      <c r="E277" s="10">
        <v>5628540000000</v>
      </c>
      <c r="F277" s="10">
        <v>2518719000000</v>
      </c>
      <c r="G277" s="10">
        <v>2655480000000</v>
      </c>
      <c r="H277" s="10">
        <v>2141580000000</v>
      </c>
      <c r="I277" s="10">
        <v>2699099000000</v>
      </c>
      <c r="J277" s="10">
        <v>1936653000000</v>
      </c>
      <c r="K277" s="10">
        <v>377139000000</v>
      </c>
      <c r="L277" s="10"/>
      <c r="M277" s="10">
        <v>7316902000000</v>
      </c>
      <c r="N277" s="10">
        <v>160943000000</v>
      </c>
      <c r="O277" s="10">
        <v>1035331000000</v>
      </c>
      <c r="P277" s="10">
        <v>3.020155786096054</v>
      </c>
      <c r="Q277" s="10">
        <v>0</v>
      </c>
      <c r="R277" s="10" t="s">
        <v>238</v>
      </c>
      <c r="S277" s="10">
        <v>6.7004765001225888E-2</v>
      </c>
      <c r="T277" s="10">
        <v>0.34407732733533031</v>
      </c>
      <c r="U277" s="10">
        <v>5.8283498029684432E-2</v>
      </c>
      <c r="V277" s="10">
        <v>1.0164260322051</v>
      </c>
    </row>
    <row r="278" spans="1:22" x14ac:dyDescent="0.3">
      <c r="A278" s="10" t="s">
        <v>105</v>
      </c>
      <c r="B278" s="10">
        <v>2022</v>
      </c>
      <c r="C278" s="10">
        <v>577263000000</v>
      </c>
      <c r="D278" s="10">
        <v>138538000000</v>
      </c>
      <c r="E278" s="10">
        <v>6094139000000</v>
      </c>
      <c r="F278" s="10">
        <v>2747344000000</v>
      </c>
      <c r="G278" s="10">
        <v>3107428000000</v>
      </c>
      <c r="H278" s="10">
        <v>2253473000000</v>
      </c>
      <c r="I278" s="10">
        <v>2707608000000</v>
      </c>
      <c r="J278" s="10">
        <v>1841012000000</v>
      </c>
      <c r="K278" s="10">
        <v>493871000000</v>
      </c>
      <c r="L278" s="10"/>
      <c r="M278" s="10">
        <v>7879115000000</v>
      </c>
      <c r="N278" s="10">
        <v>321012000000</v>
      </c>
      <c r="O278" s="10">
        <v>1373789000000</v>
      </c>
      <c r="P278" s="10">
        <v>3.0679039251803339</v>
      </c>
      <c r="Q278" s="10">
        <v>0</v>
      </c>
      <c r="R278" s="10" t="s">
        <v>238</v>
      </c>
      <c r="S278" s="10">
        <v>8.1040324154076568E-2</v>
      </c>
      <c r="T278" s="10">
        <v>0.30209550520590361</v>
      </c>
      <c r="U278" s="10">
        <v>9.4724291651371917E-2</v>
      </c>
      <c r="V278" s="10">
        <v>0.87133410653440724</v>
      </c>
    </row>
    <row r="279" spans="1:22" x14ac:dyDescent="0.3">
      <c r="A279" s="10" t="s">
        <v>106</v>
      </c>
      <c r="B279" s="10">
        <v>2025</v>
      </c>
      <c r="C279" s="10">
        <v>600074735000</v>
      </c>
      <c r="D279" s="10">
        <v>98777721000</v>
      </c>
      <c r="E279" s="10">
        <v>5704660843000</v>
      </c>
      <c r="F279" s="10">
        <v>3057956975000</v>
      </c>
      <c r="G279" s="10">
        <v>2826245607000</v>
      </c>
      <c r="H279" s="10">
        <v>1984624030000</v>
      </c>
      <c r="I279" s="10">
        <v>2880924876000</v>
      </c>
      <c r="J279" s="10">
        <v>2055843523000</v>
      </c>
      <c r="K279" s="10">
        <v>1073332945000</v>
      </c>
      <c r="L279" s="10"/>
      <c r="M279" s="10">
        <v>12692871511000</v>
      </c>
      <c r="N279" s="10">
        <v>393615777000</v>
      </c>
      <c r="O279" s="10">
        <v>1235742153000</v>
      </c>
      <c r="P279" s="10">
        <v>4.1862955609020158</v>
      </c>
      <c r="Q279" s="10">
        <v>0</v>
      </c>
      <c r="R279" s="10" t="s">
        <v>238</v>
      </c>
      <c r="S279" s="10">
        <v>0.18815017659061209</v>
      </c>
      <c r="T279" s="10">
        <v>0.36037962283466107</v>
      </c>
      <c r="U279" s="10">
        <v>0.1051902560931965</v>
      </c>
      <c r="V279" s="10">
        <v>1.0193469629336429</v>
      </c>
    </row>
    <row r="280" spans="1:22" x14ac:dyDescent="0.3">
      <c r="A280" s="10" t="s">
        <v>106</v>
      </c>
      <c r="B280" s="10">
        <v>2024</v>
      </c>
      <c r="C280" s="10">
        <v>773980197000</v>
      </c>
      <c r="D280" s="10">
        <v>135815647000</v>
      </c>
      <c r="E280" s="10">
        <v>5380045840000</v>
      </c>
      <c r="F280" s="10">
        <v>2848076485000</v>
      </c>
      <c r="G280" s="10">
        <v>2747743014000</v>
      </c>
      <c r="H280" s="10">
        <v>1725205580000</v>
      </c>
      <c r="I280" s="10">
        <v>2634786614000</v>
      </c>
      <c r="J280" s="10">
        <v>1805554470000</v>
      </c>
      <c r="K280" s="10">
        <v>1122870905000</v>
      </c>
      <c r="L280" s="10"/>
      <c r="M280" s="10">
        <v>12502826561000</v>
      </c>
      <c r="N280" s="10">
        <v>488029417000</v>
      </c>
      <c r="O280" s="10">
        <v>1189354202000</v>
      </c>
      <c r="P280" s="10">
        <v>4.4367856560913284</v>
      </c>
      <c r="Q280" s="10">
        <v>0</v>
      </c>
      <c r="R280" s="10" t="s">
        <v>238</v>
      </c>
      <c r="S280" s="10">
        <v>0.20871028582165391</v>
      </c>
      <c r="T280" s="10">
        <v>0.33560206059508219</v>
      </c>
      <c r="U280" s="10">
        <v>0.14386126438655031</v>
      </c>
      <c r="V280" s="10">
        <v>0.9588912065558981</v>
      </c>
    </row>
    <row r="281" spans="1:22" x14ac:dyDescent="0.3">
      <c r="A281" s="10" t="s">
        <v>106</v>
      </c>
      <c r="B281" s="10">
        <v>2023</v>
      </c>
      <c r="C281" s="10">
        <v>279311170000</v>
      </c>
      <c r="D281" s="10">
        <v>167915557000</v>
      </c>
      <c r="E281" s="10">
        <v>5517296880000</v>
      </c>
      <c r="F281" s="10">
        <v>2821248975000</v>
      </c>
      <c r="G281" s="10">
        <v>3377015031000</v>
      </c>
      <c r="H281" s="10">
        <v>2383084198000</v>
      </c>
      <c r="I281" s="10">
        <v>2142693927000</v>
      </c>
      <c r="J281" s="10">
        <v>1315651784000</v>
      </c>
      <c r="K281" s="10">
        <v>438164777000</v>
      </c>
      <c r="L281" s="10"/>
      <c r="M281" s="10">
        <v>12058023085000</v>
      </c>
      <c r="N281" s="10">
        <v>63373085000</v>
      </c>
      <c r="O281" s="10">
        <v>2122904651000</v>
      </c>
      <c r="P281" s="10">
        <v>2.304766315193548</v>
      </c>
      <c r="Q281" s="10">
        <v>0</v>
      </c>
      <c r="R281" s="10" t="s">
        <v>239</v>
      </c>
      <c r="S281" s="10">
        <v>7.9416566940294864E-2</v>
      </c>
      <c r="T281" s="10">
        <v>0.23845948706678979</v>
      </c>
      <c r="U281" s="10">
        <v>5.0624640303930872E-2</v>
      </c>
      <c r="V281" s="10">
        <v>0.63449345274767888</v>
      </c>
    </row>
    <row r="282" spans="1:22" x14ac:dyDescent="0.3">
      <c r="A282" s="10" t="s">
        <v>106</v>
      </c>
      <c r="B282" s="10">
        <v>2022</v>
      </c>
      <c r="C282" s="10">
        <v>191747506000</v>
      </c>
      <c r="D282" s="10">
        <v>159918292000</v>
      </c>
      <c r="E282" s="10">
        <v>5746998087000</v>
      </c>
      <c r="F282" s="10">
        <v>2952189309000</v>
      </c>
      <c r="G282" s="10">
        <v>3671859617000</v>
      </c>
      <c r="H282" s="10">
        <v>2524889763000</v>
      </c>
      <c r="I282" s="10">
        <v>2077340824000</v>
      </c>
      <c r="J282" s="10">
        <v>1250298681000</v>
      </c>
      <c r="K282" s="10">
        <v>427299546000</v>
      </c>
      <c r="L282" s="10"/>
      <c r="M282" s="10">
        <v>11101647275000</v>
      </c>
      <c r="N282" s="10">
        <v>26239995000</v>
      </c>
      <c r="O282" s="10">
        <v>2713550547000</v>
      </c>
      <c r="P282" s="10">
        <v>2.015228047586509</v>
      </c>
      <c r="Q282" s="10">
        <v>0</v>
      </c>
      <c r="R282" s="10" t="s">
        <v>239</v>
      </c>
      <c r="S282" s="10">
        <v>7.4351781492075511E-2</v>
      </c>
      <c r="T282" s="10">
        <v>0.21755682916064281</v>
      </c>
      <c r="U282" s="10">
        <v>3.3364811175723652E-2</v>
      </c>
      <c r="V282" s="10">
        <v>0.56574625412755808</v>
      </c>
    </row>
    <row r="283" spans="1:22" x14ac:dyDescent="0.3">
      <c r="A283" s="10" t="s">
        <v>107</v>
      </c>
      <c r="B283" s="10">
        <v>2025</v>
      </c>
      <c r="C283" s="10">
        <v>364831749959</v>
      </c>
      <c r="D283" s="10">
        <v>1506803636</v>
      </c>
      <c r="E283" s="10">
        <v>1022751968456</v>
      </c>
      <c r="F283" s="10">
        <v>494561283743</v>
      </c>
      <c r="G283" s="10">
        <v>120118739831</v>
      </c>
      <c r="H283" s="10">
        <v>109138966435</v>
      </c>
      <c r="I283" s="10">
        <v>899774196821</v>
      </c>
      <c r="J283" s="10">
        <v>746118043656</v>
      </c>
      <c r="K283" s="10">
        <v>385422317308</v>
      </c>
      <c r="L283" s="10"/>
      <c r="M283" s="10">
        <v>837311837328</v>
      </c>
      <c r="N283" s="10">
        <v>283878978712</v>
      </c>
      <c r="O283" s="10">
        <v>65957886631</v>
      </c>
      <c r="P283" s="10">
        <v>15.11273149822474</v>
      </c>
      <c r="Q283" s="10">
        <v>0</v>
      </c>
      <c r="R283" s="10" t="s">
        <v>238</v>
      </c>
      <c r="S283" s="10">
        <v>0.37684827719261571</v>
      </c>
      <c r="T283" s="10">
        <v>0.72952002701337149</v>
      </c>
      <c r="U283" s="10">
        <v>0.35671576414540579</v>
      </c>
      <c r="V283" s="10">
        <v>7.4907062635433022</v>
      </c>
    </row>
    <row r="284" spans="1:22" x14ac:dyDescent="0.3">
      <c r="A284" s="10" t="s">
        <v>107</v>
      </c>
      <c r="B284" s="10">
        <v>2024</v>
      </c>
      <c r="C284" s="10">
        <v>368773168832</v>
      </c>
      <c r="D284" s="10">
        <v>1700641877</v>
      </c>
      <c r="E284" s="10">
        <v>955841009395</v>
      </c>
      <c r="F284" s="10">
        <v>430265056672</v>
      </c>
      <c r="G284" s="10">
        <v>94944743662</v>
      </c>
      <c r="H284" s="10">
        <v>81027032647</v>
      </c>
      <c r="I284" s="10">
        <v>858069551634</v>
      </c>
      <c r="J284" s="10">
        <v>728239086644</v>
      </c>
      <c r="K284" s="10">
        <v>349238024025</v>
      </c>
      <c r="L284" s="10"/>
      <c r="M284" s="10">
        <v>909986179510</v>
      </c>
      <c r="N284" s="10">
        <v>286535082278</v>
      </c>
      <c r="O284" s="10">
        <v>31008626887</v>
      </c>
      <c r="P284" s="10">
        <v>16.962672820856461</v>
      </c>
      <c r="Q284" s="10">
        <v>0</v>
      </c>
      <c r="R284" s="10" t="s">
        <v>238</v>
      </c>
      <c r="S284" s="10">
        <v>0.36537250504249702</v>
      </c>
      <c r="T284" s="10">
        <v>0.76188307415784473</v>
      </c>
      <c r="U284" s="10">
        <v>0.38581015588085632</v>
      </c>
      <c r="V284" s="10">
        <v>9.0375677319083394</v>
      </c>
    </row>
    <row r="285" spans="1:22" x14ac:dyDescent="0.3">
      <c r="A285" s="10" t="s">
        <v>107</v>
      </c>
      <c r="B285" s="10">
        <v>2023</v>
      </c>
      <c r="C285" s="10">
        <v>204049407741</v>
      </c>
      <c r="D285" s="10">
        <v>3211637085</v>
      </c>
      <c r="E285" s="10">
        <v>951550724256</v>
      </c>
      <c r="F285" s="10">
        <v>423036125486</v>
      </c>
      <c r="G285" s="10">
        <v>111449183332</v>
      </c>
      <c r="H285" s="10">
        <v>83438133201</v>
      </c>
      <c r="I285" s="10">
        <v>837316875163</v>
      </c>
      <c r="J285" s="10">
        <v>707704026066</v>
      </c>
      <c r="K285" s="10">
        <v>339597992285</v>
      </c>
      <c r="L285" s="10"/>
      <c r="M285" s="10">
        <v>559468977416</v>
      </c>
      <c r="N285" s="10">
        <v>156015763164</v>
      </c>
      <c r="O285" s="10">
        <v>57363291746</v>
      </c>
      <c r="P285" s="10">
        <v>14.095447284069721</v>
      </c>
      <c r="Q285" s="10">
        <v>0</v>
      </c>
      <c r="R285" s="10" t="s">
        <v>238</v>
      </c>
      <c r="S285" s="10">
        <v>0.35688900615416519</v>
      </c>
      <c r="T285" s="10">
        <v>0.7437375728123593</v>
      </c>
      <c r="U285" s="10">
        <v>0.2144388129182945</v>
      </c>
      <c r="V285" s="10">
        <v>7.5129924700182551</v>
      </c>
    </row>
    <row r="286" spans="1:22" x14ac:dyDescent="0.3">
      <c r="A286" s="10" t="s">
        <v>107</v>
      </c>
      <c r="B286" s="10">
        <v>2022</v>
      </c>
      <c r="C286" s="10">
        <v>320732448790</v>
      </c>
      <c r="D286" s="10">
        <v>3666241353</v>
      </c>
      <c r="E286" s="10">
        <v>1005368365991</v>
      </c>
      <c r="F286" s="10">
        <v>436258395750</v>
      </c>
      <c r="G286" s="10">
        <v>161587275147</v>
      </c>
      <c r="H286" s="10">
        <v>111916306055</v>
      </c>
      <c r="I286" s="10">
        <v>841019436046</v>
      </c>
      <c r="J286" s="10">
        <v>703688302590</v>
      </c>
      <c r="K286" s="10">
        <v>324342089695</v>
      </c>
      <c r="L286" s="10"/>
      <c r="M286" s="10">
        <v>823656040401</v>
      </c>
      <c r="N286" s="10">
        <v>243091834703</v>
      </c>
      <c r="O286" s="10">
        <v>121451356877</v>
      </c>
      <c r="P286" s="10">
        <v>12.006885591016379</v>
      </c>
      <c r="Q286" s="10">
        <v>0</v>
      </c>
      <c r="R286" s="10" t="s">
        <v>238</v>
      </c>
      <c r="S286" s="10">
        <v>0.32261020006860203</v>
      </c>
      <c r="T286" s="10">
        <v>0.69993081779171418</v>
      </c>
      <c r="U286" s="10">
        <v>0.31901983356503499</v>
      </c>
      <c r="V286" s="10">
        <v>5.2047380295317396</v>
      </c>
    </row>
    <row r="287" spans="1:22" x14ac:dyDescent="0.3">
      <c r="A287" s="10" t="s">
        <v>108</v>
      </c>
      <c r="B287" s="10">
        <v>2025</v>
      </c>
      <c r="C287" s="10">
        <v>-27654111477</v>
      </c>
      <c r="D287" s="10">
        <v>15525100067</v>
      </c>
      <c r="E287" s="10">
        <v>1837417052405</v>
      </c>
      <c r="F287" s="10">
        <v>1230042730217</v>
      </c>
      <c r="G287" s="10">
        <v>748962679333</v>
      </c>
      <c r="H287" s="10">
        <v>704713984924</v>
      </c>
      <c r="I287" s="10">
        <v>163683307382</v>
      </c>
      <c r="J287" s="10">
        <v>413428873089</v>
      </c>
      <c r="K287" s="10">
        <v>525328745293</v>
      </c>
      <c r="L287" s="10"/>
      <c r="M287" s="10">
        <v>4737712122968</v>
      </c>
      <c r="N287" s="10">
        <v>-38405729622</v>
      </c>
      <c r="O287" s="10">
        <v>322833007184</v>
      </c>
      <c r="P287" s="10">
        <v>2.7373962416662709</v>
      </c>
      <c r="Q287" s="10">
        <v>0</v>
      </c>
      <c r="R287" s="10" t="s">
        <v>238</v>
      </c>
      <c r="S287" s="10">
        <v>0.28590610096134461</v>
      </c>
      <c r="T287" s="10">
        <v>0.22500546217738751</v>
      </c>
      <c r="U287" s="10">
        <v>-1.50505359906198E-2</v>
      </c>
      <c r="V287" s="10">
        <v>0.21854668049384071</v>
      </c>
    </row>
    <row r="288" spans="1:22" x14ac:dyDescent="0.3">
      <c r="A288" s="10" t="s">
        <v>108</v>
      </c>
      <c r="B288" s="10">
        <v>2024</v>
      </c>
      <c r="C288" s="10">
        <v>-14741038700</v>
      </c>
      <c r="D288" s="10">
        <v>19720347668</v>
      </c>
      <c r="E288" s="10">
        <v>1891583175214</v>
      </c>
      <c r="F288" s="10">
        <v>1240529388098</v>
      </c>
      <c r="G288" s="10">
        <v>762627861201</v>
      </c>
      <c r="H288" s="10">
        <v>747301612856</v>
      </c>
      <c r="I288" s="10">
        <v>186109129436</v>
      </c>
      <c r="J288" s="10">
        <v>451834602711</v>
      </c>
      <c r="K288" s="10">
        <v>493227775242</v>
      </c>
      <c r="L288" s="10"/>
      <c r="M288" s="10">
        <v>7143639757997</v>
      </c>
      <c r="N288" s="10">
        <v>-15541238</v>
      </c>
      <c r="O288" s="10">
        <v>352767859344</v>
      </c>
      <c r="P288" s="10">
        <v>2.6930835767347232</v>
      </c>
      <c r="Q288" s="10">
        <v>0</v>
      </c>
      <c r="R288" s="10" t="s">
        <v>238</v>
      </c>
      <c r="S288" s="10">
        <v>0.26074865842798572</v>
      </c>
      <c r="T288" s="10">
        <v>0.23886583927766361</v>
      </c>
      <c r="U288" s="10">
        <v>-7.7929635308435783E-3</v>
      </c>
      <c r="V288" s="10">
        <v>0.24403662507544899</v>
      </c>
    </row>
    <row r="289" spans="1:22" x14ac:dyDescent="0.3">
      <c r="A289" s="10" t="s">
        <v>108</v>
      </c>
      <c r="B289" s="10">
        <v>2023</v>
      </c>
      <c r="C289" s="10">
        <v>29228756761</v>
      </c>
      <c r="D289" s="10">
        <v>17981446285</v>
      </c>
      <c r="E289" s="10">
        <v>1989974666238</v>
      </c>
      <c r="F289" s="10">
        <v>1276232504419</v>
      </c>
      <c r="G289" s="10">
        <v>820031889078</v>
      </c>
      <c r="H289" s="10">
        <v>661462748671</v>
      </c>
      <c r="I289" s="10">
        <v>187270964974</v>
      </c>
      <c r="J289" s="10">
        <v>451939940422</v>
      </c>
      <c r="K289" s="10">
        <v>614769755748</v>
      </c>
      <c r="L289" s="10"/>
      <c r="M289" s="10">
        <v>11697145185042</v>
      </c>
      <c r="N289" s="10">
        <v>540846919</v>
      </c>
      <c r="O289" s="10">
        <v>368418672236</v>
      </c>
      <c r="P289" s="10">
        <v>3.1054690864919672</v>
      </c>
      <c r="Q289" s="10">
        <v>0</v>
      </c>
      <c r="R289" s="10" t="s">
        <v>238</v>
      </c>
      <c r="S289" s="10">
        <v>0.30893345838930092</v>
      </c>
      <c r="T289" s="10">
        <v>0.2271083889104889</v>
      </c>
      <c r="U289" s="10">
        <v>1.468800445397442E-2</v>
      </c>
      <c r="V289" s="10">
        <v>0.2283703444564302</v>
      </c>
    </row>
    <row r="290" spans="1:22" x14ac:dyDescent="0.3">
      <c r="A290" s="10" t="s">
        <v>108</v>
      </c>
      <c r="B290" s="10">
        <v>2022</v>
      </c>
      <c r="C290" s="10">
        <v>59063392020</v>
      </c>
      <c r="D290" s="10">
        <v>18533988689</v>
      </c>
      <c r="E290" s="10">
        <v>1911368459547</v>
      </c>
      <c r="F290" s="10">
        <v>1310660900412</v>
      </c>
      <c r="G290" s="10">
        <v>616978306607</v>
      </c>
      <c r="H290" s="10">
        <v>583495864253</v>
      </c>
      <c r="I290" s="10">
        <v>303993777907</v>
      </c>
      <c r="J290" s="10">
        <v>451499093503</v>
      </c>
      <c r="K290" s="10">
        <v>727165036159</v>
      </c>
      <c r="L290" s="10"/>
      <c r="M290" s="10">
        <v>12314877728637</v>
      </c>
      <c r="N290" s="10">
        <v>24813647907</v>
      </c>
      <c r="O290" s="10">
        <v>229025026968</v>
      </c>
      <c r="P290" s="10">
        <v>3.9907749366703951</v>
      </c>
      <c r="Q290" s="10">
        <v>0</v>
      </c>
      <c r="R290" s="10" t="s">
        <v>238</v>
      </c>
      <c r="S290" s="10">
        <v>0.38044210289592217</v>
      </c>
      <c r="T290" s="10">
        <v>0.23621771681322329</v>
      </c>
      <c r="U290" s="10">
        <v>3.0901102152746732E-2</v>
      </c>
      <c r="V290" s="10">
        <v>0.49271388418626622</v>
      </c>
    </row>
    <row r="291" spans="1:22" x14ac:dyDescent="0.3">
      <c r="A291" s="10" t="s">
        <v>109</v>
      </c>
      <c r="B291" s="10">
        <v>2025</v>
      </c>
      <c r="C291" s="10">
        <v>329086410000</v>
      </c>
      <c r="D291" s="10">
        <v>1748098000</v>
      </c>
      <c r="E291" s="10">
        <v>1272202396000</v>
      </c>
      <c r="F291" s="10">
        <v>1047414078000</v>
      </c>
      <c r="G291" s="10">
        <v>296488082000</v>
      </c>
      <c r="H291" s="10">
        <v>245958984000</v>
      </c>
      <c r="I291" s="10">
        <v>975714314000</v>
      </c>
      <c r="J291" s="10">
        <v>931272797000</v>
      </c>
      <c r="K291" s="10">
        <v>801455094000</v>
      </c>
      <c r="L291" s="10"/>
      <c r="M291" s="10">
        <v>1200666779000</v>
      </c>
      <c r="N291" s="10">
        <v>243896434000</v>
      </c>
      <c r="O291" s="10">
        <v>14228509000</v>
      </c>
      <c r="P291" s="10">
        <v>11.71274983964793</v>
      </c>
      <c r="Q291" s="10">
        <v>0</v>
      </c>
      <c r="R291" s="10" t="s">
        <v>238</v>
      </c>
      <c r="S291" s="10">
        <v>0.62997452018633049</v>
      </c>
      <c r="T291" s="10">
        <v>0.73201622629234542</v>
      </c>
      <c r="U291" s="10">
        <v>0.25867457177780689</v>
      </c>
      <c r="V291" s="10">
        <v>3.290905683014941</v>
      </c>
    </row>
    <row r="292" spans="1:22" x14ac:dyDescent="0.3">
      <c r="A292" s="10" t="s">
        <v>109</v>
      </c>
      <c r="B292" s="10">
        <v>2024</v>
      </c>
      <c r="C292" s="10">
        <v>199600514000</v>
      </c>
      <c r="D292" s="10">
        <v>4535767000</v>
      </c>
      <c r="E292" s="10">
        <v>956936728000</v>
      </c>
      <c r="F292" s="10">
        <v>709599779000</v>
      </c>
      <c r="G292" s="10">
        <v>149663172000</v>
      </c>
      <c r="H292" s="10">
        <v>108891459000</v>
      </c>
      <c r="I292" s="10">
        <v>807273556000</v>
      </c>
      <c r="J292" s="10">
        <v>762832039000</v>
      </c>
      <c r="K292" s="10">
        <v>600708320000</v>
      </c>
      <c r="L292" s="10"/>
      <c r="M292" s="10">
        <v>1036747709000</v>
      </c>
      <c r="N292" s="10">
        <v>153463416000</v>
      </c>
      <c r="O292" s="10">
        <v>20213006000</v>
      </c>
      <c r="P292" s="10">
        <v>13.78203201095978</v>
      </c>
      <c r="Q292" s="10">
        <v>0</v>
      </c>
      <c r="R292" s="10" t="s">
        <v>238</v>
      </c>
      <c r="S292" s="10">
        <v>0.62774089699272151</v>
      </c>
      <c r="T292" s="10">
        <v>0.79716037296877584</v>
      </c>
      <c r="U292" s="10">
        <v>0.20858277058418009</v>
      </c>
      <c r="V292" s="10">
        <v>5.3939358976034528</v>
      </c>
    </row>
    <row r="293" spans="1:22" x14ac:dyDescent="0.3">
      <c r="A293" s="10" t="s">
        <v>109</v>
      </c>
      <c r="B293" s="10">
        <v>2023</v>
      </c>
      <c r="C293" s="10">
        <v>207174045000</v>
      </c>
      <c r="D293" s="10">
        <v>4041059000</v>
      </c>
      <c r="E293" s="10">
        <v>957814110000</v>
      </c>
      <c r="F293" s="10">
        <v>718193526000</v>
      </c>
      <c r="G293" s="10">
        <v>161935317000</v>
      </c>
      <c r="H293" s="10">
        <v>125031384000</v>
      </c>
      <c r="I293" s="10">
        <v>795878793000</v>
      </c>
      <c r="J293" s="10">
        <v>751437276000</v>
      </c>
      <c r="K293" s="10">
        <v>593162142000</v>
      </c>
      <c r="L293" s="10"/>
      <c r="M293" s="10">
        <v>961433965000</v>
      </c>
      <c r="N293" s="10">
        <v>178240003000</v>
      </c>
      <c r="O293" s="10">
        <v>18132710000</v>
      </c>
      <c r="P293" s="10">
        <v>13.234166254701799</v>
      </c>
      <c r="Q293" s="10">
        <v>0</v>
      </c>
      <c r="R293" s="10" t="s">
        <v>238</v>
      </c>
      <c r="S293" s="10">
        <v>0.61928732914573581</v>
      </c>
      <c r="T293" s="10">
        <v>0.78453352081021233</v>
      </c>
      <c r="U293" s="10">
        <v>0.21629880248892969</v>
      </c>
      <c r="V293" s="10">
        <v>4.9147944237513057</v>
      </c>
    </row>
    <row r="294" spans="1:22" x14ac:dyDescent="0.3">
      <c r="A294" s="10" t="s">
        <v>109</v>
      </c>
      <c r="B294" s="10">
        <v>2022</v>
      </c>
      <c r="C294" s="10">
        <v>241174142000</v>
      </c>
      <c r="D294" s="10">
        <v>3395773000</v>
      </c>
      <c r="E294" s="10">
        <v>1037647240000</v>
      </c>
      <c r="F294" s="10">
        <v>795587313000</v>
      </c>
      <c r="G294" s="10">
        <v>280405591000</v>
      </c>
      <c r="H294" s="10">
        <v>239074429000</v>
      </c>
      <c r="I294" s="10">
        <v>757241649000</v>
      </c>
      <c r="J294" s="10">
        <v>717280132000</v>
      </c>
      <c r="K294" s="10">
        <v>556512884000</v>
      </c>
      <c r="L294" s="10"/>
      <c r="M294" s="10">
        <v>1124599738000</v>
      </c>
      <c r="N294" s="10">
        <v>179837759000</v>
      </c>
      <c r="O294" s="10">
        <v>16183164000</v>
      </c>
      <c r="P294" s="10">
        <v>10.169204853275581</v>
      </c>
      <c r="Q294" s="10">
        <v>0</v>
      </c>
      <c r="R294" s="10" t="s">
        <v>238</v>
      </c>
      <c r="S294" s="10">
        <v>0.53632184671931471</v>
      </c>
      <c r="T294" s="10">
        <v>0.69125624234301442</v>
      </c>
      <c r="U294" s="10">
        <v>0.23242401916859531</v>
      </c>
      <c r="V294" s="10">
        <v>2.7005226475673232</v>
      </c>
    </row>
    <row r="295" spans="1:22" x14ac:dyDescent="0.3">
      <c r="A295" s="10" t="s">
        <v>110</v>
      </c>
      <c r="B295" s="10">
        <v>2025</v>
      </c>
      <c r="C295" s="10">
        <v>-5806928268</v>
      </c>
      <c r="D295" s="10">
        <v>2572320146</v>
      </c>
      <c r="E295" s="10">
        <v>187913019699</v>
      </c>
      <c r="F295" s="10">
        <v>171154099518</v>
      </c>
      <c r="G295" s="10">
        <v>59739988344</v>
      </c>
      <c r="H295" s="10">
        <v>47542844915</v>
      </c>
      <c r="I295" s="10">
        <v>127197337830</v>
      </c>
      <c r="J295" s="10">
        <v>44642158717</v>
      </c>
      <c r="K295" s="10">
        <v>123611254603</v>
      </c>
      <c r="L295" s="10"/>
      <c r="M295" s="10">
        <v>127866478461</v>
      </c>
      <c r="N295" s="10">
        <v>-9019490202</v>
      </c>
      <c r="O295" s="10">
        <v>16361068</v>
      </c>
      <c r="P295" s="10">
        <v>7.117691370379478</v>
      </c>
      <c r="Q295" s="10">
        <v>0</v>
      </c>
      <c r="R295" s="10" t="s">
        <v>238</v>
      </c>
      <c r="S295" s="10">
        <v>0.65781101703863365</v>
      </c>
      <c r="T295" s="10">
        <v>0.23756820463269671</v>
      </c>
      <c r="U295" s="10">
        <v>-3.0902213573607441E-2</v>
      </c>
      <c r="V295" s="10">
        <v>2.129182501636278</v>
      </c>
    </row>
    <row r="296" spans="1:22" x14ac:dyDescent="0.3">
      <c r="A296" s="10" t="s">
        <v>110</v>
      </c>
      <c r="B296" s="10">
        <v>2024</v>
      </c>
      <c r="C296" s="10">
        <v>19833693794</v>
      </c>
      <c r="D296" s="10">
        <v>9200364594</v>
      </c>
      <c r="E296" s="10">
        <v>268081066174</v>
      </c>
      <c r="F296" s="10">
        <v>237382697498</v>
      </c>
      <c r="G296" s="10">
        <v>130991846193</v>
      </c>
      <c r="H296" s="10">
        <v>115068917524</v>
      </c>
      <c r="I296" s="10">
        <v>136155777335</v>
      </c>
      <c r="J296" s="10">
        <v>53661648912</v>
      </c>
      <c r="K296" s="10">
        <v>122313779974</v>
      </c>
      <c r="L296" s="10"/>
      <c r="M296" s="10">
        <v>208808125380</v>
      </c>
      <c r="N296" s="10">
        <v>6600646057</v>
      </c>
      <c r="O296" s="10">
        <v>5269490196</v>
      </c>
      <c r="P296" s="10">
        <v>5.2341613566752274</v>
      </c>
      <c r="Q296" s="10">
        <v>0</v>
      </c>
      <c r="R296" s="10" t="s">
        <v>238</v>
      </c>
      <c r="S296" s="10">
        <v>0.45625669026029358</v>
      </c>
      <c r="T296" s="10">
        <v>0.20016948484221</v>
      </c>
      <c r="U296" s="10">
        <v>7.3983941040904375E-2</v>
      </c>
      <c r="V296" s="10">
        <v>1.039421775416399</v>
      </c>
    </row>
    <row r="297" spans="1:22" x14ac:dyDescent="0.3">
      <c r="A297" s="10" t="s">
        <v>110</v>
      </c>
      <c r="B297" s="10">
        <v>2023</v>
      </c>
      <c r="C297" s="10">
        <v>30345859456</v>
      </c>
      <c r="D297" s="10">
        <v>6748840144</v>
      </c>
      <c r="E297" s="10">
        <v>299320482133</v>
      </c>
      <c r="F297" s="10">
        <v>224646252539</v>
      </c>
      <c r="G297" s="10">
        <v>169189365568</v>
      </c>
      <c r="H297" s="10">
        <v>131694729103</v>
      </c>
      <c r="I297" s="10">
        <v>129375282407</v>
      </c>
      <c r="J297" s="10">
        <v>47061002855</v>
      </c>
      <c r="K297" s="10">
        <v>92951523436</v>
      </c>
      <c r="L297" s="10"/>
      <c r="M297" s="10">
        <v>211473675042</v>
      </c>
      <c r="N297" s="10">
        <v>18126879057</v>
      </c>
      <c r="O297" s="10">
        <v>34235169781</v>
      </c>
      <c r="P297" s="10">
        <v>4.0339131327016498</v>
      </c>
      <c r="Q297" s="10">
        <v>0</v>
      </c>
      <c r="R297" s="10" t="s">
        <v>238</v>
      </c>
      <c r="S297" s="10">
        <v>0.31054180714134338</v>
      </c>
      <c r="T297" s="10">
        <v>0.15722613607874961</v>
      </c>
      <c r="U297" s="10">
        <v>0.1013825022589538</v>
      </c>
      <c r="V297" s="10">
        <v>0.76467738957861353</v>
      </c>
    </row>
    <row r="298" spans="1:22" x14ac:dyDescent="0.3">
      <c r="A298" s="10" t="s">
        <v>110</v>
      </c>
      <c r="B298" s="10">
        <v>2022</v>
      </c>
      <c r="C298" s="10">
        <v>24622130504</v>
      </c>
      <c r="D298" s="10">
        <v>5786561246</v>
      </c>
      <c r="E298" s="10">
        <v>268440380053</v>
      </c>
      <c r="F298" s="10">
        <v>194985926085</v>
      </c>
      <c r="G298" s="10">
        <v>157341737751</v>
      </c>
      <c r="H298" s="10">
        <v>119459533244</v>
      </c>
      <c r="I298" s="10">
        <v>110842163306</v>
      </c>
      <c r="J298" s="10">
        <v>28934123798</v>
      </c>
      <c r="K298" s="10">
        <v>75526392841</v>
      </c>
      <c r="L298" s="10"/>
      <c r="M298" s="10">
        <v>166545619384</v>
      </c>
      <c r="N298" s="10">
        <v>15464570449</v>
      </c>
      <c r="O298" s="10">
        <v>44754238846</v>
      </c>
      <c r="P298" s="10">
        <v>3.5531243013039968</v>
      </c>
      <c r="Q298" s="10">
        <v>0</v>
      </c>
      <c r="R298" s="10" t="s">
        <v>238</v>
      </c>
      <c r="S298" s="10">
        <v>0.28135257752983478</v>
      </c>
      <c r="T298" s="10">
        <v>0.1077860335031836</v>
      </c>
      <c r="U298" s="10">
        <v>9.1722901372508436E-2</v>
      </c>
      <c r="V298" s="10">
        <v>0.7044676440615677</v>
      </c>
    </row>
    <row r="299" spans="1:22" x14ac:dyDescent="0.3">
      <c r="A299" s="10" t="s">
        <v>112</v>
      </c>
      <c r="B299" s="10">
        <v>2025</v>
      </c>
      <c r="C299" s="10">
        <v>96284691507</v>
      </c>
      <c r="D299" s="10">
        <v>29265726690</v>
      </c>
      <c r="E299" s="10">
        <v>1477594202828</v>
      </c>
      <c r="F299" s="10">
        <v>790920492426</v>
      </c>
      <c r="G299" s="10">
        <v>509124193577</v>
      </c>
      <c r="H299" s="10">
        <v>461601766660</v>
      </c>
      <c r="I299" s="10">
        <v>968454598119</v>
      </c>
      <c r="J299" s="10">
        <v>582385023535</v>
      </c>
      <c r="K299" s="10">
        <v>329318725766</v>
      </c>
      <c r="L299" s="10"/>
      <c r="M299" s="10">
        <v>1210505004443</v>
      </c>
      <c r="N299" s="10">
        <v>43613985246</v>
      </c>
      <c r="O299" s="10">
        <v>315477065504</v>
      </c>
      <c r="P299" s="10">
        <v>5.1821727577547909</v>
      </c>
      <c r="Q299" s="10">
        <v>0</v>
      </c>
      <c r="R299" s="10" t="s">
        <v>238</v>
      </c>
      <c r="S299" s="10">
        <v>0.22287494437627711</v>
      </c>
      <c r="T299" s="10">
        <v>0.3941440907255595</v>
      </c>
      <c r="U299" s="10">
        <v>6.5163149207487836E-2</v>
      </c>
      <c r="V299" s="10">
        <v>1.9021971659112109</v>
      </c>
    </row>
    <row r="300" spans="1:22" x14ac:dyDescent="0.3">
      <c r="A300" s="10" t="s">
        <v>112</v>
      </c>
      <c r="B300" s="10">
        <v>2024</v>
      </c>
      <c r="C300" s="10">
        <v>84422676633</v>
      </c>
      <c r="D300" s="10">
        <v>27366522154</v>
      </c>
      <c r="E300" s="10">
        <v>1418635350493</v>
      </c>
      <c r="F300" s="10">
        <v>740887584725</v>
      </c>
      <c r="G300" s="10">
        <v>491009884144</v>
      </c>
      <c r="H300" s="10">
        <v>439075256330</v>
      </c>
      <c r="I300" s="10">
        <v>927610038739</v>
      </c>
      <c r="J300" s="10">
        <v>544690078289</v>
      </c>
      <c r="K300" s="10">
        <v>301812328395</v>
      </c>
      <c r="L300" s="10"/>
      <c r="M300" s="10">
        <v>1117588738384</v>
      </c>
      <c r="N300" s="10">
        <v>42125321338</v>
      </c>
      <c r="O300" s="10">
        <v>302399354325</v>
      </c>
      <c r="P300" s="10">
        <v>5.0308709801170348</v>
      </c>
      <c r="Q300" s="10">
        <v>0</v>
      </c>
      <c r="R300" s="10" t="s">
        <v>238</v>
      </c>
      <c r="S300" s="10">
        <v>0.21274834881995219</v>
      </c>
      <c r="T300" s="10">
        <v>0.38395354951482841</v>
      </c>
      <c r="U300" s="10">
        <v>5.9509779312676557E-2</v>
      </c>
      <c r="V300" s="10">
        <v>1.889188117579639</v>
      </c>
    </row>
    <row r="301" spans="1:22" x14ac:dyDescent="0.3">
      <c r="A301" s="10" t="s">
        <v>112</v>
      </c>
      <c r="B301" s="10">
        <v>2023</v>
      </c>
      <c r="C301" s="10">
        <v>74242150094</v>
      </c>
      <c r="D301" s="10">
        <v>26951854266</v>
      </c>
      <c r="E301" s="10">
        <v>1328983366677</v>
      </c>
      <c r="F301" s="10">
        <v>639934726944</v>
      </c>
      <c r="G301" s="10">
        <v>438308664436</v>
      </c>
      <c r="H301" s="10">
        <v>387705961475</v>
      </c>
      <c r="I301" s="10">
        <v>890659237679</v>
      </c>
      <c r="J301" s="10">
        <v>508483796951</v>
      </c>
      <c r="K301" s="10">
        <v>252228765469</v>
      </c>
      <c r="L301" s="10"/>
      <c r="M301" s="10">
        <v>1086594171978</v>
      </c>
      <c r="N301" s="10">
        <v>34369389220</v>
      </c>
      <c r="O301" s="10">
        <v>284644546168</v>
      </c>
      <c r="P301" s="10">
        <v>5.0013831965155724</v>
      </c>
      <c r="Q301" s="10">
        <v>0</v>
      </c>
      <c r="R301" s="10" t="s">
        <v>238</v>
      </c>
      <c r="S301" s="10">
        <v>0.18979076171560719</v>
      </c>
      <c r="T301" s="10">
        <v>0.38261110688120697</v>
      </c>
      <c r="U301" s="10">
        <v>5.5863867039687362E-2</v>
      </c>
      <c r="V301" s="10">
        <v>2.0320365759254808</v>
      </c>
    </row>
    <row r="302" spans="1:22" x14ac:dyDescent="0.3">
      <c r="A302" s="10" t="s">
        <v>112</v>
      </c>
      <c r="B302" s="10">
        <v>2022</v>
      </c>
      <c r="C302" s="10">
        <v>90731897860</v>
      </c>
      <c r="D302" s="10">
        <v>23072929586</v>
      </c>
      <c r="E302" s="10">
        <v>1196101828789</v>
      </c>
      <c r="F302" s="10">
        <v>634097322447</v>
      </c>
      <c r="G302" s="10">
        <v>447086996864</v>
      </c>
      <c r="H302" s="10">
        <v>412018374942</v>
      </c>
      <c r="I302" s="10">
        <v>748999420178</v>
      </c>
      <c r="J302" s="10">
        <v>477073927731</v>
      </c>
      <c r="K302" s="10">
        <v>222078947505</v>
      </c>
      <c r="L302" s="10"/>
      <c r="M302" s="10">
        <v>974636523540</v>
      </c>
      <c r="N302" s="10">
        <v>47712090745</v>
      </c>
      <c r="O302" s="10">
        <v>279100606884</v>
      </c>
      <c r="P302" s="10">
        <v>4.7870697444956409</v>
      </c>
      <c r="Q302" s="10">
        <v>0</v>
      </c>
      <c r="R302" s="10" t="s">
        <v>238</v>
      </c>
      <c r="S302" s="10">
        <v>0.18566893065437839</v>
      </c>
      <c r="T302" s="10">
        <v>0.39885728476313442</v>
      </c>
      <c r="U302" s="10">
        <v>7.5856332359145393E-2</v>
      </c>
      <c r="V302" s="10">
        <v>1.6752878644015661</v>
      </c>
    </row>
    <row r="303" spans="1:22" x14ac:dyDescent="0.3">
      <c r="A303" s="10" t="s">
        <v>113</v>
      </c>
      <c r="B303" s="10">
        <v>2025</v>
      </c>
      <c r="C303" s="10">
        <v>126718291000</v>
      </c>
      <c r="D303" s="10">
        <v>44971405000</v>
      </c>
      <c r="E303" s="10">
        <v>1539364251000</v>
      </c>
      <c r="F303" s="10">
        <v>692848796000</v>
      </c>
      <c r="G303" s="10">
        <v>870528643000</v>
      </c>
      <c r="H303" s="10">
        <v>199053388000</v>
      </c>
      <c r="I303" s="10">
        <v>666926214000</v>
      </c>
      <c r="J303" s="10">
        <v>159232952000</v>
      </c>
      <c r="K303" s="10">
        <v>493795408000</v>
      </c>
      <c r="L303" s="10"/>
      <c r="M303" s="10">
        <v>1246050864000</v>
      </c>
      <c r="N303" s="10">
        <v>54882631000</v>
      </c>
      <c r="O303" s="10">
        <v>757737584000</v>
      </c>
      <c r="P303" s="10">
        <v>3.79912870900344</v>
      </c>
      <c r="Q303" s="10">
        <v>0</v>
      </c>
      <c r="R303" s="10" t="s">
        <v>238</v>
      </c>
      <c r="S303" s="10">
        <v>0.32077879402436499</v>
      </c>
      <c r="T303" s="10">
        <v>0.103440723595185</v>
      </c>
      <c r="U303" s="10">
        <v>8.2318587636215024E-2</v>
      </c>
      <c r="V303" s="10">
        <v>0.766116335588512</v>
      </c>
    </row>
    <row r="304" spans="1:22" x14ac:dyDescent="0.3">
      <c r="A304" s="10" t="s">
        <v>113</v>
      </c>
      <c r="B304" s="10">
        <v>2024</v>
      </c>
      <c r="C304" s="10">
        <v>118322301000</v>
      </c>
      <c r="D304" s="10">
        <v>38267952000</v>
      </c>
      <c r="E304" s="10">
        <v>1518438495000</v>
      </c>
      <c r="F304" s="10">
        <v>668757689000</v>
      </c>
      <c r="G304" s="10">
        <v>889102445000</v>
      </c>
      <c r="H304" s="10">
        <v>171440965000</v>
      </c>
      <c r="I304" s="10">
        <v>627636087000</v>
      </c>
      <c r="J304" s="10">
        <v>133484863000</v>
      </c>
      <c r="K304" s="10">
        <v>497316724000</v>
      </c>
      <c r="L304" s="10"/>
      <c r="M304" s="10">
        <v>1006858372000</v>
      </c>
      <c r="N304" s="10">
        <v>52036897000</v>
      </c>
      <c r="O304" s="10">
        <v>805130947000</v>
      </c>
      <c r="P304" s="10">
        <v>3.6999699005079161</v>
      </c>
      <c r="Q304" s="10">
        <v>0</v>
      </c>
      <c r="R304" s="10" t="s">
        <v>238</v>
      </c>
      <c r="S304" s="10">
        <v>0.32751851697490059</v>
      </c>
      <c r="T304" s="10">
        <v>8.7909298558714419E-2</v>
      </c>
      <c r="U304" s="10">
        <v>7.7923670527069985E-2</v>
      </c>
      <c r="V304" s="10">
        <v>0.70592099991357016</v>
      </c>
    </row>
    <row r="305" spans="1:22" x14ac:dyDescent="0.3">
      <c r="A305" s="10" t="s">
        <v>113</v>
      </c>
      <c r="B305" s="10">
        <v>2023</v>
      </c>
      <c r="C305" s="10">
        <v>104274992000</v>
      </c>
      <c r="D305" s="10">
        <v>34516317000</v>
      </c>
      <c r="E305" s="10">
        <v>1331794557000</v>
      </c>
      <c r="F305" s="10">
        <v>538016466000</v>
      </c>
      <c r="G305" s="10">
        <v>747318549000</v>
      </c>
      <c r="H305" s="10">
        <v>166153040000</v>
      </c>
      <c r="I305" s="10">
        <v>582984665000</v>
      </c>
      <c r="J305" s="10">
        <v>103571447000</v>
      </c>
      <c r="K305" s="10">
        <v>371863426000</v>
      </c>
      <c r="L305" s="10"/>
      <c r="M305" s="10">
        <v>710983008000</v>
      </c>
      <c r="N305" s="10">
        <v>51241374000</v>
      </c>
      <c r="O305" s="10">
        <v>671935762000</v>
      </c>
      <c r="P305" s="10">
        <v>3.4304669859098178</v>
      </c>
      <c r="Q305" s="10">
        <v>0</v>
      </c>
      <c r="R305" s="10" t="s">
        <v>238</v>
      </c>
      <c r="S305" s="10">
        <v>0.27921981212902652</v>
      </c>
      <c r="T305" s="10">
        <v>7.7768336306543409E-2</v>
      </c>
      <c r="U305" s="10">
        <v>7.8296604721744628E-2</v>
      </c>
      <c r="V305" s="10">
        <v>0.78010196024185663</v>
      </c>
    </row>
    <row r="306" spans="1:22" x14ac:dyDescent="0.3">
      <c r="A306" s="10" t="s">
        <v>113</v>
      </c>
      <c r="B306" s="10">
        <v>2022</v>
      </c>
      <c r="C306" s="10">
        <v>122690358000</v>
      </c>
      <c r="D306" s="10">
        <v>32731070000</v>
      </c>
      <c r="E306" s="10">
        <v>966235747000</v>
      </c>
      <c r="F306" s="10">
        <v>460445854000</v>
      </c>
      <c r="G306" s="10">
        <v>422827959000</v>
      </c>
      <c r="H306" s="10">
        <v>211339579000</v>
      </c>
      <c r="I306" s="10">
        <v>542050461000</v>
      </c>
      <c r="J306" s="10">
        <v>76643674000</v>
      </c>
      <c r="K306" s="10">
        <v>249106275000</v>
      </c>
      <c r="L306" s="10"/>
      <c r="M306" s="10">
        <v>627880911000</v>
      </c>
      <c r="N306" s="10">
        <v>61523703000</v>
      </c>
      <c r="O306" s="10">
        <v>355295405000</v>
      </c>
      <c r="P306" s="10">
        <v>4.1491827942837416</v>
      </c>
      <c r="Q306" s="10">
        <v>0</v>
      </c>
      <c r="R306" s="10" t="s">
        <v>238</v>
      </c>
      <c r="S306" s="10">
        <v>0.25781107330528108</v>
      </c>
      <c r="T306" s="10">
        <v>7.932191935349707E-2</v>
      </c>
      <c r="U306" s="10">
        <v>0.12697766397168911</v>
      </c>
      <c r="V306" s="10">
        <v>1.281964566113283</v>
      </c>
    </row>
    <row r="307" spans="1:22" x14ac:dyDescent="0.3">
      <c r="A307" s="10" t="s">
        <v>114</v>
      </c>
      <c r="B307" s="10">
        <v>2025</v>
      </c>
      <c r="C307" s="10">
        <v>1561760000000</v>
      </c>
      <c r="D307" s="10">
        <v>10453000000</v>
      </c>
      <c r="E307" s="10">
        <v>3456646000000</v>
      </c>
      <c r="F307" s="10">
        <v>1846043000000</v>
      </c>
      <c r="G307" s="10">
        <v>2098696000000</v>
      </c>
      <c r="H307" s="10">
        <v>1980324000000</v>
      </c>
      <c r="I307" s="10">
        <v>1357331000000</v>
      </c>
      <c r="J307" s="10">
        <v>1316676000000</v>
      </c>
      <c r="K307" s="10">
        <v>-134281000000</v>
      </c>
      <c r="L307" s="10"/>
      <c r="M307" s="10">
        <v>3542528000000</v>
      </c>
      <c r="N307" s="10">
        <v>1183344000000</v>
      </c>
      <c r="O307" s="10">
        <v>106868000000</v>
      </c>
      <c r="P307" s="10">
        <v>4.7022089005266361</v>
      </c>
      <c r="Q307" s="10">
        <v>0</v>
      </c>
      <c r="R307" s="10" t="s">
        <v>238</v>
      </c>
      <c r="S307" s="10">
        <v>-3.8847194650536973E-2</v>
      </c>
      <c r="T307" s="10">
        <v>0.38091143842904363</v>
      </c>
      <c r="U307" s="10">
        <v>0.45181369454667908</v>
      </c>
      <c r="V307" s="10">
        <v>0.64674969600170773</v>
      </c>
    </row>
    <row r="308" spans="1:22" x14ac:dyDescent="0.3">
      <c r="A308" s="10" t="s">
        <v>114</v>
      </c>
      <c r="B308" s="10">
        <v>2024</v>
      </c>
      <c r="C308" s="10">
        <v>1476104000000</v>
      </c>
      <c r="D308" s="10">
        <v>28180000000</v>
      </c>
      <c r="E308" s="10">
        <v>3441088000000</v>
      </c>
      <c r="F308" s="10">
        <v>1803762000000</v>
      </c>
      <c r="G308" s="10">
        <v>2124203000000</v>
      </c>
      <c r="H308" s="10">
        <v>1999641000000</v>
      </c>
      <c r="I308" s="10">
        <v>1316167000000</v>
      </c>
      <c r="J308" s="10">
        <v>1275522000000</v>
      </c>
      <c r="K308" s="10">
        <v>-195879000000</v>
      </c>
      <c r="L308" s="10"/>
      <c r="M308" s="10">
        <v>3383969000000</v>
      </c>
      <c r="N308" s="10">
        <v>1141948000000</v>
      </c>
      <c r="O308" s="10">
        <v>230909000000</v>
      </c>
      <c r="P308" s="10">
        <v>4.3682044159448186</v>
      </c>
      <c r="Q308" s="10">
        <v>0</v>
      </c>
      <c r="R308" s="10" t="s">
        <v>238</v>
      </c>
      <c r="S308" s="10">
        <v>-5.6923566034928492E-2</v>
      </c>
      <c r="T308" s="10">
        <v>0.370674042628378</v>
      </c>
      <c r="U308" s="10">
        <v>0.42896432756151542</v>
      </c>
      <c r="V308" s="10">
        <v>0.61960509424005139</v>
      </c>
    </row>
    <row r="309" spans="1:22" x14ac:dyDescent="0.3">
      <c r="A309" s="10" t="s">
        <v>114</v>
      </c>
      <c r="B309" s="10">
        <v>2023</v>
      </c>
      <c r="C309" s="10">
        <v>1424558000000</v>
      </c>
      <c r="D309" s="10">
        <v>26838000000</v>
      </c>
      <c r="E309" s="10">
        <v>3407442000000</v>
      </c>
      <c r="F309" s="10">
        <v>1733206000000</v>
      </c>
      <c r="G309" s="10">
        <v>2015987000000</v>
      </c>
      <c r="H309" s="10">
        <v>1870445000000</v>
      </c>
      <c r="I309" s="10">
        <v>1390685000000</v>
      </c>
      <c r="J309" s="10">
        <v>1367757000000</v>
      </c>
      <c r="K309" s="10">
        <v>-137239000000</v>
      </c>
      <c r="L309" s="10"/>
      <c r="M309" s="10">
        <v>3322282000000</v>
      </c>
      <c r="N309" s="10">
        <v>1066178000000</v>
      </c>
      <c r="O309" s="10">
        <v>389080000000</v>
      </c>
      <c r="P309" s="10">
        <v>4.5781285088212664</v>
      </c>
      <c r="Q309" s="10">
        <v>0</v>
      </c>
      <c r="R309" s="10" t="s">
        <v>238</v>
      </c>
      <c r="S309" s="10">
        <v>-4.0276254151941547E-2</v>
      </c>
      <c r="T309" s="10">
        <v>0.40140287054042301</v>
      </c>
      <c r="U309" s="10">
        <v>0.41807256000248871</v>
      </c>
      <c r="V309" s="10">
        <v>0.68982835702809586</v>
      </c>
    </row>
    <row r="310" spans="1:22" x14ac:dyDescent="0.3">
      <c r="A310" s="10" t="s">
        <v>114</v>
      </c>
      <c r="B310" s="10">
        <v>2022</v>
      </c>
      <c r="C310" s="10">
        <v>1268446000000</v>
      </c>
      <c r="D310" s="10">
        <v>21959000000</v>
      </c>
      <c r="E310" s="10">
        <v>3374502000000</v>
      </c>
      <c r="F310" s="10">
        <v>1649257000000</v>
      </c>
      <c r="G310" s="10">
        <v>2301227000000</v>
      </c>
      <c r="H310" s="10">
        <v>2154777000000</v>
      </c>
      <c r="I310" s="10">
        <v>1072657000000</v>
      </c>
      <c r="J310" s="10">
        <v>1049739000000</v>
      </c>
      <c r="K310" s="10">
        <v>-505520000000</v>
      </c>
      <c r="L310" s="10"/>
      <c r="M310" s="10">
        <v>3114907000000</v>
      </c>
      <c r="N310" s="10">
        <v>924767000000</v>
      </c>
      <c r="O310" s="10">
        <v>441096000000</v>
      </c>
      <c r="P310" s="10">
        <v>3.046813438608452</v>
      </c>
      <c r="Q310" s="10">
        <v>0</v>
      </c>
      <c r="R310" s="10" t="s">
        <v>238</v>
      </c>
      <c r="S310" s="10">
        <v>-0.1498058083829851</v>
      </c>
      <c r="T310" s="10">
        <v>0.31107967931268082</v>
      </c>
      <c r="U310" s="10">
        <v>0.37589131670391662</v>
      </c>
      <c r="V310" s="10">
        <v>0.46612394170588117</v>
      </c>
    </row>
    <row r="311" spans="1:22" x14ac:dyDescent="0.3">
      <c r="A311" s="10" t="s">
        <v>115</v>
      </c>
      <c r="B311" s="10">
        <v>2025</v>
      </c>
      <c r="C311" s="10">
        <v>56924572000</v>
      </c>
      <c r="D311" s="10">
        <v>63298628000</v>
      </c>
      <c r="E311" s="10">
        <v>7367794144000</v>
      </c>
      <c r="F311" s="10">
        <v>2407049919000</v>
      </c>
      <c r="G311" s="10">
        <v>1969998895000</v>
      </c>
      <c r="H311" s="10">
        <v>950242049000</v>
      </c>
      <c r="I311" s="10">
        <v>5397795249000</v>
      </c>
      <c r="J311" s="10">
        <v>787682063000</v>
      </c>
      <c r="K311" s="10">
        <v>1456807870000</v>
      </c>
      <c r="L311" s="10"/>
      <c r="M311" s="10">
        <v>4105678357000</v>
      </c>
      <c r="N311" s="10">
        <v>-4545821000</v>
      </c>
      <c r="O311" s="10">
        <v>889893072000</v>
      </c>
      <c r="P311" s="10">
        <v>4.5745270025978737</v>
      </c>
      <c r="Q311" s="10">
        <v>0</v>
      </c>
      <c r="R311" s="10" t="s">
        <v>238</v>
      </c>
      <c r="S311" s="10">
        <v>0.19772646215778961</v>
      </c>
      <c r="T311" s="10">
        <v>0.1069088043999509</v>
      </c>
      <c r="U311" s="10">
        <v>7.7261349716667652E-3</v>
      </c>
      <c r="V311" s="10">
        <v>2.7399991252279361</v>
      </c>
    </row>
    <row r="312" spans="1:22" x14ac:dyDescent="0.3">
      <c r="A312" s="10" t="s">
        <v>115</v>
      </c>
      <c r="B312" s="10">
        <v>2024</v>
      </c>
      <c r="C312" s="10">
        <v>468746575000</v>
      </c>
      <c r="D312" s="10">
        <v>67856915000</v>
      </c>
      <c r="E312" s="10">
        <v>7047137434000</v>
      </c>
      <c r="F312" s="10">
        <v>2403424680000</v>
      </c>
      <c r="G312" s="10">
        <v>1688821710000</v>
      </c>
      <c r="H312" s="10">
        <v>894832004000</v>
      </c>
      <c r="I312" s="10">
        <v>5358315724000</v>
      </c>
      <c r="J312" s="10">
        <v>838532884000</v>
      </c>
      <c r="K312" s="10">
        <v>1508592676000</v>
      </c>
      <c r="L312" s="10"/>
      <c r="M312" s="10">
        <v>4417035469000</v>
      </c>
      <c r="N312" s="10">
        <v>311074075000</v>
      </c>
      <c r="O312" s="10">
        <v>674003318000</v>
      </c>
      <c r="P312" s="10">
        <v>5.570655506646335</v>
      </c>
      <c r="Q312" s="10">
        <v>0</v>
      </c>
      <c r="R312" s="10" t="s">
        <v>238</v>
      </c>
      <c r="S312" s="10">
        <v>0.21407169792397721</v>
      </c>
      <c r="T312" s="10">
        <v>0.11898914869381839</v>
      </c>
      <c r="U312" s="10">
        <v>6.6515883845043228E-2</v>
      </c>
      <c r="V312" s="10">
        <v>3.1728131467471479</v>
      </c>
    </row>
    <row r="313" spans="1:22" x14ac:dyDescent="0.3">
      <c r="A313" s="10" t="s">
        <v>115</v>
      </c>
      <c r="B313" s="10">
        <v>2023</v>
      </c>
      <c r="C313" s="10">
        <v>805342485000</v>
      </c>
      <c r="D313" s="10">
        <v>87603144000</v>
      </c>
      <c r="E313" s="10">
        <v>7017221425000</v>
      </c>
      <c r="F313" s="10">
        <v>2441619884000</v>
      </c>
      <c r="G313" s="10">
        <v>2059037171000</v>
      </c>
      <c r="H313" s="10">
        <v>1123458245000</v>
      </c>
      <c r="I313" s="10">
        <v>4958184254000</v>
      </c>
      <c r="J313" s="10">
        <v>692833809000</v>
      </c>
      <c r="K313" s="10">
        <v>1318161639000</v>
      </c>
      <c r="L313" s="10"/>
      <c r="M313" s="10">
        <v>4806411306000</v>
      </c>
      <c r="N313" s="10">
        <v>562628681000</v>
      </c>
      <c r="O313" s="10">
        <v>925507803000</v>
      </c>
      <c r="P313" s="10">
        <v>4.8537878530362084</v>
      </c>
      <c r="Q313" s="10">
        <v>0</v>
      </c>
      <c r="R313" s="10" t="s">
        <v>238</v>
      </c>
      <c r="S313" s="10">
        <v>0.18784666453645499</v>
      </c>
      <c r="T313" s="10">
        <v>9.8733354277758159E-2</v>
      </c>
      <c r="U313" s="10">
        <v>0.11476657728525359</v>
      </c>
      <c r="V313" s="10">
        <v>2.4080110470234919</v>
      </c>
    </row>
    <row r="314" spans="1:22" x14ac:dyDescent="0.3">
      <c r="A314" s="10" t="s">
        <v>115</v>
      </c>
      <c r="B314" s="10">
        <v>2022</v>
      </c>
      <c r="C314" s="10">
        <v>1196303521000</v>
      </c>
      <c r="D314" s="10">
        <v>103490059000</v>
      </c>
      <c r="E314" s="10">
        <v>6806945264000</v>
      </c>
      <c r="F314" s="10">
        <v>2328864897000</v>
      </c>
      <c r="G314" s="10">
        <v>2323807207000</v>
      </c>
      <c r="H314" s="10">
        <v>1158518478000</v>
      </c>
      <c r="I314" s="10">
        <v>4483138057000</v>
      </c>
      <c r="J314" s="10">
        <v>362037128000</v>
      </c>
      <c r="K314" s="10">
        <v>1170346419000</v>
      </c>
      <c r="L314" s="10"/>
      <c r="M314" s="10">
        <v>5073812958000</v>
      </c>
      <c r="N314" s="10">
        <v>853707145000</v>
      </c>
      <c r="O314" s="10">
        <v>1109125596000</v>
      </c>
      <c r="P314" s="10">
        <v>4.5079811961502809</v>
      </c>
      <c r="Q314" s="10">
        <v>0</v>
      </c>
      <c r="R314" s="10" t="s">
        <v>238</v>
      </c>
      <c r="S314" s="10">
        <v>0.17193416042136109</v>
      </c>
      <c r="T314" s="10">
        <v>5.3186431498826868E-2</v>
      </c>
      <c r="U314" s="10">
        <v>0.1757474865160015</v>
      </c>
      <c r="V314" s="10">
        <v>1.9292211692499499</v>
      </c>
    </row>
    <row r="315" spans="1:22" x14ac:dyDescent="0.3">
      <c r="A315" s="10" t="s">
        <v>116</v>
      </c>
      <c r="B315" s="10">
        <v>2025</v>
      </c>
      <c r="C315" s="10">
        <v>134560099000</v>
      </c>
      <c r="D315" s="10">
        <v>14695335000</v>
      </c>
      <c r="E315" s="10">
        <v>1614059668000</v>
      </c>
      <c r="F315" s="10">
        <v>805032679000</v>
      </c>
      <c r="G315" s="10">
        <v>172026179000</v>
      </c>
      <c r="H315" s="10">
        <v>102496764000</v>
      </c>
      <c r="I315" s="10">
        <v>1237124624000</v>
      </c>
      <c r="J315" s="10">
        <v>696605983000</v>
      </c>
      <c r="K315" s="10">
        <v>702535915000</v>
      </c>
      <c r="L315" s="10"/>
      <c r="M315" s="10">
        <v>1497999187000</v>
      </c>
      <c r="N315" s="10">
        <v>75455816000</v>
      </c>
      <c r="O315" s="10">
        <v>13255445000</v>
      </c>
      <c r="P315" s="10">
        <v>12.373572549023111</v>
      </c>
      <c r="Q315" s="10">
        <v>0</v>
      </c>
      <c r="R315" s="10" t="s">
        <v>238</v>
      </c>
      <c r="S315" s="10">
        <v>0.43526018828691782</v>
      </c>
      <c r="T315" s="10">
        <v>0.43158626462872501</v>
      </c>
      <c r="U315" s="10">
        <v>8.3367487378415803E-2</v>
      </c>
      <c r="V315" s="10">
        <v>7.1914904533222241</v>
      </c>
    </row>
    <row r="316" spans="1:22" x14ac:dyDescent="0.3">
      <c r="A316" s="10" t="s">
        <v>116</v>
      </c>
      <c r="B316" s="10">
        <v>2024</v>
      </c>
      <c r="C316" s="10">
        <v>63383893000</v>
      </c>
      <c r="D316" s="10">
        <v>30145352000</v>
      </c>
      <c r="E316" s="10">
        <v>1932495722000</v>
      </c>
      <c r="F316" s="10">
        <v>1078123117000</v>
      </c>
      <c r="G316" s="10">
        <v>578323545000</v>
      </c>
      <c r="H316" s="10">
        <v>509302248000</v>
      </c>
      <c r="I316" s="10">
        <v>1163777196000</v>
      </c>
      <c r="J316" s="10">
        <v>622150167000</v>
      </c>
      <c r="K316" s="10">
        <v>568820869000</v>
      </c>
      <c r="L316" s="10"/>
      <c r="M316" s="10">
        <v>1392544305000</v>
      </c>
      <c r="N316" s="10">
        <v>12950433000</v>
      </c>
      <c r="O316" s="10">
        <v>430466904000</v>
      </c>
      <c r="P316" s="10">
        <v>5.3137877482578384</v>
      </c>
      <c r="Q316" s="10">
        <v>0</v>
      </c>
      <c r="R316" s="10" t="s">
        <v>238</v>
      </c>
      <c r="S316" s="10">
        <v>0.29434521511453049</v>
      </c>
      <c r="T316" s="10">
        <v>0.32194129069332028</v>
      </c>
      <c r="U316" s="10">
        <v>3.279898230998516E-2</v>
      </c>
      <c r="V316" s="10">
        <v>2.0123289222125651</v>
      </c>
    </row>
    <row r="317" spans="1:22" x14ac:dyDescent="0.3">
      <c r="A317" s="10" t="s">
        <v>116</v>
      </c>
      <c r="B317" s="10">
        <v>2023</v>
      </c>
      <c r="C317" s="10">
        <v>156642457000</v>
      </c>
      <c r="D317" s="10">
        <v>36426887000</v>
      </c>
      <c r="E317" s="10">
        <v>2019929220000</v>
      </c>
      <c r="F317" s="10">
        <v>1144764673000</v>
      </c>
      <c r="G317" s="10">
        <v>669321468000</v>
      </c>
      <c r="H317" s="10">
        <v>588637605000</v>
      </c>
      <c r="I317" s="10">
        <v>1161114160000</v>
      </c>
      <c r="J317" s="10">
        <v>620197696000</v>
      </c>
      <c r="K317" s="10">
        <v>556127068000</v>
      </c>
      <c r="L317" s="10"/>
      <c r="M317" s="10">
        <v>1448228617000</v>
      </c>
      <c r="N317" s="10">
        <v>83512769000</v>
      </c>
      <c r="O317" s="10">
        <v>525119559000</v>
      </c>
      <c r="P317" s="10">
        <v>5.1496749460239872</v>
      </c>
      <c r="Q317" s="10">
        <v>0</v>
      </c>
      <c r="R317" s="10" t="s">
        <v>238</v>
      </c>
      <c r="S317" s="10">
        <v>0.27532007680942411</v>
      </c>
      <c r="T317" s="10">
        <v>0.30703932091244268</v>
      </c>
      <c r="U317" s="10">
        <v>7.7548488060388568E-2</v>
      </c>
      <c r="V317" s="10">
        <v>1.7347630630607529</v>
      </c>
    </row>
    <row r="318" spans="1:22" x14ac:dyDescent="0.3">
      <c r="A318" s="10" t="s">
        <v>116</v>
      </c>
      <c r="B318" s="10">
        <v>2022</v>
      </c>
      <c r="C318" s="10">
        <v>81186553000</v>
      </c>
      <c r="D318" s="10">
        <v>37366055000</v>
      </c>
      <c r="E318" s="10">
        <v>1896261085000</v>
      </c>
      <c r="F318" s="10">
        <v>1021595101000</v>
      </c>
      <c r="G318" s="10">
        <v>640559702000</v>
      </c>
      <c r="H318" s="10">
        <v>508757119000</v>
      </c>
      <c r="I318" s="10">
        <v>1074495908000</v>
      </c>
      <c r="J318" s="10">
        <v>537684927000</v>
      </c>
      <c r="K318" s="10">
        <v>512837982000</v>
      </c>
      <c r="L318" s="10"/>
      <c r="M318" s="10">
        <v>1515319792000</v>
      </c>
      <c r="N318" s="10">
        <v>22523399000</v>
      </c>
      <c r="O318" s="10">
        <v>512723717000</v>
      </c>
      <c r="P318" s="10">
        <v>4.7475197197475154</v>
      </c>
      <c r="Q318" s="10">
        <v>0</v>
      </c>
      <c r="R318" s="10" t="s">
        <v>238</v>
      </c>
      <c r="S318" s="10">
        <v>0.27044692635244372</v>
      </c>
      <c r="T318" s="10">
        <v>0.28355005080959089</v>
      </c>
      <c r="U318" s="10">
        <v>4.2814016298815732E-2</v>
      </c>
      <c r="V318" s="10">
        <v>1.6774328835315959</v>
      </c>
    </row>
    <row r="319" spans="1:22" x14ac:dyDescent="0.3">
      <c r="A319" s="10" t="s">
        <v>117</v>
      </c>
      <c r="B319" s="10">
        <v>2025</v>
      </c>
      <c r="C319" s="10">
        <v>15935958338</v>
      </c>
      <c r="D319" s="10">
        <v>14104901441</v>
      </c>
      <c r="E319" s="10">
        <v>878777664407</v>
      </c>
      <c r="F319" s="10">
        <v>579311729337</v>
      </c>
      <c r="G319" s="10">
        <v>247130467731</v>
      </c>
      <c r="H319" s="10">
        <v>207805188412</v>
      </c>
      <c r="I319" s="10">
        <v>574245948155</v>
      </c>
      <c r="J319" s="10">
        <v>241984466780</v>
      </c>
      <c r="K319" s="10">
        <v>371506540925</v>
      </c>
      <c r="L319" s="10"/>
      <c r="M319" s="10">
        <v>423517455955</v>
      </c>
      <c r="N319" s="10">
        <v>415888750</v>
      </c>
      <c r="O319" s="10">
        <v>124642567105</v>
      </c>
      <c r="P319" s="10">
        <v>6.2326536686665683</v>
      </c>
      <c r="Q319" s="10">
        <v>0</v>
      </c>
      <c r="R319" s="10" t="s">
        <v>238</v>
      </c>
      <c r="S319" s="10">
        <v>0.42275373620891121</v>
      </c>
      <c r="T319" s="10">
        <v>0.27536483524907451</v>
      </c>
      <c r="U319" s="10">
        <v>1.8134232335949959E-2</v>
      </c>
      <c r="V319" s="10">
        <v>2.3236550046919482</v>
      </c>
    </row>
    <row r="320" spans="1:22" x14ac:dyDescent="0.3">
      <c r="A320" s="10" t="s">
        <v>117</v>
      </c>
      <c r="B320" s="10">
        <v>2024</v>
      </c>
      <c r="C320" s="10">
        <v>15595577753</v>
      </c>
      <c r="D320" s="10">
        <v>14351837567</v>
      </c>
      <c r="E320" s="10">
        <v>818435708264</v>
      </c>
      <c r="F320" s="10">
        <v>527354772708</v>
      </c>
      <c r="G320" s="10">
        <v>244780362194</v>
      </c>
      <c r="H320" s="10">
        <v>192818326822</v>
      </c>
      <c r="I320" s="10">
        <v>573583817521</v>
      </c>
      <c r="J320" s="10">
        <v>241568578030</v>
      </c>
      <c r="K320" s="10">
        <v>334536445886</v>
      </c>
      <c r="L320" s="10"/>
      <c r="M320" s="10">
        <v>333562949947</v>
      </c>
      <c r="N320" s="10">
        <v>-5122538773</v>
      </c>
      <c r="O320" s="10">
        <v>133383558766</v>
      </c>
      <c r="P320" s="10">
        <v>6.2320988316469803</v>
      </c>
      <c r="Q320" s="10">
        <v>0</v>
      </c>
      <c r="R320" s="10" t="s">
        <v>238</v>
      </c>
      <c r="S320" s="10">
        <v>0.4087510387292263</v>
      </c>
      <c r="T320" s="10">
        <v>0.29515889347300822</v>
      </c>
      <c r="U320" s="10">
        <v>1.9055348630963431E-2</v>
      </c>
      <c r="V320" s="10">
        <v>2.3432591257725481</v>
      </c>
    </row>
    <row r="321" spans="1:22" x14ac:dyDescent="0.3">
      <c r="A321" s="10" t="s">
        <v>117</v>
      </c>
      <c r="B321" s="10">
        <v>2023</v>
      </c>
      <c r="C321" s="10">
        <v>671108627</v>
      </c>
      <c r="D321" s="10">
        <v>13866470900</v>
      </c>
      <c r="E321" s="10">
        <v>634207335645</v>
      </c>
      <c r="F321" s="10">
        <v>536240708878</v>
      </c>
      <c r="G321" s="10">
        <v>232316210715</v>
      </c>
      <c r="H321" s="10">
        <v>191132222451</v>
      </c>
      <c r="I321" s="10">
        <v>401838786060</v>
      </c>
      <c r="J321" s="10">
        <v>246691116803</v>
      </c>
      <c r="K321" s="10">
        <v>345108486427</v>
      </c>
      <c r="L321" s="10"/>
      <c r="M321" s="10">
        <v>300596022300</v>
      </c>
      <c r="N321" s="10">
        <v>-14140399378</v>
      </c>
      <c r="O321" s="10">
        <v>138541655432</v>
      </c>
      <c r="P321" s="10">
        <v>6.6610338472390316</v>
      </c>
      <c r="Q321" s="10">
        <v>0</v>
      </c>
      <c r="R321" s="10" t="s">
        <v>238</v>
      </c>
      <c r="S321" s="10">
        <v>0.54415719754489844</v>
      </c>
      <c r="T321" s="10">
        <v>0.38897550207632148</v>
      </c>
      <c r="U321" s="10">
        <v>1.0581849014998711E-3</v>
      </c>
      <c r="V321" s="10">
        <v>1.729706182892963</v>
      </c>
    </row>
    <row r="322" spans="1:22" x14ac:dyDescent="0.3">
      <c r="A322" s="10" t="s">
        <v>117</v>
      </c>
      <c r="B322" s="10">
        <v>2022</v>
      </c>
      <c r="C322" s="10">
        <v>61170413206</v>
      </c>
      <c r="D322" s="10">
        <v>11732865228</v>
      </c>
      <c r="E322" s="10">
        <v>694780597799</v>
      </c>
      <c r="F322" s="10">
        <v>586852139107</v>
      </c>
      <c r="G322" s="10">
        <v>283395035571</v>
      </c>
      <c r="H322" s="10">
        <v>236276099973</v>
      </c>
      <c r="I322" s="10">
        <v>411360734582</v>
      </c>
      <c r="J322" s="10">
        <v>260831516181</v>
      </c>
      <c r="K322" s="10">
        <v>350576039134</v>
      </c>
      <c r="L322" s="10"/>
      <c r="M322" s="10">
        <v>285177566612</v>
      </c>
      <c r="N322" s="10">
        <v>67833011050</v>
      </c>
      <c r="O322" s="10">
        <v>140262073282</v>
      </c>
      <c r="P322" s="10">
        <v>6.6497043016386783</v>
      </c>
      <c r="Q322" s="10">
        <v>0</v>
      </c>
      <c r="R322" s="10" t="s">
        <v>238</v>
      </c>
      <c r="S322" s="10">
        <v>0.50458524639949953</v>
      </c>
      <c r="T322" s="10">
        <v>0.37541565928480142</v>
      </c>
      <c r="U322" s="10">
        <v>8.8042776956901436E-2</v>
      </c>
      <c r="V322" s="10">
        <v>1.4515453093706021</v>
      </c>
    </row>
    <row r="323" spans="1:22" x14ac:dyDescent="0.3">
      <c r="A323" s="10" t="s">
        <v>118</v>
      </c>
      <c r="B323" s="10">
        <v>2025</v>
      </c>
      <c r="C323" s="10">
        <v>7633629</v>
      </c>
      <c r="D323" s="10">
        <v>833860</v>
      </c>
      <c r="E323" s="10">
        <v>108329737</v>
      </c>
      <c r="F323" s="10">
        <v>39264489</v>
      </c>
      <c r="G323" s="10">
        <v>21820463</v>
      </c>
      <c r="H323" s="10">
        <v>13460037</v>
      </c>
      <c r="I323" s="10">
        <v>83657445</v>
      </c>
      <c r="J323" s="10">
        <v>10824639</v>
      </c>
      <c r="K323" s="10">
        <v>25804452</v>
      </c>
      <c r="L323" s="10"/>
      <c r="M323" s="10">
        <v>64200896</v>
      </c>
      <c r="N323" s="10">
        <v>5675270</v>
      </c>
      <c r="O323" s="10">
        <v>12250210</v>
      </c>
      <c r="P323" s="10">
        <v>6.3874891185288103</v>
      </c>
      <c r="Q323" s="10">
        <v>0</v>
      </c>
      <c r="R323" s="10" t="s">
        <v>238</v>
      </c>
      <c r="S323" s="10">
        <v>0.23820284914012119</v>
      </c>
      <c r="T323" s="10">
        <v>9.9923061753579262E-2</v>
      </c>
      <c r="U323" s="10">
        <v>7.0466606966838666E-2</v>
      </c>
      <c r="V323" s="10">
        <v>3.833898712415039</v>
      </c>
    </row>
    <row r="324" spans="1:22" x14ac:dyDescent="0.3">
      <c r="A324" s="10" t="s">
        <v>118</v>
      </c>
      <c r="B324" s="10">
        <v>2024</v>
      </c>
      <c r="C324" s="10">
        <v>6926647</v>
      </c>
      <c r="D324" s="10">
        <v>1298280</v>
      </c>
      <c r="E324" s="10">
        <v>111887577</v>
      </c>
      <c r="F324" s="10">
        <v>43564549</v>
      </c>
      <c r="G324" s="10">
        <v>24339600</v>
      </c>
      <c r="H324" s="10">
        <v>15782815</v>
      </c>
      <c r="I324" s="10">
        <v>84906007</v>
      </c>
      <c r="J324" s="10">
        <v>9347068</v>
      </c>
      <c r="K324" s="10">
        <v>27781734</v>
      </c>
      <c r="L324" s="10"/>
      <c r="M324" s="10">
        <v>68512146</v>
      </c>
      <c r="N324" s="10">
        <v>5504582</v>
      </c>
      <c r="O324" s="10">
        <v>14847204</v>
      </c>
      <c r="P324" s="10">
        <v>5.9800161288864224</v>
      </c>
      <c r="Q324" s="10">
        <v>0</v>
      </c>
      <c r="R324" s="10" t="s">
        <v>238</v>
      </c>
      <c r="S324" s="10">
        <v>0.24830043464074661</v>
      </c>
      <c r="T324" s="10">
        <v>8.3539819617328925E-2</v>
      </c>
      <c r="U324" s="10">
        <v>6.1907203513755588E-2</v>
      </c>
      <c r="V324" s="10">
        <v>3.4883895791220891</v>
      </c>
    </row>
    <row r="325" spans="1:22" x14ac:dyDescent="0.3">
      <c r="A325" s="10" t="s">
        <v>118</v>
      </c>
      <c r="B325" s="10">
        <v>2023</v>
      </c>
      <c r="C325" s="10">
        <v>10473598</v>
      </c>
      <c r="D325" s="10">
        <v>1010616</v>
      </c>
      <c r="E325" s="10">
        <v>104345756</v>
      </c>
      <c r="F325" s="10">
        <v>41395761</v>
      </c>
      <c r="G325" s="10">
        <v>36445955</v>
      </c>
      <c r="H325" s="10">
        <v>25409554</v>
      </c>
      <c r="I325" s="10">
        <v>65187285</v>
      </c>
      <c r="J325" s="10">
        <v>5663015</v>
      </c>
      <c r="K325" s="10">
        <v>15986207</v>
      </c>
      <c r="L325" s="10"/>
      <c r="M325" s="10">
        <v>70288813</v>
      </c>
      <c r="N325" s="10">
        <v>7322193</v>
      </c>
      <c r="O325" s="10">
        <v>25722879</v>
      </c>
      <c r="P325" s="10">
        <v>3.7344895511601188</v>
      </c>
      <c r="Q325" s="10">
        <v>0</v>
      </c>
      <c r="R325" s="10" t="s">
        <v>238</v>
      </c>
      <c r="S325" s="10">
        <v>0.15320418973245059</v>
      </c>
      <c r="T325" s="10">
        <v>5.4271637075493519E-2</v>
      </c>
      <c r="U325" s="10">
        <v>0.1003739720856496</v>
      </c>
      <c r="V325" s="10">
        <v>1.788601368793876</v>
      </c>
    </row>
    <row r="326" spans="1:22" x14ac:dyDescent="0.3">
      <c r="A326" s="10" t="s">
        <v>118</v>
      </c>
      <c r="B326" s="10">
        <v>2022</v>
      </c>
      <c r="C326" s="10">
        <v>6342735</v>
      </c>
      <c r="D326" s="10">
        <v>974599</v>
      </c>
      <c r="E326" s="10">
        <v>99678303</v>
      </c>
      <c r="F326" s="10">
        <v>34082983</v>
      </c>
      <c r="G326" s="10">
        <v>30900412</v>
      </c>
      <c r="H326" s="10">
        <v>23666215</v>
      </c>
      <c r="I326" s="10">
        <v>67993109</v>
      </c>
      <c r="J326" s="10">
        <v>31860237</v>
      </c>
      <c r="K326" s="10">
        <v>10416768</v>
      </c>
      <c r="L326" s="10"/>
      <c r="M326" s="10">
        <v>78985178</v>
      </c>
      <c r="N326" s="10">
        <v>4778525</v>
      </c>
      <c r="O326" s="10">
        <v>19178690</v>
      </c>
      <c r="P326" s="10">
        <v>4.465563193149654</v>
      </c>
      <c r="Q326" s="10">
        <v>0</v>
      </c>
      <c r="R326" s="10" t="s">
        <v>238</v>
      </c>
      <c r="S326" s="10">
        <v>0.1045038658011664</v>
      </c>
      <c r="T326" s="10">
        <v>0.31963061209017568</v>
      </c>
      <c r="U326" s="10">
        <v>6.3632052403620881E-2</v>
      </c>
      <c r="V326" s="10">
        <v>2.2003949008835222</v>
      </c>
    </row>
    <row r="327" spans="1:22" x14ac:dyDescent="0.3">
      <c r="A327" s="10" t="s">
        <v>119</v>
      </c>
      <c r="B327" s="10">
        <v>2025</v>
      </c>
      <c r="C327" s="10">
        <v>4209596352283</v>
      </c>
      <c r="D327" s="10">
        <v>593097039102</v>
      </c>
      <c r="E327" s="10">
        <v>31379998865878</v>
      </c>
      <c r="F327" s="10">
        <v>21259692155479</v>
      </c>
      <c r="G327" s="10">
        <v>13017009300451</v>
      </c>
      <c r="H327" s="10">
        <v>6294247584854</v>
      </c>
      <c r="I327" s="10">
        <v>18098768234866</v>
      </c>
      <c r="J327" s="10">
        <v>17944375906339</v>
      </c>
      <c r="K327" s="10">
        <v>14965444570625</v>
      </c>
      <c r="L327" s="10"/>
      <c r="M327" s="10">
        <v>38681562261207</v>
      </c>
      <c r="N327" s="10">
        <v>2865185363464</v>
      </c>
      <c r="O327" s="10">
        <v>8387563016079</v>
      </c>
      <c r="P327" s="10">
        <v>7.3541287228810281</v>
      </c>
      <c r="Q327" s="10">
        <v>0</v>
      </c>
      <c r="R327" s="10" t="s">
        <v>238</v>
      </c>
      <c r="S327" s="10">
        <v>0.47691029673357099</v>
      </c>
      <c r="T327" s="10">
        <v>0.57184119040397308</v>
      </c>
      <c r="U327" s="10">
        <v>0.1341490281843328</v>
      </c>
      <c r="V327" s="10">
        <v>1.390393739231556</v>
      </c>
    </row>
    <row r="328" spans="1:22" x14ac:dyDescent="0.3">
      <c r="A328" s="10" t="s">
        <v>119</v>
      </c>
      <c r="B328" s="10">
        <v>2024</v>
      </c>
      <c r="C328" s="10">
        <v>4306290023597</v>
      </c>
      <c r="D328" s="10">
        <v>425195530261</v>
      </c>
      <c r="E328" s="10">
        <v>29728781933757</v>
      </c>
      <c r="F328" s="10">
        <v>19600914916989</v>
      </c>
      <c r="G328" s="10">
        <v>12626353599187</v>
      </c>
      <c r="H328" s="10">
        <v>7383110635195</v>
      </c>
      <c r="I328" s="10">
        <v>16820564648744</v>
      </c>
      <c r="J328" s="10">
        <v>16328892792792</v>
      </c>
      <c r="K328" s="10">
        <v>12217804281794</v>
      </c>
      <c r="L328" s="10"/>
      <c r="M328" s="10">
        <v>36072949285930</v>
      </c>
      <c r="N328" s="10">
        <v>3000372094158</v>
      </c>
      <c r="O328" s="10">
        <v>8148442862490</v>
      </c>
      <c r="P328" s="10">
        <v>6.8587916499149779</v>
      </c>
      <c r="Q328" s="10">
        <v>0</v>
      </c>
      <c r="R328" s="10" t="s">
        <v>238</v>
      </c>
      <c r="S328" s="10">
        <v>0.4109756097312785</v>
      </c>
      <c r="T328" s="10">
        <v>0.5492620864580583</v>
      </c>
      <c r="U328" s="10">
        <v>0.1448525551161991</v>
      </c>
      <c r="V328" s="10">
        <v>1.3321791217558701</v>
      </c>
    </row>
    <row r="329" spans="1:22" x14ac:dyDescent="0.3">
      <c r="A329" s="10" t="s">
        <v>119</v>
      </c>
      <c r="B329" s="10">
        <v>2023</v>
      </c>
      <c r="C329" s="10">
        <v>4396292972270</v>
      </c>
      <c r="D329" s="10">
        <v>302577139458</v>
      </c>
      <c r="E329" s="10">
        <v>23870404962472</v>
      </c>
      <c r="F329" s="10">
        <v>14738922387529</v>
      </c>
      <c r="G329" s="10">
        <v>8588315775736</v>
      </c>
      <c r="H329" s="10">
        <v>4013200501414</v>
      </c>
      <c r="I329" s="10">
        <v>15039487611663</v>
      </c>
      <c r="J329" s="10">
        <v>14552037812134</v>
      </c>
      <c r="K329" s="10">
        <v>10725721886115</v>
      </c>
      <c r="L329" s="10"/>
      <c r="M329" s="10">
        <v>31485008185525</v>
      </c>
      <c r="N329" s="10">
        <v>3193816276615</v>
      </c>
      <c r="O329" s="10">
        <v>4267410076475</v>
      </c>
      <c r="P329" s="10">
        <v>8.0113567867829669</v>
      </c>
      <c r="Q329" s="10">
        <v>0</v>
      </c>
      <c r="R329" s="10" t="s">
        <v>238</v>
      </c>
      <c r="S329" s="10">
        <v>0.44933137510559662</v>
      </c>
      <c r="T329" s="10">
        <v>0.60962676733017618</v>
      </c>
      <c r="U329" s="10">
        <v>0.18417337197176409</v>
      </c>
      <c r="V329" s="10">
        <v>1.751156804708214</v>
      </c>
    </row>
    <row r="330" spans="1:22" x14ac:dyDescent="0.3">
      <c r="A330" s="10" t="s">
        <v>119</v>
      </c>
      <c r="B330" s="10">
        <v>2022</v>
      </c>
      <c r="C330" s="10">
        <v>2895240195831</v>
      </c>
      <c r="D330" s="10">
        <v>389182677897</v>
      </c>
      <c r="E330" s="10">
        <v>22276160695411</v>
      </c>
      <c r="F330" s="10">
        <v>14772623976128</v>
      </c>
      <c r="G330" s="10">
        <v>9441466604896</v>
      </c>
      <c r="H330" s="10">
        <v>5636627301308</v>
      </c>
      <c r="I330" s="10">
        <v>12628400600637</v>
      </c>
      <c r="J330" s="10">
        <v>12136012917053</v>
      </c>
      <c r="K330" s="10">
        <v>9135996674820</v>
      </c>
      <c r="L330" s="10"/>
      <c r="M330" s="10">
        <v>30669405967404</v>
      </c>
      <c r="N330" s="10">
        <v>1942229752036</v>
      </c>
      <c r="O330" s="10">
        <v>5529177853189</v>
      </c>
      <c r="P330" s="10">
        <v>6.7442826997001788</v>
      </c>
      <c r="Q330" s="10">
        <v>0</v>
      </c>
      <c r="R330" s="10" t="s">
        <v>238</v>
      </c>
      <c r="S330" s="10">
        <v>0.41012438362873099</v>
      </c>
      <c r="T330" s="10">
        <v>0.54479822995499749</v>
      </c>
      <c r="U330" s="10">
        <v>0.12997034073413891</v>
      </c>
      <c r="V330" s="10">
        <v>1.3375464987704739</v>
      </c>
    </row>
    <row r="331" spans="1:22" x14ac:dyDescent="0.3">
      <c r="A331" s="10" t="s">
        <v>120</v>
      </c>
      <c r="B331" s="10">
        <v>2025</v>
      </c>
      <c r="C331" s="10">
        <v>34854215347</v>
      </c>
      <c r="D331" s="10">
        <v>1008954376</v>
      </c>
      <c r="E331" s="10">
        <v>277268301532</v>
      </c>
      <c r="F331" s="10">
        <v>209316224952</v>
      </c>
      <c r="G331" s="10">
        <v>66469782262</v>
      </c>
      <c r="H331" s="10">
        <v>59442881250</v>
      </c>
      <c r="I331" s="10">
        <v>210798519270</v>
      </c>
      <c r="J331" s="10">
        <v>68067911470</v>
      </c>
      <c r="K331" s="10">
        <v>149873343702</v>
      </c>
      <c r="L331" s="10"/>
      <c r="M331" s="10">
        <v>215703608729</v>
      </c>
      <c r="N331" s="10">
        <v>30706934366</v>
      </c>
      <c r="O331" s="10">
        <v>721783437</v>
      </c>
      <c r="P331" s="10">
        <v>8.5208786920281341</v>
      </c>
      <c r="Q331" s="10">
        <v>0</v>
      </c>
      <c r="R331" s="10" t="s">
        <v>238</v>
      </c>
      <c r="S331" s="10">
        <v>0.54053544120947006</v>
      </c>
      <c r="T331" s="10">
        <v>0.2454947467629803</v>
      </c>
      <c r="U331" s="10">
        <v>0.12570573395667231</v>
      </c>
      <c r="V331" s="10">
        <v>3.1713436105312929</v>
      </c>
    </row>
    <row r="332" spans="1:22" x14ac:dyDescent="0.3">
      <c r="A332" s="10" t="s">
        <v>120</v>
      </c>
      <c r="B332" s="10">
        <v>2024</v>
      </c>
      <c r="C332" s="10">
        <v>38179553046</v>
      </c>
      <c r="D332" s="10">
        <v>4106386752</v>
      </c>
      <c r="E332" s="10">
        <v>239959066599</v>
      </c>
      <c r="F332" s="10">
        <v>204021015408</v>
      </c>
      <c r="G332" s="10">
        <v>60434683744</v>
      </c>
      <c r="H332" s="10">
        <v>55857498447</v>
      </c>
      <c r="I332" s="10">
        <v>179524382855</v>
      </c>
      <c r="J332" s="10">
        <v>48110977104</v>
      </c>
      <c r="K332" s="10">
        <v>148163516961</v>
      </c>
      <c r="L332" s="10"/>
      <c r="M332" s="10">
        <v>207168060758</v>
      </c>
      <c r="N332" s="10">
        <v>30901926976</v>
      </c>
      <c r="O332" s="10">
        <v>18654688270</v>
      </c>
      <c r="P332" s="10">
        <v>8.8924022068430268</v>
      </c>
      <c r="Q332" s="10">
        <v>0</v>
      </c>
      <c r="R332" s="10" t="s">
        <v>238</v>
      </c>
      <c r="S332" s="10">
        <v>0.61745329760178957</v>
      </c>
      <c r="T332" s="10">
        <v>0.2004966004656083</v>
      </c>
      <c r="U332" s="10">
        <v>0.15910860792687839</v>
      </c>
      <c r="V332" s="10">
        <v>2.970552201703601</v>
      </c>
    </row>
    <row r="333" spans="1:22" x14ac:dyDescent="0.3">
      <c r="A333" s="10" t="s">
        <v>120</v>
      </c>
      <c r="B333" s="10">
        <v>2023</v>
      </c>
      <c r="C333" s="10">
        <v>19241323997</v>
      </c>
      <c r="D333" s="10">
        <v>4588266384</v>
      </c>
      <c r="E333" s="10">
        <v>189822573875</v>
      </c>
      <c r="F333" s="10">
        <v>163621036382</v>
      </c>
      <c r="G333" s="10">
        <v>117977414829</v>
      </c>
      <c r="H333" s="10">
        <v>113496995900</v>
      </c>
      <c r="I333" s="10">
        <v>71845159046</v>
      </c>
      <c r="J333" s="10">
        <v>17209050128</v>
      </c>
      <c r="K333" s="10">
        <v>50124040482</v>
      </c>
      <c r="L333" s="10"/>
      <c r="M333" s="10">
        <v>124461090431</v>
      </c>
      <c r="N333" s="10">
        <v>13187251809</v>
      </c>
      <c r="O333" s="10">
        <v>40303555570</v>
      </c>
      <c r="P333" s="10">
        <v>3.3483569608320161</v>
      </c>
      <c r="Q333" s="10">
        <v>0</v>
      </c>
      <c r="R333" s="10" t="s">
        <v>238</v>
      </c>
      <c r="S333" s="10">
        <v>0.26405732183890401</v>
      </c>
      <c r="T333" s="10">
        <v>9.0658607017584353E-2</v>
      </c>
      <c r="U333" s="10">
        <v>0.1013647829349875</v>
      </c>
      <c r="V333" s="10">
        <v>0.60897383749368073</v>
      </c>
    </row>
    <row r="334" spans="1:22" x14ac:dyDescent="0.3">
      <c r="A334" s="10" t="s">
        <v>120</v>
      </c>
      <c r="B334" s="10">
        <v>2022</v>
      </c>
      <c r="C334" s="10">
        <v>15167567185</v>
      </c>
      <c r="D334" s="10">
        <v>3220345681</v>
      </c>
      <c r="E334" s="10">
        <v>112020460626</v>
      </c>
      <c r="F334" s="10">
        <v>97552488206</v>
      </c>
      <c r="G334" s="10">
        <v>80051302056</v>
      </c>
      <c r="H334" s="10">
        <v>63811659013</v>
      </c>
      <c r="I334" s="10">
        <v>31969158570</v>
      </c>
      <c r="J334" s="10">
        <v>17521798319</v>
      </c>
      <c r="K334" s="10">
        <v>33740829193</v>
      </c>
      <c r="L334" s="10"/>
      <c r="M334" s="10">
        <v>105168727481</v>
      </c>
      <c r="N334" s="10">
        <v>10659689551</v>
      </c>
      <c r="O334" s="10">
        <v>50886207727</v>
      </c>
      <c r="P334" s="10">
        <v>3.8150180482702321</v>
      </c>
      <c r="Q334" s="10">
        <v>0</v>
      </c>
      <c r="R334" s="10" t="s">
        <v>238</v>
      </c>
      <c r="S334" s="10">
        <v>0.30120237860518789</v>
      </c>
      <c r="T334" s="10">
        <v>0.15641605311282911</v>
      </c>
      <c r="U334" s="10">
        <v>0.13539997157875999</v>
      </c>
      <c r="V334" s="10">
        <v>0.39935838329819962</v>
      </c>
    </row>
    <row r="335" spans="1:22" x14ac:dyDescent="0.3">
      <c r="A335" s="10" t="s">
        <v>121</v>
      </c>
      <c r="B335" s="10">
        <v>2025</v>
      </c>
      <c r="C335" s="10">
        <v>27005832956</v>
      </c>
      <c r="D335" s="10">
        <v>704334</v>
      </c>
      <c r="E335" s="10">
        <v>416110994177</v>
      </c>
      <c r="F335" s="10">
        <v>303526241359</v>
      </c>
      <c r="G335" s="10">
        <v>47933741891</v>
      </c>
      <c r="H335" s="10">
        <v>42438385279</v>
      </c>
      <c r="I335" s="10">
        <v>368176281852</v>
      </c>
      <c r="J335" s="10">
        <v>53248928631</v>
      </c>
      <c r="K335" s="10">
        <v>261087856080</v>
      </c>
      <c r="L335" s="10"/>
      <c r="M335" s="10">
        <v>360839166938</v>
      </c>
      <c r="N335" s="10">
        <v>22943852231</v>
      </c>
      <c r="O335" s="10"/>
      <c r="P335" s="10">
        <v>13.034353003942959</v>
      </c>
      <c r="Q335" s="10">
        <v>0</v>
      </c>
      <c r="R335" s="10" t="s">
        <v>238</v>
      </c>
      <c r="S335" s="10">
        <v>0.62744762751676242</v>
      </c>
      <c r="T335" s="10">
        <v>0.12796808874593121</v>
      </c>
      <c r="U335" s="10">
        <v>6.4900551376714175E-2</v>
      </c>
      <c r="V335" s="10">
        <v>7.680941802733086</v>
      </c>
    </row>
    <row r="336" spans="1:22" x14ac:dyDescent="0.3">
      <c r="A336" s="10" t="s">
        <v>121</v>
      </c>
      <c r="B336" s="10">
        <v>2024</v>
      </c>
      <c r="C336" s="10">
        <v>35205540730</v>
      </c>
      <c r="D336" s="10">
        <v>319511250</v>
      </c>
      <c r="E336" s="10">
        <v>471016596756</v>
      </c>
      <c r="F336" s="10">
        <v>348000586381</v>
      </c>
      <c r="G336" s="10">
        <v>115554509507</v>
      </c>
      <c r="H336" s="10">
        <v>108547448728</v>
      </c>
      <c r="I336" s="10">
        <v>355461091340</v>
      </c>
      <c r="J336" s="10">
        <v>30305076400</v>
      </c>
      <c r="K336" s="10">
        <v>239453137653</v>
      </c>
      <c r="L336" s="10"/>
      <c r="M336" s="10">
        <v>541183464172</v>
      </c>
      <c r="N336" s="10">
        <v>27060385491</v>
      </c>
      <c r="O336" s="10">
        <v>0</v>
      </c>
      <c r="P336" s="10">
        <v>7.2769065693462007</v>
      </c>
      <c r="Q336" s="10">
        <v>0</v>
      </c>
      <c r="R336" s="10" t="s">
        <v>238</v>
      </c>
      <c r="S336" s="10">
        <v>0.50837515981850534</v>
      </c>
      <c r="T336" s="10">
        <v>6.4339720954034438E-2</v>
      </c>
      <c r="U336" s="10">
        <v>7.4743737211106109E-2</v>
      </c>
      <c r="V336" s="10">
        <v>3.076133444350496</v>
      </c>
    </row>
    <row r="337" spans="1:22" x14ac:dyDescent="0.3">
      <c r="A337" s="10" t="s">
        <v>121</v>
      </c>
      <c r="B337" s="10">
        <v>2023</v>
      </c>
      <c r="C337" s="10">
        <v>33303594572</v>
      </c>
      <c r="D337" s="10">
        <v>14436695</v>
      </c>
      <c r="E337" s="10">
        <v>317065295937</v>
      </c>
      <c r="F337" s="10">
        <v>200955773492</v>
      </c>
      <c r="G337" s="10">
        <v>128080117608</v>
      </c>
      <c r="H337" s="10">
        <v>123209438211</v>
      </c>
      <c r="I337" s="10">
        <v>188985178329</v>
      </c>
      <c r="J337" s="10">
        <v>27114690909</v>
      </c>
      <c r="K337" s="10">
        <v>77746335281</v>
      </c>
      <c r="L337" s="10"/>
      <c r="M337" s="10">
        <v>600000900101</v>
      </c>
      <c r="N337" s="10">
        <v>25823446366</v>
      </c>
      <c r="O337" s="10">
        <v>22000000000</v>
      </c>
      <c r="P337" s="10">
        <v>4.1424875788131788</v>
      </c>
      <c r="Q337" s="10">
        <v>0</v>
      </c>
      <c r="R337" s="10" t="s">
        <v>238</v>
      </c>
      <c r="S337" s="10">
        <v>0.24520607041285269</v>
      </c>
      <c r="T337" s="10">
        <v>8.5517687544043333E-2</v>
      </c>
      <c r="U337" s="10">
        <v>0.10503702233819159</v>
      </c>
      <c r="V337" s="10">
        <v>1.475523147998701</v>
      </c>
    </row>
    <row r="338" spans="1:22" x14ac:dyDescent="0.3">
      <c r="A338" s="10" t="s">
        <v>121</v>
      </c>
      <c r="B338" s="10">
        <v>2022</v>
      </c>
      <c r="C338" s="10">
        <v>13675451183</v>
      </c>
      <c r="D338" s="10">
        <v>215491</v>
      </c>
      <c r="E338" s="10">
        <v>123510034620</v>
      </c>
      <c r="F338" s="10">
        <v>115731814775</v>
      </c>
      <c r="G338" s="10">
        <v>70887045873</v>
      </c>
      <c r="H338" s="10">
        <v>66284911775</v>
      </c>
      <c r="I338" s="10">
        <v>52622988747</v>
      </c>
      <c r="J338" s="10">
        <v>52291244543</v>
      </c>
      <c r="K338" s="10">
        <v>49446903000</v>
      </c>
      <c r="L338" s="10"/>
      <c r="M338" s="10">
        <v>440044949150</v>
      </c>
      <c r="N338" s="10">
        <v>9775361195</v>
      </c>
      <c r="O338" s="10">
        <v>0</v>
      </c>
      <c r="P338" s="10">
        <v>5.5300139377478406</v>
      </c>
      <c r="Q338" s="10">
        <v>0</v>
      </c>
      <c r="R338" s="10" t="s">
        <v>238</v>
      </c>
      <c r="S338" s="10">
        <v>0.40034725236805219</v>
      </c>
      <c r="T338" s="10">
        <v>0.4233764868084044</v>
      </c>
      <c r="U338" s="10">
        <v>0.1107234017468693</v>
      </c>
      <c r="V338" s="10">
        <v>0.74234986236100786</v>
      </c>
    </row>
    <row r="339" spans="1:22" x14ac:dyDescent="0.3">
      <c r="A339" s="10" t="s">
        <v>122</v>
      </c>
      <c r="B339" s="10">
        <v>2025</v>
      </c>
      <c r="C339" s="10">
        <v>3854093</v>
      </c>
      <c r="D339" s="10">
        <v>2433121</v>
      </c>
      <c r="E339" s="10">
        <v>120260045</v>
      </c>
      <c r="F339" s="10">
        <v>91426059</v>
      </c>
      <c r="G339" s="10">
        <v>63389613</v>
      </c>
      <c r="H339" s="10">
        <v>61001412</v>
      </c>
      <c r="I339" s="10">
        <v>56870432</v>
      </c>
      <c r="J339" s="10">
        <v>3617932</v>
      </c>
      <c r="K339" s="10">
        <v>30424647</v>
      </c>
      <c r="L339" s="10"/>
      <c r="M339" s="10">
        <v>139826615</v>
      </c>
      <c r="N339" s="10">
        <v>973386</v>
      </c>
      <c r="O339" s="10">
        <v>54328673</v>
      </c>
      <c r="P339" s="10">
        <v>2.91506950471691</v>
      </c>
      <c r="Q339" s="10">
        <v>0</v>
      </c>
      <c r="R339" s="10" t="s">
        <v>238</v>
      </c>
      <c r="S339" s="10">
        <v>0.25299048407972913</v>
      </c>
      <c r="T339" s="10">
        <v>3.0084239532755869E-2</v>
      </c>
      <c r="U339" s="10">
        <v>3.2047992331950319E-2</v>
      </c>
      <c r="V339" s="10">
        <v>0.89715695219656888</v>
      </c>
    </row>
    <row r="340" spans="1:22" x14ac:dyDescent="0.3">
      <c r="A340" s="10" t="s">
        <v>122</v>
      </c>
      <c r="B340" s="10">
        <v>2024</v>
      </c>
      <c r="C340" s="10">
        <v>3610240</v>
      </c>
      <c r="D340" s="10">
        <v>3301533</v>
      </c>
      <c r="E340" s="10">
        <v>135260257</v>
      </c>
      <c r="F340" s="10">
        <v>104401919</v>
      </c>
      <c r="G340" s="10">
        <v>79412078</v>
      </c>
      <c r="H340" s="10">
        <v>77180827</v>
      </c>
      <c r="I340" s="10">
        <v>55848179</v>
      </c>
      <c r="J340" s="10">
        <v>2595679</v>
      </c>
      <c r="K340" s="10">
        <v>27221092</v>
      </c>
      <c r="L340" s="10"/>
      <c r="M340" s="10">
        <v>155728216</v>
      </c>
      <c r="N340" s="10">
        <v>-18852</v>
      </c>
      <c r="O340" s="10">
        <v>63314609</v>
      </c>
      <c r="P340" s="10">
        <v>2.300556613121064</v>
      </c>
      <c r="Q340" s="10">
        <v>0</v>
      </c>
      <c r="R340" s="10" t="s">
        <v>239</v>
      </c>
      <c r="S340" s="10">
        <v>0.20124974330042861</v>
      </c>
      <c r="T340" s="10">
        <v>1.9190256307142751E-2</v>
      </c>
      <c r="U340" s="10">
        <v>2.6691062697004931E-2</v>
      </c>
      <c r="V340" s="10">
        <v>0.70327059065246977</v>
      </c>
    </row>
    <row r="341" spans="1:22" x14ac:dyDescent="0.3">
      <c r="A341" s="10" t="s">
        <v>122</v>
      </c>
      <c r="B341" s="10">
        <v>2023</v>
      </c>
      <c r="C341" s="10">
        <v>-1153432</v>
      </c>
      <c r="D341" s="10">
        <v>3675921</v>
      </c>
      <c r="E341" s="10">
        <v>135817817</v>
      </c>
      <c r="F341" s="10">
        <v>103527467</v>
      </c>
      <c r="G341" s="10">
        <v>80056950</v>
      </c>
      <c r="H341" s="10">
        <v>78069292</v>
      </c>
      <c r="I341" s="10">
        <v>55760867</v>
      </c>
      <c r="J341" s="10">
        <v>2508367</v>
      </c>
      <c r="K341" s="10">
        <v>25458175</v>
      </c>
      <c r="L341" s="10"/>
      <c r="M341" s="10">
        <v>171087110</v>
      </c>
      <c r="N341" s="10">
        <v>-3666646</v>
      </c>
      <c r="O341" s="10">
        <v>58326722</v>
      </c>
      <c r="P341" s="10">
        <v>1.964108629184556</v>
      </c>
      <c r="Q341" s="10">
        <v>0</v>
      </c>
      <c r="R341" s="10" t="s">
        <v>239</v>
      </c>
      <c r="S341" s="10">
        <v>0.18744355904350901</v>
      </c>
      <c r="T341" s="10">
        <v>1.8468615203850611E-2</v>
      </c>
      <c r="U341" s="10">
        <v>-8.4924940297045129E-3</v>
      </c>
      <c r="V341" s="10">
        <v>0.696515005880189</v>
      </c>
    </row>
    <row r="342" spans="1:22" x14ac:dyDescent="0.3">
      <c r="A342" s="10" t="s">
        <v>122</v>
      </c>
      <c r="B342" s="10">
        <v>2022</v>
      </c>
      <c r="C342" s="10">
        <v>12084303</v>
      </c>
      <c r="D342" s="10">
        <v>2933612</v>
      </c>
      <c r="E342" s="10">
        <v>196375128</v>
      </c>
      <c r="F342" s="10">
        <v>166834403</v>
      </c>
      <c r="G342" s="10">
        <v>136473263</v>
      </c>
      <c r="H342" s="10">
        <v>134590132</v>
      </c>
      <c r="I342" s="10">
        <v>59901865</v>
      </c>
      <c r="J342" s="10">
        <v>9386666</v>
      </c>
      <c r="K342" s="10">
        <v>32244271</v>
      </c>
      <c r="L342" s="10"/>
      <c r="M342" s="10">
        <v>255347224</v>
      </c>
      <c r="N342" s="10">
        <v>7127218</v>
      </c>
      <c r="O342" s="10">
        <v>96004229</v>
      </c>
      <c r="P342" s="10">
        <v>2.1073627334446821</v>
      </c>
      <c r="Q342" s="10">
        <v>0</v>
      </c>
      <c r="R342" s="10" t="s">
        <v>239</v>
      </c>
      <c r="S342" s="10">
        <v>0.16419732645572099</v>
      </c>
      <c r="T342" s="10">
        <v>4.7799668397924613E-2</v>
      </c>
      <c r="U342" s="10">
        <v>6.1536830672364977E-2</v>
      </c>
      <c r="V342" s="10">
        <v>0.43892747695202389</v>
      </c>
    </row>
    <row r="343" spans="1:22" x14ac:dyDescent="0.3">
      <c r="A343" s="10" t="s">
        <v>123</v>
      </c>
      <c r="B343" s="10">
        <v>2025</v>
      </c>
      <c r="C343" s="10">
        <v>923328000000</v>
      </c>
      <c r="D343" s="10">
        <v>149881000000</v>
      </c>
      <c r="E343" s="10">
        <v>4202376000000</v>
      </c>
      <c r="F343" s="10">
        <v>1222452000000</v>
      </c>
      <c r="G343" s="10">
        <v>2261878000000</v>
      </c>
      <c r="H343" s="10">
        <v>877390000000</v>
      </c>
      <c r="I343" s="10">
        <v>1940489000000</v>
      </c>
      <c r="J343" s="10">
        <v>494946000000</v>
      </c>
      <c r="K343" s="10">
        <v>345062000000</v>
      </c>
      <c r="L343" s="10"/>
      <c r="M343" s="10">
        <v>2013801000000</v>
      </c>
      <c r="N343" s="10">
        <v>647824000000</v>
      </c>
      <c r="O343" s="10">
        <v>1765506000000</v>
      </c>
      <c r="P343" s="10">
        <v>3.2999000286185209</v>
      </c>
      <c r="Q343" s="10">
        <v>0</v>
      </c>
      <c r="R343" s="10" t="s">
        <v>238</v>
      </c>
      <c r="S343" s="10">
        <v>8.2111167587098341E-2</v>
      </c>
      <c r="T343" s="10">
        <v>0.11777765721106349</v>
      </c>
      <c r="U343" s="10">
        <v>0.21971570368762811</v>
      </c>
      <c r="V343" s="10">
        <v>0.85791055043640729</v>
      </c>
    </row>
    <row r="344" spans="1:22" x14ac:dyDescent="0.3">
      <c r="A344" s="10" t="s">
        <v>123</v>
      </c>
      <c r="B344" s="10">
        <v>2024</v>
      </c>
      <c r="C344" s="10">
        <v>573431000000</v>
      </c>
      <c r="D344" s="10">
        <v>166670000000</v>
      </c>
      <c r="E344" s="10">
        <v>3727745000000</v>
      </c>
      <c r="F344" s="10">
        <v>719582000000</v>
      </c>
      <c r="G344" s="10">
        <v>2362686000000</v>
      </c>
      <c r="H344" s="10">
        <v>627232000000</v>
      </c>
      <c r="I344" s="10">
        <v>1365048000000</v>
      </c>
      <c r="J344" s="10">
        <v>-80495000000</v>
      </c>
      <c r="K344" s="10">
        <v>92350000000</v>
      </c>
      <c r="L344" s="10"/>
      <c r="M344" s="10">
        <v>1489899000000</v>
      </c>
      <c r="N344" s="10">
        <v>304622000000</v>
      </c>
      <c r="O344" s="10">
        <v>1997792000000</v>
      </c>
      <c r="P344" s="10">
        <v>1.732484045493923</v>
      </c>
      <c r="Q344" s="10">
        <v>0</v>
      </c>
      <c r="R344" s="10" t="s">
        <v>239</v>
      </c>
      <c r="S344" s="10">
        <v>2.4773690260465778E-2</v>
      </c>
      <c r="T344" s="10">
        <v>-2.159348345983966E-2</v>
      </c>
      <c r="U344" s="10">
        <v>0.15382785034920579</v>
      </c>
      <c r="V344" s="10">
        <v>0.57775260868350686</v>
      </c>
    </row>
    <row r="345" spans="1:22" x14ac:dyDescent="0.3">
      <c r="A345" s="10" t="s">
        <v>124</v>
      </c>
      <c r="B345" s="10">
        <v>2025</v>
      </c>
      <c r="C345" s="10">
        <v>472112361855</v>
      </c>
      <c r="D345" s="10">
        <v>17182886460</v>
      </c>
      <c r="E345" s="10">
        <v>3197846919933</v>
      </c>
      <c r="F345" s="10">
        <v>2437034105390</v>
      </c>
      <c r="G345" s="10">
        <v>445076974586</v>
      </c>
      <c r="H345" s="10">
        <v>235319634570</v>
      </c>
      <c r="I345" s="10">
        <v>2720450596805</v>
      </c>
      <c r="J345" s="10">
        <v>1729414658286</v>
      </c>
      <c r="K345" s="10">
        <v>2201714470820</v>
      </c>
      <c r="L345" s="10"/>
      <c r="M345" s="10">
        <v>2063816900533</v>
      </c>
      <c r="N345" s="10">
        <v>366948755823</v>
      </c>
      <c r="O345" s="10">
        <v>216110049254</v>
      </c>
      <c r="P345" s="10">
        <v>13.689615052594981</v>
      </c>
      <c r="Q345" s="10">
        <v>0</v>
      </c>
      <c r="R345" s="10" t="s">
        <v>238</v>
      </c>
      <c r="S345" s="10">
        <v>0.68849902010510544</v>
      </c>
      <c r="T345" s="10">
        <v>0.54080595525261543</v>
      </c>
      <c r="U345" s="10">
        <v>0.14763444707506251</v>
      </c>
      <c r="V345" s="10">
        <v>6.1123148402262286</v>
      </c>
    </row>
    <row r="346" spans="1:22" x14ac:dyDescent="0.3">
      <c r="A346" s="10" t="s">
        <v>124</v>
      </c>
      <c r="B346" s="10">
        <v>2024</v>
      </c>
      <c r="C346" s="10">
        <v>413607626512</v>
      </c>
      <c r="D346" s="10">
        <v>19581586999</v>
      </c>
      <c r="E346" s="10">
        <v>2825331331720</v>
      </c>
      <c r="F346" s="10">
        <v>2261115896471</v>
      </c>
      <c r="G346" s="10">
        <v>329642625834</v>
      </c>
      <c r="H346" s="10">
        <v>295256684531</v>
      </c>
      <c r="I346" s="10">
        <v>2461336346847</v>
      </c>
      <c r="J346" s="10">
        <v>1459018580223</v>
      </c>
      <c r="K346" s="10">
        <v>1965859211940</v>
      </c>
      <c r="L346" s="10"/>
      <c r="M346" s="10">
        <v>1885822041124</v>
      </c>
      <c r="N346" s="10">
        <v>321673462325</v>
      </c>
      <c r="O346" s="10">
        <v>185526712281</v>
      </c>
      <c r="P346" s="10">
        <v>15.07169091197621</v>
      </c>
      <c r="Q346" s="10">
        <v>0</v>
      </c>
      <c r="R346" s="10" t="s">
        <v>238</v>
      </c>
      <c r="S346" s="10">
        <v>0.69579776002527383</v>
      </c>
      <c r="T346" s="10">
        <v>0.51640618707002461</v>
      </c>
      <c r="U346" s="10">
        <v>0.14639260955641781</v>
      </c>
      <c r="V346" s="10">
        <v>7.466681047755241</v>
      </c>
    </row>
    <row r="347" spans="1:22" x14ac:dyDescent="0.3">
      <c r="A347" s="10" t="s">
        <v>124</v>
      </c>
      <c r="B347" s="10">
        <v>2023</v>
      </c>
      <c r="C347" s="10">
        <v>344856772502</v>
      </c>
      <c r="D347" s="10">
        <v>19412636966</v>
      </c>
      <c r="E347" s="10">
        <v>2583723220102</v>
      </c>
      <c r="F347" s="10">
        <v>2047267018930</v>
      </c>
      <c r="G347" s="10">
        <v>338315258161</v>
      </c>
      <c r="H347" s="10">
        <v>136134310930</v>
      </c>
      <c r="I347" s="10">
        <v>2218219114052</v>
      </c>
      <c r="J347" s="10">
        <v>1215274605898</v>
      </c>
      <c r="K347" s="10">
        <v>1911132708000</v>
      </c>
      <c r="L347" s="10"/>
      <c r="M347" s="10">
        <v>1736989809989</v>
      </c>
      <c r="N347" s="10">
        <v>259359528929</v>
      </c>
      <c r="O347" s="10">
        <v>189227967505</v>
      </c>
      <c r="P347" s="10">
        <v>14.167111784824611</v>
      </c>
      <c r="Q347" s="10">
        <v>0</v>
      </c>
      <c r="R347" s="10" t="s">
        <v>238</v>
      </c>
      <c r="S347" s="10">
        <v>0.73968167067235335</v>
      </c>
      <c r="T347" s="10">
        <v>0.47035789145016221</v>
      </c>
      <c r="U347" s="10">
        <v>0.1334727999574141</v>
      </c>
      <c r="V347" s="10">
        <v>6.556662936545349</v>
      </c>
    </row>
    <row r="348" spans="1:22" x14ac:dyDescent="0.3">
      <c r="A348" s="10" t="s">
        <v>124</v>
      </c>
      <c r="B348" s="10">
        <v>2022</v>
      </c>
      <c r="C348" s="10">
        <v>392762020065</v>
      </c>
      <c r="D348" s="10">
        <v>20653353447</v>
      </c>
      <c r="E348" s="10">
        <v>2507318880538</v>
      </c>
      <c r="F348" s="10">
        <v>2112847404176</v>
      </c>
      <c r="G348" s="10">
        <v>437898413298</v>
      </c>
      <c r="H348" s="10">
        <v>230946309130</v>
      </c>
      <c r="I348" s="10">
        <v>2044367666881</v>
      </c>
      <c r="J348" s="10">
        <v>1041691631469</v>
      </c>
      <c r="K348" s="10">
        <v>1881901095046</v>
      </c>
      <c r="L348" s="10"/>
      <c r="M348" s="10">
        <v>1739054461606</v>
      </c>
      <c r="N348" s="10">
        <v>285781929134</v>
      </c>
      <c r="O348" s="10">
        <v>199697896822</v>
      </c>
      <c r="P348" s="10">
        <v>12.232775828989411</v>
      </c>
      <c r="Q348" s="10">
        <v>0</v>
      </c>
      <c r="R348" s="10" t="s">
        <v>238</v>
      </c>
      <c r="S348" s="10">
        <v>0.7505631252783439</v>
      </c>
      <c r="T348" s="10">
        <v>0.41546037065914898</v>
      </c>
      <c r="U348" s="10">
        <v>0.15664621804336451</v>
      </c>
      <c r="V348" s="10">
        <v>4.6685888891078502</v>
      </c>
    </row>
    <row r="349" spans="1:22" x14ac:dyDescent="0.3">
      <c r="A349" s="10" t="s">
        <v>125</v>
      </c>
      <c r="B349" s="10">
        <v>2024</v>
      </c>
      <c r="C349" s="10">
        <v>2656139231</v>
      </c>
      <c r="D349" s="10">
        <v>1484710567</v>
      </c>
      <c r="E349" s="10">
        <v>66918151108</v>
      </c>
      <c r="F349" s="10">
        <v>26979387200</v>
      </c>
      <c r="G349" s="10">
        <v>9131514671</v>
      </c>
      <c r="H349" s="10">
        <v>8508478671</v>
      </c>
      <c r="I349" s="10">
        <v>57685632437</v>
      </c>
      <c r="J349" s="10">
        <v>-3403984378</v>
      </c>
      <c r="K349" s="10">
        <v>18470908529</v>
      </c>
      <c r="L349" s="10"/>
      <c r="M349" s="10">
        <v>54702368426</v>
      </c>
      <c r="N349" s="10">
        <v>899757695</v>
      </c>
      <c r="O349" s="10">
        <v>2835577461</v>
      </c>
      <c r="P349" s="10">
        <v>8.5446735086679233</v>
      </c>
      <c r="Q349" s="10">
        <v>0</v>
      </c>
      <c r="R349" s="10" t="s">
        <v>238</v>
      </c>
      <c r="S349" s="10">
        <v>0.27602239785719102</v>
      </c>
      <c r="T349" s="10">
        <v>-5.0867878470017343E-2</v>
      </c>
      <c r="U349" s="10">
        <v>3.9692358306690587E-2</v>
      </c>
      <c r="V349" s="10">
        <v>6.3172030616343298</v>
      </c>
    </row>
    <row r="350" spans="1:22" x14ac:dyDescent="0.3">
      <c r="A350" s="10" t="s">
        <v>125</v>
      </c>
      <c r="B350" s="10">
        <v>2023</v>
      </c>
      <c r="C350" s="10">
        <v>5100092458</v>
      </c>
      <c r="D350" s="10">
        <v>2196944550</v>
      </c>
      <c r="E350" s="10">
        <v>77129464461</v>
      </c>
      <c r="F350" s="10">
        <v>35187194101</v>
      </c>
      <c r="G350" s="10">
        <v>22395995979</v>
      </c>
      <c r="H350" s="10">
        <v>19027146366</v>
      </c>
      <c r="I350" s="10">
        <v>54733468482</v>
      </c>
      <c r="J350" s="10">
        <v>-4217932713</v>
      </c>
      <c r="K350" s="10">
        <v>16160047735</v>
      </c>
      <c r="L350" s="10"/>
      <c r="M350" s="10">
        <v>52931736227</v>
      </c>
      <c r="N350" s="10">
        <v>2288792262</v>
      </c>
      <c r="O350" s="10">
        <v>9595659452</v>
      </c>
      <c r="P350" s="10">
        <v>4.2066054205549168</v>
      </c>
      <c r="Q350" s="10">
        <v>0</v>
      </c>
      <c r="R350" s="10" t="s">
        <v>238</v>
      </c>
      <c r="S350" s="10">
        <v>0.209518474527607</v>
      </c>
      <c r="T350" s="10">
        <v>-5.4686399581223198E-2</v>
      </c>
      <c r="U350" s="10">
        <v>6.612378931502666E-2</v>
      </c>
      <c r="V350" s="10">
        <v>2.4438952629444031</v>
      </c>
    </row>
    <row r="351" spans="1:22" x14ac:dyDescent="0.3">
      <c r="A351" s="10" t="s">
        <v>126</v>
      </c>
      <c r="B351" s="10">
        <v>2025</v>
      </c>
      <c r="C351" s="10">
        <v>522152211000</v>
      </c>
      <c r="D351" s="10">
        <v>7910125000</v>
      </c>
      <c r="E351" s="10">
        <v>3480808548000</v>
      </c>
      <c r="F351" s="10">
        <v>2026606859000</v>
      </c>
      <c r="G351" s="10">
        <v>535640286000</v>
      </c>
      <c r="H351" s="10">
        <v>401739436000</v>
      </c>
      <c r="I351" s="10">
        <v>2937778731000</v>
      </c>
      <c r="J351" s="10">
        <v>1833039604000</v>
      </c>
      <c r="K351" s="10">
        <v>1624867423000</v>
      </c>
      <c r="L351" s="10"/>
      <c r="M351" s="10">
        <v>5192050520000</v>
      </c>
      <c r="N351" s="10">
        <v>400585982000</v>
      </c>
      <c r="O351" s="10">
        <v>137595728000</v>
      </c>
      <c r="P351" s="10">
        <v>11.54591741075607</v>
      </c>
      <c r="Q351" s="10">
        <v>0</v>
      </c>
      <c r="R351" s="10" t="s">
        <v>238</v>
      </c>
      <c r="S351" s="10">
        <v>0.46680746745856361</v>
      </c>
      <c r="T351" s="10">
        <v>0.52661316436183381</v>
      </c>
      <c r="U351" s="10">
        <v>0.1500088855217325</v>
      </c>
      <c r="V351" s="10">
        <v>5.484611235906927</v>
      </c>
    </row>
    <row r="352" spans="1:22" x14ac:dyDescent="0.3">
      <c r="A352" s="10" t="s">
        <v>126</v>
      </c>
      <c r="B352" s="10">
        <v>2024</v>
      </c>
      <c r="C352" s="10">
        <v>631323753000</v>
      </c>
      <c r="D352" s="10">
        <v>10735077000</v>
      </c>
      <c r="E352" s="10">
        <v>3583499263000</v>
      </c>
      <c r="F352" s="10">
        <v>2198938910000</v>
      </c>
      <c r="G352" s="10">
        <v>623366866000</v>
      </c>
      <c r="H352" s="10">
        <v>500242749000</v>
      </c>
      <c r="I352" s="10">
        <v>2952288442000</v>
      </c>
      <c r="J352" s="10">
        <v>1829646789000</v>
      </c>
      <c r="K352" s="10">
        <v>1698696161000</v>
      </c>
      <c r="L352" s="10"/>
      <c r="M352" s="10">
        <v>5245897681000</v>
      </c>
      <c r="N352" s="10">
        <v>484971111000</v>
      </c>
      <c r="O352" s="10">
        <v>156062738000</v>
      </c>
      <c r="P352" s="10">
        <v>10.93086724576486</v>
      </c>
      <c r="Q352" s="10">
        <v>0</v>
      </c>
      <c r="R352" s="10" t="s">
        <v>238</v>
      </c>
      <c r="S352" s="10">
        <v>0.47403279206422988</v>
      </c>
      <c r="T352" s="10">
        <v>0.51057546122341702</v>
      </c>
      <c r="U352" s="10">
        <v>0.17617521496892241</v>
      </c>
      <c r="V352" s="10">
        <v>4.7360368396609642</v>
      </c>
    </row>
    <row r="353" spans="1:22" x14ac:dyDescent="0.3">
      <c r="A353" s="10" t="s">
        <v>126</v>
      </c>
      <c r="B353" s="10">
        <v>2023</v>
      </c>
      <c r="C353" s="10">
        <v>487733846000</v>
      </c>
      <c r="D353" s="10">
        <v>8511641000</v>
      </c>
      <c r="E353" s="10">
        <v>3196352644000</v>
      </c>
      <c r="F353" s="10">
        <v>1888286135000</v>
      </c>
      <c r="G353" s="10">
        <v>565828079000</v>
      </c>
      <c r="H353" s="10">
        <v>459184137000</v>
      </c>
      <c r="I353" s="10">
        <v>2623656089000</v>
      </c>
      <c r="J353" s="10">
        <v>1644065228000</v>
      </c>
      <c r="K353" s="10">
        <v>1429101998000</v>
      </c>
      <c r="L353" s="10"/>
      <c r="M353" s="10">
        <v>4703224343000</v>
      </c>
      <c r="N353" s="10">
        <v>374153078000</v>
      </c>
      <c r="O353" s="10">
        <v>171632126000</v>
      </c>
      <c r="P353" s="10">
        <v>10.503900009931019</v>
      </c>
      <c r="Q353" s="10">
        <v>0</v>
      </c>
      <c r="R353" s="10" t="s">
        <v>238</v>
      </c>
      <c r="S353" s="10">
        <v>0.44710398293587028</v>
      </c>
      <c r="T353" s="10">
        <v>0.51435664681309179</v>
      </c>
      <c r="U353" s="10">
        <v>0.1525907496206792</v>
      </c>
      <c r="V353" s="10">
        <v>4.6368432150572012</v>
      </c>
    </row>
    <row r="354" spans="1:22" x14ac:dyDescent="0.3">
      <c r="A354" s="10" t="s">
        <v>126</v>
      </c>
      <c r="B354" s="10">
        <v>2022</v>
      </c>
      <c r="C354" s="10">
        <v>464032354000</v>
      </c>
      <c r="D354" s="10">
        <v>10559365000</v>
      </c>
      <c r="E354" s="10">
        <v>3040363137000</v>
      </c>
      <c r="F354" s="10">
        <v>1856333656000</v>
      </c>
      <c r="G354" s="10">
        <v>594336031000</v>
      </c>
      <c r="H354" s="10">
        <v>492231450000</v>
      </c>
      <c r="I354" s="10">
        <v>2438817856000</v>
      </c>
      <c r="J354" s="10">
        <v>1450024238000</v>
      </c>
      <c r="K354" s="10">
        <v>1364102206000</v>
      </c>
      <c r="L354" s="10"/>
      <c r="M354" s="10">
        <v>5030424255000</v>
      </c>
      <c r="N354" s="10">
        <v>352857039000</v>
      </c>
      <c r="O354" s="10">
        <v>236054055000</v>
      </c>
      <c r="P354" s="10">
        <v>9.8322493370744404</v>
      </c>
      <c r="Q354" s="10">
        <v>0</v>
      </c>
      <c r="R354" s="10" t="s">
        <v>238</v>
      </c>
      <c r="S354" s="10">
        <v>0.44866423664970262</v>
      </c>
      <c r="T354" s="10">
        <v>0.47692468717101139</v>
      </c>
      <c r="U354" s="10">
        <v>0.15262399032303489</v>
      </c>
      <c r="V354" s="10">
        <v>4.1034326185753329</v>
      </c>
    </row>
    <row r="355" spans="1:22" x14ac:dyDescent="0.3">
      <c r="A355" s="10" t="s">
        <v>127</v>
      </c>
      <c r="B355" s="10">
        <v>2025</v>
      </c>
      <c r="C355" s="10">
        <v>45262918</v>
      </c>
      <c r="D355" s="10">
        <v>2418929</v>
      </c>
      <c r="E355" s="10">
        <v>208914376</v>
      </c>
      <c r="F355" s="10">
        <v>157812316</v>
      </c>
      <c r="G355" s="10">
        <v>149771873</v>
      </c>
      <c r="H355" s="10">
        <v>46258135</v>
      </c>
      <c r="I355" s="10">
        <v>79285165</v>
      </c>
      <c r="J355" s="10">
        <v>-281144010</v>
      </c>
      <c r="K355" s="10">
        <v>111554181</v>
      </c>
      <c r="L355" s="10"/>
      <c r="M355" s="10">
        <v>273265832</v>
      </c>
      <c r="N355" s="10">
        <v>26222045</v>
      </c>
      <c r="O355" s="10">
        <v>86645973</v>
      </c>
      <c r="P355" s="10">
        <v>1.127524344371694</v>
      </c>
      <c r="Q355" s="10">
        <v>0</v>
      </c>
      <c r="R355" s="10" t="s">
        <v>239</v>
      </c>
      <c r="S355" s="10">
        <v>0.53397082161545451</v>
      </c>
      <c r="T355" s="10">
        <v>-1.3457379783189261</v>
      </c>
      <c r="U355" s="10">
        <v>0.21665774690392781</v>
      </c>
      <c r="V355" s="10">
        <v>0.52937286161868324</v>
      </c>
    </row>
    <row r="356" spans="1:22" x14ac:dyDescent="0.3">
      <c r="A356" s="10" t="s">
        <v>127</v>
      </c>
      <c r="B356" s="10">
        <v>2023</v>
      </c>
      <c r="C356" s="10">
        <v>23228103</v>
      </c>
      <c r="D356" s="10">
        <v>25398505</v>
      </c>
      <c r="E356" s="10">
        <v>696766629</v>
      </c>
      <c r="F356" s="10">
        <v>624562400</v>
      </c>
      <c r="G356" s="10">
        <v>363112480</v>
      </c>
      <c r="H356" s="10">
        <v>185115895</v>
      </c>
      <c r="I356" s="10">
        <v>343485808</v>
      </c>
      <c r="J356" s="10">
        <v>140943975</v>
      </c>
      <c r="K356" s="10">
        <v>439446505</v>
      </c>
      <c r="L356" s="10"/>
      <c r="M356" s="10">
        <v>581615182</v>
      </c>
      <c r="N356" s="10">
        <v>-1216507</v>
      </c>
      <c r="O356" s="10">
        <v>326677725</v>
      </c>
      <c r="P356" s="10">
        <v>6.0140654416015318</v>
      </c>
      <c r="Q356" s="10">
        <v>0</v>
      </c>
      <c r="R356" s="10" t="s">
        <v>238</v>
      </c>
      <c r="S356" s="10">
        <v>0.63069396080391216</v>
      </c>
      <c r="T356" s="10">
        <v>0.20228290095104429</v>
      </c>
      <c r="U356" s="10">
        <v>3.3336991229526873E-2</v>
      </c>
      <c r="V356" s="10">
        <v>0.94594878149051775</v>
      </c>
    </row>
    <row r="357" spans="1:22" x14ac:dyDescent="0.3">
      <c r="A357" s="10" t="s">
        <v>127</v>
      </c>
      <c r="B357" s="10">
        <v>2022</v>
      </c>
      <c r="C357" s="10">
        <v>28798277</v>
      </c>
      <c r="D357" s="10">
        <v>21954339</v>
      </c>
      <c r="E357" s="10">
        <v>724645099</v>
      </c>
      <c r="F357" s="10">
        <v>627439979</v>
      </c>
      <c r="G357" s="10">
        <v>383626680</v>
      </c>
      <c r="H357" s="10">
        <v>38535487</v>
      </c>
      <c r="I357" s="10">
        <v>344575582</v>
      </c>
      <c r="J357" s="10">
        <v>142227229</v>
      </c>
      <c r="K357" s="10">
        <v>588904492</v>
      </c>
      <c r="L357" s="10"/>
      <c r="M357" s="10">
        <v>690043746</v>
      </c>
      <c r="N357" s="10">
        <v>3683107</v>
      </c>
      <c r="O357" s="10">
        <v>345742237</v>
      </c>
      <c r="P357" s="10">
        <v>7.181202030038178</v>
      </c>
      <c r="Q357" s="10">
        <v>0</v>
      </c>
      <c r="R357" s="10" t="s">
        <v>238</v>
      </c>
      <c r="S357" s="10">
        <v>0.81267987986488821</v>
      </c>
      <c r="T357" s="10">
        <v>0.1962715668625532</v>
      </c>
      <c r="U357" s="10">
        <v>3.9741215444279158E-2</v>
      </c>
      <c r="V357" s="10">
        <v>0.8982054689209833</v>
      </c>
    </row>
    <row r="358" spans="1:22" x14ac:dyDescent="0.3">
      <c r="A358" s="10" t="s">
        <v>128</v>
      </c>
      <c r="B358" s="10">
        <v>2025</v>
      </c>
      <c r="C358" s="10">
        <v>-9910085011</v>
      </c>
      <c r="D358" s="10">
        <v>884392984</v>
      </c>
      <c r="E358" s="10">
        <v>100265506760</v>
      </c>
      <c r="F358" s="10">
        <v>63108868624</v>
      </c>
      <c r="G358" s="10">
        <v>34340175462</v>
      </c>
      <c r="H358" s="10">
        <v>17899997200</v>
      </c>
      <c r="I358" s="10">
        <v>68362951669</v>
      </c>
      <c r="J358" s="10">
        <v>-67948672490</v>
      </c>
      <c r="K358" s="10">
        <v>45208871424</v>
      </c>
      <c r="L358" s="10"/>
      <c r="M358" s="10">
        <v>232835392352</v>
      </c>
      <c r="N358" s="10">
        <v>-11152102819</v>
      </c>
      <c r="O358" s="10">
        <v>22981331133</v>
      </c>
      <c r="P358" s="10">
        <v>2.1746885227933892</v>
      </c>
      <c r="Q358" s="10">
        <v>0</v>
      </c>
      <c r="R358" s="10" t="s">
        <v>239</v>
      </c>
      <c r="S358" s="10">
        <v>0.45089156665027358</v>
      </c>
      <c r="T358" s="10">
        <v>-0.67768741899090956</v>
      </c>
      <c r="U358" s="10">
        <v>-9.8838427403765305E-2</v>
      </c>
      <c r="V358" s="10">
        <v>1.9907572034583449</v>
      </c>
    </row>
    <row r="359" spans="1:22" x14ac:dyDescent="0.3">
      <c r="A359" s="10" t="s">
        <v>128</v>
      </c>
      <c r="B359" s="10">
        <v>2024</v>
      </c>
      <c r="C359" s="10">
        <v>1518587195</v>
      </c>
      <c r="D359" s="10">
        <v>1095301405</v>
      </c>
      <c r="E359" s="10">
        <v>92206187958</v>
      </c>
      <c r="F359" s="10">
        <v>58884059588</v>
      </c>
      <c r="G359" s="10">
        <v>26771373832</v>
      </c>
      <c r="H359" s="10">
        <v>7671937946</v>
      </c>
      <c r="I359" s="10">
        <v>67872350299</v>
      </c>
      <c r="J359" s="10">
        <v>-68439273860</v>
      </c>
      <c r="K359" s="10">
        <v>51212121642</v>
      </c>
      <c r="L359" s="10"/>
      <c r="M359" s="10">
        <v>246983652208</v>
      </c>
      <c r="N359" s="10">
        <v>-348920404</v>
      </c>
      <c r="O359" s="10">
        <v>16846862039</v>
      </c>
      <c r="P359" s="10">
        <v>3.9964696205380781</v>
      </c>
      <c r="Q359" s="10">
        <v>0</v>
      </c>
      <c r="R359" s="10" t="s">
        <v>238</v>
      </c>
      <c r="S359" s="10">
        <v>0.55540872880817027</v>
      </c>
      <c r="T359" s="10">
        <v>-0.74224165834915712</v>
      </c>
      <c r="U359" s="10">
        <v>1.6469471611728681E-2</v>
      </c>
      <c r="V359" s="10">
        <v>2.5352583967084921</v>
      </c>
    </row>
    <row r="360" spans="1:22" x14ac:dyDescent="0.3">
      <c r="A360" s="10" t="s">
        <v>128</v>
      </c>
      <c r="B360" s="10">
        <v>2023</v>
      </c>
      <c r="C360" s="10">
        <v>9207624041</v>
      </c>
      <c r="D360" s="10">
        <v>714217664</v>
      </c>
      <c r="E360" s="10">
        <v>104552819861</v>
      </c>
      <c r="F360" s="10">
        <v>70846464279</v>
      </c>
      <c r="G360" s="10">
        <v>37720639232</v>
      </c>
      <c r="H360" s="10">
        <v>15846869617</v>
      </c>
      <c r="I360" s="10">
        <v>69269462651</v>
      </c>
      <c r="J360" s="10">
        <v>-67042161508</v>
      </c>
      <c r="K360" s="10">
        <v>54999594662</v>
      </c>
      <c r="L360" s="10"/>
      <c r="M360" s="10">
        <v>273941926884</v>
      </c>
      <c r="N360" s="10">
        <v>9203977250</v>
      </c>
      <c r="O360" s="10">
        <v>29612777187</v>
      </c>
      <c r="P360" s="10">
        <v>3.8804680126809559</v>
      </c>
      <c r="Q360" s="10">
        <v>0</v>
      </c>
      <c r="R360" s="10" t="s">
        <v>238</v>
      </c>
      <c r="S360" s="10">
        <v>0.52604601898944858</v>
      </c>
      <c r="T360" s="10">
        <v>-0.64122767417589166</v>
      </c>
      <c r="U360" s="10">
        <v>8.8066721234695292E-2</v>
      </c>
      <c r="V360" s="10">
        <v>1.836380932596599</v>
      </c>
    </row>
    <row r="361" spans="1:22" x14ac:dyDescent="0.3">
      <c r="A361" s="10" t="s">
        <v>128</v>
      </c>
      <c r="B361" s="10">
        <v>2022</v>
      </c>
      <c r="C361" s="10">
        <v>7092554622</v>
      </c>
      <c r="D361" s="10">
        <v>1468723730</v>
      </c>
      <c r="E361" s="10">
        <v>102809758188</v>
      </c>
      <c r="F361" s="10">
        <v>55296068186</v>
      </c>
      <c r="G361" s="10">
        <v>41631404260</v>
      </c>
      <c r="H361" s="10">
        <v>23290157438</v>
      </c>
      <c r="I361" s="10">
        <v>63615449962</v>
      </c>
      <c r="J361" s="10">
        <v>-72696174197</v>
      </c>
      <c r="K361" s="10">
        <v>32005910748</v>
      </c>
      <c r="L361" s="10"/>
      <c r="M361" s="10">
        <v>228289602674</v>
      </c>
      <c r="N361" s="10">
        <v>4932611284</v>
      </c>
      <c r="O361" s="10">
        <v>29035381986</v>
      </c>
      <c r="P361" s="10">
        <v>1.805140887406953</v>
      </c>
      <c r="Q361" s="10">
        <v>0</v>
      </c>
      <c r="R361" s="10" t="s">
        <v>239</v>
      </c>
      <c r="S361" s="10">
        <v>0.31131199325917441</v>
      </c>
      <c r="T361" s="10">
        <v>-0.70709410739072365</v>
      </c>
      <c r="U361" s="10">
        <v>6.8987173464900201E-2</v>
      </c>
      <c r="V361" s="10">
        <v>1.5280639962251421</v>
      </c>
    </row>
    <row r="362" spans="1:22" x14ac:dyDescent="0.3">
      <c r="A362" s="10" t="s">
        <v>129</v>
      </c>
      <c r="B362" s="10">
        <v>2025</v>
      </c>
      <c r="C362" s="10">
        <v>58486824429</v>
      </c>
      <c r="D362" s="10">
        <v>13087659415</v>
      </c>
      <c r="E362" s="10">
        <v>602767984550</v>
      </c>
      <c r="F362" s="10">
        <v>175718303032</v>
      </c>
      <c r="G362" s="10">
        <v>170297175275</v>
      </c>
      <c r="H362" s="10">
        <v>108768402788</v>
      </c>
      <c r="I362" s="10">
        <v>432470809275</v>
      </c>
      <c r="J362" s="10">
        <v>73609179761</v>
      </c>
      <c r="K362" s="10">
        <v>66949900244</v>
      </c>
      <c r="L362" s="10"/>
      <c r="M362" s="10">
        <v>546459899632</v>
      </c>
      <c r="N362" s="10">
        <v>34562284733</v>
      </c>
      <c r="O362" s="10">
        <v>138358094032</v>
      </c>
      <c r="P362" s="10">
        <v>4.4452571662603608</v>
      </c>
      <c r="Q362" s="10">
        <v>0</v>
      </c>
      <c r="R362" s="10" t="s">
        <v>238</v>
      </c>
      <c r="S362" s="10">
        <v>0.1110707634778941</v>
      </c>
      <c r="T362" s="10">
        <v>0.1221185956250702</v>
      </c>
      <c r="U362" s="10">
        <v>9.7030409590621647E-2</v>
      </c>
      <c r="V362" s="10">
        <v>2.5395066511034941</v>
      </c>
    </row>
    <row r="363" spans="1:22" x14ac:dyDescent="0.3">
      <c r="A363" s="10" t="s">
        <v>129</v>
      </c>
      <c r="B363" s="10">
        <v>2024</v>
      </c>
      <c r="C363" s="10">
        <v>35179070444</v>
      </c>
      <c r="D363" s="10">
        <v>4752327592</v>
      </c>
      <c r="E363" s="10">
        <v>597455837299</v>
      </c>
      <c r="F363" s="10">
        <v>159827413024</v>
      </c>
      <c r="G363" s="10">
        <v>198188351812</v>
      </c>
      <c r="H363" s="10">
        <v>108257490777</v>
      </c>
      <c r="I363" s="10">
        <v>399267485487</v>
      </c>
      <c r="J363" s="10">
        <v>47628664510</v>
      </c>
      <c r="K363" s="10">
        <v>51569922247</v>
      </c>
      <c r="L363" s="10"/>
      <c r="M363" s="10">
        <v>420551076256</v>
      </c>
      <c r="N363" s="10">
        <v>23836978048</v>
      </c>
      <c r="O363" s="10">
        <v>153855663668</v>
      </c>
      <c r="P363" s="10">
        <v>3.3371152470925489</v>
      </c>
      <c r="Q363" s="10">
        <v>0</v>
      </c>
      <c r="R363" s="10" t="s">
        <v>238</v>
      </c>
      <c r="S363" s="10">
        <v>8.6315873119826178E-2</v>
      </c>
      <c r="T363" s="10">
        <v>7.9719138280280918E-2</v>
      </c>
      <c r="U363" s="10">
        <v>5.8881457419579022E-2</v>
      </c>
      <c r="V363" s="10">
        <v>2.014586033117336</v>
      </c>
    </row>
    <row r="364" spans="1:22" x14ac:dyDescent="0.3">
      <c r="A364" s="10" t="s">
        <v>129</v>
      </c>
      <c r="B364" s="10">
        <v>2023</v>
      </c>
      <c r="C364" s="10">
        <v>48945402799</v>
      </c>
      <c r="D364" s="10">
        <v>5419695932</v>
      </c>
      <c r="E364" s="10">
        <v>465660284991</v>
      </c>
      <c r="F364" s="10">
        <v>196079533527</v>
      </c>
      <c r="G364" s="10">
        <v>79973392949</v>
      </c>
      <c r="H364" s="10">
        <v>42736218974</v>
      </c>
      <c r="I364" s="10">
        <v>385686892042</v>
      </c>
      <c r="J364" s="10">
        <v>38988123516</v>
      </c>
      <c r="K364" s="10">
        <v>153343314553</v>
      </c>
      <c r="L364" s="10"/>
      <c r="M364" s="10">
        <v>439902625251</v>
      </c>
      <c r="N364" s="10">
        <v>33988123516</v>
      </c>
      <c r="O364" s="10">
        <v>46471311165</v>
      </c>
      <c r="P364" s="10">
        <v>8.2033376574617858</v>
      </c>
      <c r="Q364" s="10">
        <v>0</v>
      </c>
      <c r="R364" s="10" t="s">
        <v>238</v>
      </c>
      <c r="S364" s="10">
        <v>0.32930296934376468</v>
      </c>
      <c r="T364" s="10">
        <v>8.3726537934738277E-2</v>
      </c>
      <c r="U364" s="10">
        <v>0.105109678399879</v>
      </c>
      <c r="V364" s="10">
        <v>4.8226901200497672</v>
      </c>
    </row>
    <row r="365" spans="1:22" x14ac:dyDescent="0.3">
      <c r="A365" s="10" t="s">
        <v>129</v>
      </c>
      <c r="B365" s="10">
        <v>2022</v>
      </c>
      <c r="C365" s="10">
        <v>32288453220</v>
      </c>
      <c r="D365" s="10">
        <v>5686731728</v>
      </c>
      <c r="E365" s="10">
        <v>453707374402</v>
      </c>
      <c r="F365" s="10">
        <v>226425815577</v>
      </c>
      <c r="G365" s="10">
        <v>95986888698</v>
      </c>
      <c r="H365" s="10">
        <v>56544808997</v>
      </c>
      <c r="I365" s="10">
        <v>357720485704</v>
      </c>
      <c r="J365" s="10">
        <v>39841353405</v>
      </c>
      <c r="K365" s="10">
        <v>169881006580</v>
      </c>
      <c r="L365" s="10"/>
      <c r="M365" s="10">
        <v>339197903920</v>
      </c>
      <c r="N365" s="10">
        <v>20594943805</v>
      </c>
      <c r="O365" s="10">
        <v>60288376508</v>
      </c>
      <c r="P365" s="10">
        <v>7.1338579675856693</v>
      </c>
      <c r="Q365" s="10">
        <v>0</v>
      </c>
      <c r="R365" s="10" t="s">
        <v>238</v>
      </c>
      <c r="S365" s="10">
        <v>0.37442857701818988</v>
      </c>
      <c r="T365" s="10">
        <v>8.7812884808213892E-2</v>
      </c>
      <c r="U365" s="10">
        <v>7.1165810920655978E-2</v>
      </c>
      <c r="V365" s="10">
        <v>3.7267640461759601</v>
      </c>
    </row>
    <row r="366" spans="1:22" x14ac:dyDescent="0.3">
      <c r="A366" s="10" t="s">
        <v>130</v>
      </c>
      <c r="B366" s="10">
        <v>2025</v>
      </c>
      <c r="C366" s="10">
        <v>93892668000</v>
      </c>
      <c r="D366" s="10">
        <v>48003668000</v>
      </c>
      <c r="E366" s="10">
        <v>1387176261000</v>
      </c>
      <c r="F366" s="10">
        <v>642034508000</v>
      </c>
      <c r="G366" s="10">
        <v>959702590000</v>
      </c>
      <c r="H366" s="10">
        <v>280773944000</v>
      </c>
      <c r="I366" s="10">
        <v>414519489000</v>
      </c>
      <c r="J366" s="10">
        <v>-350334686000</v>
      </c>
      <c r="K366" s="10">
        <v>361260564000</v>
      </c>
      <c r="L366" s="10"/>
      <c r="M366" s="10">
        <v>940879809000</v>
      </c>
      <c r="N366" s="10">
        <v>28031391000</v>
      </c>
      <c r="O366" s="10">
        <v>706657464000</v>
      </c>
      <c r="P366" s="10">
        <v>1.7934640716123349</v>
      </c>
      <c r="Q366" s="10">
        <v>0</v>
      </c>
      <c r="R366" s="10" t="s">
        <v>239</v>
      </c>
      <c r="S366" s="10">
        <v>0.26042873869508931</v>
      </c>
      <c r="T366" s="10">
        <v>-0.25255239427716819</v>
      </c>
      <c r="U366" s="10">
        <v>6.7686184257733636E-2</v>
      </c>
      <c r="V366" s="10">
        <v>0.43192494562299771</v>
      </c>
    </row>
    <row r="367" spans="1:22" x14ac:dyDescent="0.3">
      <c r="A367" s="10" t="s">
        <v>130</v>
      </c>
      <c r="B367" s="10">
        <v>2023</v>
      </c>
      <c r="C367" s="10">
        <v>73397401000</v>
      </c>
      <c r="D367" s="10">
        <v>64954545000</v>
      </c>
      <c r="E367" s="10">
        <v>1768708718000</v>
      </c>
      <c r="F367" s="10">
        <v>929532698000</v>
      </c>
      <c r="G367" s="10">
        <v>1091952149000</v>
      </c>
      <c r="H367" s="10">
        <v>824922171000</v>
      </c>
      <c r="I367" s="10">
        <v>657382080000</v>
      </c>
      <c r="J367" s="10">
        <v>-85753210000</v>
      </c>
      <c r="K367" s="10">
        <v>104610527000</v>
      </c>
      <c r="L367" s="10"/>
      <c r="M367" s="10">
        <v>1003571884000</v>
      </c>
      <c r="N367" s="10">
        <v>7871212000</v>
      </c>
      <c r="O367" s="10">
        <v>802575111000</v>
      </c>
      <c r="P367" s="10">
        <v>1.140926493090803</v>
      </c>
      <c r="Q367" s="10">
        <v>0</v>
      </c>
      <c r="R367" s="10" t="s">
        <v>239</v>
      </c>
      <c r="S367" s="10">
        <v>5.9145141274754537E-2</v>
      </c>
      <c r="T367" s="10">
        <v>-4.8483511800047563E-2</v>
      </c>
      <c r="U367" s="10">
        <v>4.1497732358664163E-2</v>
      </c>
      <c r="V367" s="10">
        <v>0.60202462223461406</v>
      </c>
    </row>
    <row r="368" spans="1:22" x14ac:dyDescent="0.3">
      <c r="A368" s="10" t="s">
        <v>130</v>
      </c>
      <c r="B368" s="10">
        <v>2022</v>
      </c>
      <c r="C368" s="10">
        <v>102714071000</v>
      </c>
      <c r="D368" s="10">
        <v>61211954000</v>
      </c>
      <c r="E368" s="10">
        <v>1806280965000</v>
      </c>
      <c r="F368" s="10">
        <v>948943887000</v>
      </c>
      <c r="G368" s="10">
        <v>1034464891000</v>
      </c>
      <c r="H368" s="10">
        <v>710243131000</v>
      </c>
      <c r="I368" s="10">
        <v>751049985000</v>
      </c>
      <c r="J368" s="10">
        <v>28069871000</v>
      </c>
      <c r="K368" s="10">
        <v>238700756000</v>
      </c>
      <c r="L368" s="10"/>
      <c r="M368" s="10">
        <v>1168474434000</v>
      </c>
      <c r="N368" s="10">
        <v>28069871000</v>
      </c>
      <c r="O368" s="10">
        <v>843479644000</v>
      </c>
      <c r="P368" s="10">
        <v>2.062028860627291</v>
      </c>
      <c r="Q368" s="10">
        <v>0</v>
      </c>
      <c r="R368" s="10" t="s">
        <v>239</v>
      </c>
      <c r="S368" s="10">
        <v>0.13215040219393551</v>
      </c>
      <c r="T368" s="10">
        <v>1.5540146601722061E-2</v>
      </c>
      <c r="U368" s="10">
        <v>5.6864946810752673E-2</v>
      </c>
      <c r="V368" s="10">
        <v>0.72602752547162086</v>
      </c>
    </row>
    <row r="369" spans="1:22" x14ac:dyDescent="0.3">
      <c r="A369" s="10" t="s">
        <v>131</v>
      </c>
      <c r="B369" s="10">
        <v>2025</v>
      </c>
      <c r="C369" s="10">
        <v>234249102676</v>
      </c>
      <c r="D369" s="10">
        <v>35098766168</v>
      </c>
      <c r="E369" s="10">
        <v>2520834318205</v>
      </c>
      <c r="F369" s="10">
        <v>324474666741</v>
      </c>
      <c r="G369" s="10">
        <v>602116414753</v>
      </c>
      <c r="H369" s="10">
        <v>213049345381</v>
      </c>
      <c r="I369" s="10">
        <v>1918717903452</v>
      </c>
      <c r="J369" s="10">
        <v>384793837130</v>
      </c>
      <c r="K369" s="10">
        <v>111425321360</v>
      </c>
      <c r="L369" s="10"/>
      <c r="M369" s="10">
        <v>792724269716</v>
      </c>
      <c r="N369" s="10">
        <v>159308091908</v>
      </c>
      <c r="O369" s="10">
        <v>360135283917</v>
      </c>
      <c r="P369" s="10">
        <v>4.7579991491481604</v>
      </c>
      <c r="Q369" s="10">
        <v>0</v>
      </c>
      <c r="R369" s="10" t="s">
        <v>238</v>
      </c>
      <c r="S369" s="10">
        <v>4.4201763104900191E-2</v>
      </c>
      <c r="T369" s="10">
        <v>0.1526454294719371</v>
      </c>
      <c r="U369" s="10">
        <v>9.2925227566245119E-2</v>
      </c>
      <c r="V369" s="10">
        <v>3.1866228131965082</v>
      </c>
    </row>
    <row r="370" spans="1:22" x14ac:dyDescent="0.3">
      <c r="A370" s="10" t="s">
        <v>131</v>
      </c>
      <c r="B370" s="10">
        <v>2024</v>
      </c>
      <c r="C370" s="10">
        <v>145659269977</v>
      </c>
      <c r="D370" s="10">
        <v>43836197384</v>
      </c>
      <c r="E370" s="10">
        <v>2639198599962</v>
      </c>
      <c r="F370" s="10">
        <v>371618564173</v>
      </c>
      <c r="G370" s="10">
        <v>846246848867</v>
      </c>
      <c r="H370" s="10">
        <v>211181140925</v>
      </c>
      <c r="I370" s="10">
        <v>1792951751095</v>
      </c>
      <c r="J370" s="10">
        <v>174452283389</v>
      </c>
      <c r="K370" s="10">
        <v>160437423248</v>
      </c>
      <c r="L370" s="10"/>
      <c r="M370" s="10">
        <v>738565449724</v>
      </c>
      <c r="N370" s="10">
        <v>79181162728</v>
      </c>
      <c r="O370" s="10">
        <v>488719338563</v>
      </c>
      <c r="P370" s="10">
        <v>3.2097985419625559</v>
      </c>
      <c r="Q370" s="10">
        <v>0</v>
      </c>
      <c r="R370" s="10" t="s">
        <v>238</v>
      </c>
      <c r="S370" s="10">
        <v>6.0790204742572247E-2</v>
      </c>
      <c r="T370" s="10">
        <v>6.6100475876090498E-2</v>
      </c>
      <c r="U370" s="10">
        <v>5.5190719629472841E-2</v>
      </c>
      <c r="V370" s="10">
        <v>2.1187101062715898</v>
      </c>
    </row>
    <row r="371" spans="1:22" x14ac:dyDescent="0.3">
      <c r="A371" s="10" t="s">
        <v>131</v>
      </c>
      <c r="B371" s="10">
        <v>2023</v>
      </c>
      <c r="C371" s="10">
        <v>189807846637</v>
      </c>
      <c r="D371" s="10">
        <v>50408782504</v>
      </c>
      <c r="E371" s="10">
        <v>2591476467270</v>
      </c>
      <c r="F371" s="10">
        <v>290913406730</v>
      </c>
      <c r="G371" s="10">
        <v>965401621500</v>
      </c>
      <c r="H371" s="10">
        <v>161569378318</v>
      </c>
      <c r="I371" s="10">
        <v>1626074845770</v>
      </c>
      <c r="J371" s="10">
        <v>46028539243</v>
      </c>
      <c r="K371" s="10">
        <v>129344028412</v>
      </c>
      <c r="L371" s="10"/>
      <c r="M371" s="10">
        <v>868456776538</v>
      </c>
      <c r="N371" s="10">
        <v>108056587588</v>
      </c>
      <c r="O371" s="10">
        <v>569841402562</v>
      </c>
      <c r="P371" s="10">
        <v>2.646082840349167</v>
      </c>
      <c r="Q371" s="10">
        <v>0</v>
      </c>
      <c r="R371" s="10" t="s">
        <v>238</v>
      </c>
      <c r="S371" s="10">
        <v>4.9911326630049588E-2</v>
      </c>
      <c r="T371" s="10">
        <v>1.77615115646753E-2</v>
      </c>
      <c r="U371" s="10">
        <v>7.3243129557319014E-2</v>
      </c>
      <c r="V371" s="10">
        <v>1.684350646980967</v>
      </c>
    </row>
    <row r="372" spans="1:22" x14ac:dyDescent="0.3">
      <c r="A372" s="10" t="s">
        <v>131</v>
      </c>
      <c r="B372" s="10">
        <v>2022</v>
      </c>
      <c r="C372" s="10">
        <v>251478514803</v>
      </c>
      <c r="D372" s="10">
        <v>62603309677</v>
      </c>
      <c r="E372" s="10">
        <v>2347517612881</v>
      </c>
      <c r="F372" s="10">
        <v>289998443433</v>
      </c>
      <c r="G372" s="10">
        <v>918351509165</v>
      </c>
      <c r="H372" s="10">
        <v>197371836873</v>
      </c>
      <c r="I372" s="10">
        <v>1429166103716</v>
      </c>
      <c r="J372" s="10">
        <v>-122940927208</v>
      </c>
      <c r="K372" s="10">
        <v>92626606560</v>
      </c>
      <c r="L372" s="10"/>
      <c r="M372" s="10">
        <v>1007305060864</v>
      </c>
      <c r="N372" s="10">
        <v>172151655670</v>
      </c>
      <c r="O372" s="10">
        <v>692078976684</v>
      </c>
      <c r="P372" s="10">
        <v>2.4420348244758161</v>
      </c>
      <c r="Q372" s="10">
        <v>0</v>
      </c>
      <c r="R372" s="10" t="s">
        <v>239</v>
      </c>
      <c r="S372" s="10">
        <v>3.9457257339306447E-2</v>
      </c>
      <c r="T372" s="10">
        <v>-5.2370609078038088E-2</v>
      </c>
      <c r="U372" s="10">
        <v>0.10712529415034799</v>
      </c>
      <c r="V372" s="10">
        <v>1.5562299287943151</v>
      </c>
    </row>
    <row r="373" spans="1:22" x14ac:dyDescent="0.3">
      <c r="A373" s="10" t="s">
        <v>132</v>
      </c>
      <c r="B373" s="10">
        <v>2024</v>
      </c>
      <c r="C373" s="10">
        <v>30124009353</v>
      </c>
      <c r="D373" s="10">
        <v>25492254863</v>
      </c>
      <c r="E373" s="10">
        <v>712824447580</v>
      </c>
      <c r="F373" s="10">
        <v>301531433512</v>
      </c>
      <c r="G373" s="10">
        <v>504820024784</v>
      </c>
      <c r="H373" s="10">
        <v>237141805552</v>
      </c>
      <c r="I373" s="10">
        <v>208004422796</v>
      </c>
      <c r="J373" s="10">
        <v>71390172796</v>
      </c>
      <c r="K373" s="10">
        <v>64389627960</v>
      </c>
      <c r="L373" s="10"/>
      <c r="M373" s="10">
        <v>600290596962</v>
      </c>
      <c r="N373" s="10">
        <v>2767225457</v>
      </c>
      <c r="O373" s="10">
        <v>131826120598</v>
      </c>
      <c r="P373" s="10">
        <v>1.6356855632521521</v>
      </c>
      <c r="Q373" s="10">
        <v>0</v>
      </c>
      <c r="R373" s="10" t="s">
        <v>239</v>
      </c>
      <c r="S373" s="10">
        <v>9.0330274415530029E-2</v>
      </c>
      <c r="T373" s="10">
        <v>0.1001511284277156</v>
      </c>
      <c r="U373" s="10">
        <v>4.2260067615903688E-2</v>
      </c>
      <c r="V373" s="10">
        <v>0.41203679050766651</v>
      </c>
    </row>
    <row r="374" spans="1:22" x14ac:dyDescent="0.3">
      <c r="A374" s="10" t="s">
        <v>132</v>
      </c>
      <c r="B374" s="10">
        <v>2023</v>
      </c>
      <c r="C374" s="10">
        <v>15109499509</v>
      </c>
      <c r="D374" s="10">
        <v>11139418517</v>
      </c>
      <c r="E374" s="10">
        <v>736044302230</v>
      </c>
      <c r="F374" s="10">
        <v>366733710599</v>
      </c>
      <c r="G374" s="10">
        <v>531092759090</v>
      </c>
      <c r="H374" s="10">
        <v>175796527581</v>
      </c>
      <c r="I374" s="10">
        <v>204951543140</v>
      </c>
      <c r="J374" s="10">
        <v>68337293140</v>
      </c>
      <c r="K374" s="10">
        <v>190937183018</v>
      </c>
      <c r="L374" s="10"/>
      <c r="M374" s="10">
        <v>547818226822</v>
      </c>
      <c r="N374" s="10">
        <v>5659644108</v>
      </c>
      <c r="O374" s="10">
        <v>115289820768</v>
      </c>
      <c r="P374" s="10">
        <v>2.547549029106964</v>
      </c>
      <c r="Q374" s="10">
        <v>0</v>
      </c>
      <c r="R374" s="10" t="s">
        <v>239</v>
      </c>
      <c r="S374" s="10">
        <v>0.25940990568029121</v>
      </c>
      <c r="T374" s="10">
        <v>9.2843994489133178E-2</v>
      </c>
      <c r="U374" s="10">
        <v>2.052797564388803E-2</v>
      </c>
      <c r="V374" s="10">
        <v>0.38590536141214549</v>
      </c>
    </row>
    <row r="375" spans="1:22" x14ac:dyDescent="0.3">
      <c r="A375" s="10" t="s">
        <v>132</v>
      </c>
      <c r="B375" s="10">
        <v>2022</v>
      </c>
      <c r="C375" s="10">
        <v>20248501611</v>
      </c>
      <c r="D375" s="10">
        <v>12188716840</v>
      </c>
      <c r="E375" s="10">
        <v>1014888115857</v>
      </c>
      <c r="F375" s="10">
        <v>372928831208</v>
      </c>
      <c r="G375" s="10">
        <v>816053031137</v>
      </c>
      <c r="H375" s="10">
        <v>157575157710</v>
      </c>
      <c r="I375" s="10">
        <v>198835084720</v>
      </c>
      <c r="J375" s="10">
        <v>62220834720</v>
      </c>
      <c r="K375" s="10">
        <v>215353673498</v>
      </c>
      <c r="L375" s="10"/>
      <c r="M375" s="10">
        <v>549569631061</v>
      </c>
      <c r="N375" s="10">
        <v>8904521434</v>
      </c>
      <c r="O375" s="10">
        <v>117999793715</v>
      </c>
      <c r="P375" s="10">
        <v>1.981771386809499</v>
      </c>
      <c r="Q375" s="10">
        <v>0</v>
      </c>
      <c r="R375" s="10" t="s">
        <v>239</v>
      </c>
      <c r="S375" s="10">
        <v>0.21219449723888961</v>
      </c>
      <c r="T375" s="10">
        <v>6.1308073025822141E-2</v>
      </c>
      <c r="U375" s="10">
        <v>1.9951461934207E-2</v>
      </c>
      <c r="V375" s="10">
        <v>0.24365461205745989</v>
      </c>
    </row>
    <row r="376" spans="1:22" x14ac:dyDescent="0.3">
      <c r="A376" s="10" t="s">
        <v>133</v>
      </c>
      <c r="B376" s="10">
        <v>2024</v>
      </c>
      <c r="C376" s="10">
        <v>1630018815</v>
      </c>
      <c r="D376" s="10">
        <v>1180054548</v>
      </c>
      <c r="E376" s="10">
        <v>174987378764</v>
      </c>
      <c r="F376" s="10">
        <v>64599283227</v>
      </c>
      <c r="G376" s="10">
        <v>28305671100</v>
      </c>
      <c r="H376" s="10">
        <v>22973373056</v>
      </c>
      <c r="I376" s="10">
        <v>146681485174</v>
      </c>
      <c r="J376" s="10">
        <v>2861466211</v>
      </c>
      <c r="K376" s="10">
        <v>41625910171</v>
      </c>
      <c r="L376" s="10"/>
      <c r="M376" s="10">
        <v>26997167871</v>
      </c>
      <c r="N376" s="10">
        <v>313278420</v>
      </c>
      <c r="O376" s="10">
        <v>19247103786</v>
      </c>
      <c r="P376" s="10">
        <v>7.1175511807406453</v>
      </c>
      <c r="Q376" s="10">
        <v>0</v>
      </c>
      <c r="R376" s="10" t="s">
        <v>238</v>
      </c>
      <c r="S376" s="10">
        <v>0.23787950002462499</v>
      </c>
      <c r="T376" s="10">
        <v>1.635241484963993E-2</v>
      </c>
      <c r="U376" s="10">
        <v>9.3150650436244053E-3</v>
      </c>
      <c r="V376" s="10">
        <v>5.1820529057867839</v>
      </c>
    </row>
    <row r="377" spans="1:22" x14ac:dyDescent="0.3">
      <c r="A377" s="10" t="s">
        <v>133</v>
      </c>
      <c r="B377" s="10">
        <v>2023</v>
      </c>
      <c r="C377" s="10">
        <v>2768939541</v>
      </c>
      <c r="D377" s="10">
        <v>1862788246</v>
      </c>
      <c r="E377" s="10">
        <v>180319277474</v>
      </c>
      <c r="F377" s="10">
        <v>61249209592</v>
      </c>
      <c r="G377" s="10">
        <v>34079489650</v>
      </c>
      <c r="H377" s="10">
        <v>20053837466</v>
      </c>
      <c r="I377" s="10">
        <v>146239552667</v>
      </c>
      <c r="J377" s="10">
        <v>2484552667</v>
      </c>
      <c r="K377" s="10">
        <v>41195372126</v>
      </c>
      <c r="L377" s="10"/>
      <c r="M377" s="10">
        <v>32096104705</v>
      </c>
      <c r="N377" s="10">
        <v>503574099</v>
      </c>
      <c r="O377" s="10">
        <v>26867952850</v>
      </c>
      <c r="P377" s="10">
        <v>6.1524806745373271</v>
      </c>
      <c r="Q377" s="10">
        <v>0</v>
      </c>
      <c r="R377" s="10" t="s">
        <v>238</v>
      </c>
      <c r="S377" s="10">
        <v>0.22845794805239231</v>
      </c>
      <c r="T377" s="10">
        <v>1.377863033728185E-2</v>
      </c>
      <c r="U377" s="10">
        <v>1.535575995971507E-2</v>
      </c>
      <c r="V377" s="10">
        <v>4.2911309461760094</v>
      </c>
    </row>
    <row r="378" spans="1:22" x14ac:dyDescent="0.3">
      <c r="A378" s="10" t="s">
        <v>133</v>
      </c>
      <c r="B378" s="10">
        <v>2022</v>
      </c>
      <c r="C378" s="10">
        <v>4147287948</v>
      </c>
      <c r="D378" s="10">
        <v>1716058409</v>
      </c>
      <c r="E378" s="10">
        <v>94210113197</v>
      </c>
      <c r="F378" s="10">
        <v>40393418906</v>
      </c>
      <c r="G378" s="10">
        <v>42173675433</v>
      </c>
      <c r="H378" s="10">
        <v>26945596519</v>
      </c>
      <c r="I378" s="10">
        <v>52036153415</v>
      </c>
      <c r="J378" s="10">
        <v>2044613690</v>
      </c>
      <c r="K378" s="10">
        <v>13447822387</v>
      </c>
      <c r="L378" s="10"/>
      <c r="M378" s="10">
        <v>39069495589</v>
      </c>
      <c r="N378" s="10">
        <v>1787092239</v>
      </c>
      <c r="O378" s="10">
        <v>32584656315</v>
      </c>
      <c r="P378" s="10">
        <v>2.598516363013605</v>
      </c>
      <c r="Q378" s="10">
        <v>0</v>
      </c>
      <c r="R378" s="10" t="s">
        <v>239</v>
      </c>
      <c r="S378" s="10">
        <v>0.14274287473659711</v>
      </c>
      <c r="T378" s="10">
        <v>2.1702698581038411E-2</v>
      </c>
      <c r="U378" s="10">
        <v>4.4021685223196029E-2</v>
      </c>
      <c r="V378" s="10">
        <v>1.233853888254729</v>
      </c>
    </row>
    <row r="379" spans="1:22" x14ac:dyDescent="0.3">
      <c r="A379" s="10" t="s">
        <v>134</v>
      </c>
      <c r="B379" s="10">
        <v>2025</v>
      </c>
      <c r="C379" s="10">
        <v>447004283216</v>
      </c>
      <c r="D379" s="10">
        <v>29821410831</v>
      </c>
      <c r="E379" s="10">
        <v>1745523186581</v>
      </c>
      <c r="F379" s="10">
        <v>437078521371</v>
      </c>
      <c r="G379" s="10">
        <v>575138726967</v>
      </c>
      <c r="H379" s="10">
        <v>368493031952</v>
      </c>
      <c r="I379" s="10">
        <v>1166718246758</v>
      </c>
      <c r="J379" s="10">
        <v>1055952807366</v>
      </c>
      <c r="K379" s="10">
        <v>68585489419</v>
      </c>
      <c r="L379" s="10"/>
      <c r="M379" s="10">
        <v>2303919253617</v>
      </c>
      <c r="N379" s="10">
        <v>321630087077</v>
      </c>
      <c r="O379" s="10">
        <v>339813915955</v>
      </c>
      <c r="P379" s="10">
        <v>6.0808051877661864</v>
      </c>
      <c r="Q379" s="10">
        <v>0</v>
      </c>
      <c r="R379" s="10" t="s">
        <v>238</v>
      </c>
      <c r="S379" s="10">
        <v>3.9292224787537827E-2</v>
      </c>
      <c r="T379" s="10">
        <v>0.60494917253681468</v>
      </c>
      <c r="U379" s="10">
        <v>0.25608613317337742</v>
      </c>
      <c r="V379" s="10">
        <v>2.0285857864426911</v>
      </c>
    </row>
    <row r="380" spans="1:22" x14ac:dyDescent="0.3">
      <c r="A380" s="10" t="s">
        <v>134</v>
      </c>
      <c r="B380" s="10">
        <v>2024</v>
      </c>
      <c r="C380" s="10">
        <v>330414974809</v>
      </c>
      <c r="D380" s="10">
        <v>40027658438</v>
      </c>
      <c r="E380" s="10">
        <v>1763677465138</v>
      </c>
      <c r="F380" s="10">
        <v>501647105405</v>
      </c>
      <c r="G380" s="10">
        <v>797870353932</v>
      </c>
      <c r="H380" s="10">
        <v>488569427273</v>
      </c>
      <c r="I380" s="10">
        <v>962251156694</v>
      </c>
      <c r="J380" s="10">
        <v>853985717302</v>
      </c>
      <c r="K380" s="10">
        <v>13077678132</v>
      </c>
      <c r="L380" s="10"/>
      <c r="M380" s="10">
        <v>2042868724833</v>
      </c>
      <c r="N380" s="10">
        <v>220332580518</v>
      </c>
      <c r="O380" s="10">
        <v>594823541541</v>
      </c>
      <c r="P380" s="10">
        <v>4.1524382088016818</v>
      </c>
      <c r="Q380" s="10">
        <v>0</v>
      </c>
      <c r="R380" s="10" t="s">
        <v>238</v>
      </c>
      <c r="S380" s="10">
        <v>7.4150055157487264E-3</v>
      </c>
      <c r="T380" s="10">
        <v>0.48420742124477922</v>
      </c>
      <c r="U380" s="10">
        <v>0.18734433100167011</v>
      </c>
      <c r="V380" s="10">
        <v>1.20602445240873</v>
      </c>
    </row>
    <row r="381" spans="1:22" x14ac:dyDescent="0.3">
      <c r="A381" s="10" t="s">
        <v>134</v>
      </c>
      <c r="B381" s="10">
        <v>2023</v>
      </c>
      <c r="C381" s="10">
        <v>291446025348</v>
      </c>
      <c r="D381" s="10">
        <v>41054536247</v>
      </c>
      <c r="E381" s="10">
        <v>1489149097101</v>
      </c>
      <c r="F381" s="10">
        <v>340964810671</v>
      </c>
      <c r="G381" s="10">
        <v>692307357059</v>
      </c>
      <c r="H381" s="10">
        <v>272538539776</v>
      </c>
      <c r="I381" s="10">
        <v>793779359444</v>
      </c>
      <c r="J381" s="10">
        <v>685513920052</v>
      </c>
      <c r="K381" s="10">
        <v>68426270895</v>
      </c>
      <c r="L381" s="10"/>
      <c r="M381" s="10">
        <v>2037284494747</v>
      </c>
      <c r="N381" s="10">
        <v>191350331516</v>
      </c>
      <c r="O381" s="10">
        <v>542447588785</v>
      </c>
      <c r="P381" s="10">
        <v>4.3212291786989283</v>
      </c>
      <c r="Q381" s="10">
        <v>0</v>
      </c>
      <c r="R381" s="10" t="s">
        <v>238</v>
      </c>
      <c r="S381" s="10">
        <v>4.5949912623395997E-2</v>
      </c>
      <c r="T381" s="10">
        <v>0.46033934505720331</v>
      </c>
      <c r="U381" s="10">
        <v>0.1957131263184945</v>
      </c>
      <c r="V381" s="10">
        <v>1.1465707410882711</v>
      </c>
    </row>
    <row r="382" spans="1:22" x14ac:dyDescent="0.3">
      <c r="A382" s="10" t="s">
        <v>134</v>
      </c>
      <c r="B382" s="10">
        <v>2022</v>
      </c>
      <c r="C382" s="10">
        <v>278070978044</v>
      </c>
      <c r="D382" s="10">
        <v>52009676332</v>
      </c>
      <c r="E382" s="10">
        <v>1550623971085</v>
      </c>
      <c r="F382" s="10">
        <v>496438128168</v>
      </c>
      <c r="G382" s="10">
        <v>842074572429</v>
      </c>
      <c r="H382" s="10">
        <v>337116041840</v>
      </c>
      <c r="I382" s="10">
        <v>705803696037</v>
      </c>
      <c r="J382" s="10">
        <v>605038256645</v>
      </c>
      <c r="K382" s="10">
        <v>159322086328</v>
      </c>
      <c r="L382" s="10"/>
      <c r="M382" s="10">
        <v>2034457645981</v>
      </c>
      <c r="N382" s="10">
        <v>173128385854</v>
      </c>
      <c r="O382" s="10">
        <v>690964540945</v>
      </c>
      <c r="P382" s="10">
        <v>4.0312090341897244</v>
      </c>
      <c r="Q382" s="10">
        <v>0</v>
      </c>
      <c r="R382" s="10" t="s">
        <v>238</v>
      </c>
      <c r="S382" s="10">
        <v>0.1027470807229424</v>
      </c>
      <c r="T382" s="10">
        <v>0.39019018661348542</v>
      </c>
      <c r="U382" s="10">
        <v>0.1793284401823278</v>
      </c>
      <c r="V382" s="10">
        <v>0.83817243644001638</v>
      </c>
    </row>
    <row r="383" spans="1:22" x14ac:dyDescent="0.3">
      <c r="A383" s="10" t="s">
        <v>135</v>
      </c>
      <c r="B383" s="10">
        <v>2024</v>
      </c>
      <c r="C383" s="10">
        <v>635491990</v>
      </c>
      <c r="D383" s="10">
        <v>2365968272</v>
      </c>
      <c r="E383" s="10">
        <v>204681517169</v>
      </c>
      <c r="F383" s="10">
        <v>98454182898</v>
      </c>
      <c r="G383" s="10">
        <v>79165244302</v>
      </c>
      <c r="H383" s="10">
        <v>49294357717</v>
      </c>
      <c r="I383" s="10">
        <v>125516272867</v>
      </c>
      <c r="J383" s="10">
        <v>-64784357446</v>
      </c>
      <c r="K383" s="10">
        <v>49159825181</v>
      </c>
      <c r="L383" s="10"/>
      <c r="M383" s="10">
        <v>135521321941</v>
      </c>
      <c r="N383" s="10">
        <v>-1316347210</v>
      </c>
      <c r="O383" s="10">
        <v>40446023467</v>
      </c>
      <c r="P383" s="10">
        <v>2.2293660440582559</v>
      </c>
      <c r="Q383" s="10">
        <v>0</v>
      </c>
      <c r="R383" s="10" t="s">
        <v>239</v>
      </c>
      <c r="S383" s="10">
        <v>0.24017715845056031</v>
      </c>
      <c r="T383" s="10">
        <v>-0.31651298242287951</v>
      </c>
      <c r="U383" s="10">
        <v>3.1047844416518151E-3</v>
      </c>
      <c r="V383" s="10">
        <v>1.5854971960697779</v>
      </c>
    </row>
    <row r="384" spans="1:22" x14ac:dyDescent="0.3">
      <c r="A384" s="10" t="s">
        <v>135</v>
      </c>
      <c r="B384" s="10">
        <v>2023</v>
      </c>
      <c r="C384" s="10">
        <v>-13468074822</v>
      </c>
      <c r="D384" s="10">
        <v>2771258424</v>
      </c>
      <c r="E384" s="10">
        <v>190163052910</v>
      </c>
      <c r="F384" s="10">
        <v>80340562835</v>
      </c>
      <c r="G384" s="10">
        <v>68630916648</v>
      </c>
      <c r="H384" s="10">
        <v>34275360700</v>
      </c>
      <c r="I384" s="10">
        <v>121532136262</v>
      </c>
      <c r="J384" s="10">
        <v>-63468010236</v>
      </c>
      <c r="K384" s="10">
        <v>46065202135</v>
      </c>
      <c r="L384" s="10"/>
      <c r="M384" s="10">
        <v>87603006966</v>
      </c>
      <c r="N384" s="10">
        <v>-14967102605</v>
      </c>
      <c r="O384" s="10">
        <v>25913096351</v>
      </c>
      <c r="P384" s="10">
        <v>1.884465968461682</v>
      </c>
      <c r="Q384" s="10">
        <v>0</v>
      </c>
      <c r="R384" s="10" t="s">
        <v>239</v>
      </c>
      <c r="S384" s="10">
        <v>0.24224054794072769</v>
      </c>
      <c r="T384" s="10">
        <v>-0.33375573890285631</v>
      </c>
      <c r="U384" s="10">
        <v>-7.0823825216847699E-2</v>
      </c>
      <c r="V384" s="10">
        <v>1.770807417381939</v>
      </c>
    </row>
    <row r="385" spans="1:22" x14ac:dyDescent="0.3">
      <c r="A385" s="10" t="s">
        <v>135</v>
      </c>
      <c r="B385" s="10">
        <v>2022</v>
      </c>
      <c r="C385" s="10">
        <v>-6744600827</v>
      </c>
      <c r="D385" s="10">
        <v>1812597194</v>
      </c>
      <c r="E385" s="10">
        <v>209337963370</v>
      </c>
      <c r="F385" s="10">
        <v>151197589530</v>
      </c>
      <c r="G385" s="10">
        <v>80393841446</v>
      </c>
      <c r="H385" s="10">
        <v>39297273996</v>
      </c>
      <c r="I385" s="10">
        <v>128944121924</v>
      </c>
      <c r="J385" s="10">
        <v>-48500907631</v>
      </c>
      <c r="K385" s="10">
        <v>111900315534</v>
      </c>
      <c r="L385" s="10"/>
      <c r="M385" s="10">
        <v>126547485872</v>
      </c>
      <c r="N385" s="10">
        <v>-6264038341</v>
      </c>
      <c r="O385" s="10">
        <v>36647920556</v>
      </c>
      <c r="P385" s="10">
        <v>4.218898467634693</v>
      </c>
      <c r="Q385" s="10">
        <v>0</v>
      </c>
      <c r="R385" s="10" t="s">
        <v>238</v>
      </c>
      <c r="S385" s="10">
        <v>0.53454382440999859</v>
      </c>
      <c r="T385" s="10">
        <v>-0.23168710944835061</v>
      </c>
      <c r="U385" s="10">
        <v>-3.22187180883148E-2</v>
      </c>
      <c r="V385" s="10">
        <v>1.603905468438287</v>
      </c>
    </row>
    <row r="386" spans="1:22" x14ac:dyDescent="0.3">
      <c r="A386" s="10" t="s">
        <v>136</v>
      </c>
      <c r="B386" s="10">
        <v>2025</v>
      </c>
      <c r="C386" s="10">
        <v>635695677537</v>
      </c>
      <c r="D386" s="10">
        <v>80246867515</v>
      </c>
      <c r="E386" s="10">
        <v>3995296751901</v>
      </c>
      <c r="F386" s="10">
        <v>1668085378583</v>
      </c>
      <c r="G386" s="10">
        <v>1265250446552</v>
      </c>
      <c r="H386" s="10">
        <v>559883224646</v>
      </c>
      <c r="I386" s="10">
        <v>2729734477872</v>
      </c>
      <c r="J386" s="10">
        <v>683944644426</v>
      </c>
      <c r="K386" s="10">
        <v>1108202153937</v>
      </c>
      <c r="L386" s="10"/>
      <c r="M386" s="10">
        <v>2552818121689</v>
      </c>
      <c r="N386" s="10">
        <v>442848958529</v>
      </c>
      <c r="O386" s="10">
        <v>1021513329219</v>
      </c>
      <c r="P386" s="10">
        <v>5.7122270644834474</v>
      </c>
      <c r="Q386" s="10">
        <v>0</v>
      </c>
      <c r="R386" s="10" t="s">
        <v>238</v>
      </c>
      <c r="S386" s="10">
        <v>0.27737668132153309</v>
      </c>
      <c r="T386" s="10">
        <v>0.17118744536324429</v>
      </c>
      <c r="U386" s="10">
        <v>0.15911100401604211</v>
      </c>
      <c r="V386" s="10">
        <v>2.1574657296592479</v>
      </c>
    </row>
    <row r="387" spans="1:22" x14ac:dyDescent="0.3">
      <c r="A387" s="10" t="s">
        <v>136</v>
      </c>
      <c r="B387" s="10">
        <v>2024</v>
      </c>
      <c r="C387" s="10">
        <v>540697686663</v>
      </c>
      <c r="D387" s="10">
        <v>101036915480</v>
      </c>
      <c r="E387" s="10">
        <v>3950324909015</v>
      </c>
      <c r="F387" s="10">
        <v>1623238575978</v>
      </c>
      <c r="G387" s="10">
        <v>1509614343486</v>
      </c>
      <c r="H387" s="10">
        <v>581639479501</v>
      </c>
      <c r="I387" s="10">
        <v>2440408684341</v>
      </c>
      <c r="J387" s="10">
        <v>474645685897</v>
      </c>
      <c r="K387" s="10">
        <v>1041599096477</v>
      </c>
      <c r="L387" s="10"/>
      <c r="M387" s="10">
        <v>2127994680911</v>
      </c>
      <c r="N387" s="10">
        <v>350647372618</v>
      </c>
      <c r="O387" s="10">
        <v>1231940623425</v>
      </c>
      <c r="P387" s="10">
        <v>4.7386052695095469</v>
      </c>
      <c r="Q387" s="10">
        <v>0</v>
      </c>
      <c r="R387" s="10" t="s">
        <v>238</v>
      </c>
      <c r="S387" s="10">
        <v>0.2636742851455019</v>
      </c>
      <c r="T387" s="10">
        <v>0.1201535814975157</v>
      </c>
      <c r="U387" s="10">
        <v>0.13687423164334631</v>
      </c>
      <c r="V387" s="10">
        <v>1.616577568218921</v>
      </c>
    </row>
    <row r="388" spans="1:22" x14ac:dyDescent="0.3">
      <c r="A388" s="10" t="s">
        <v>136</v>
      </c>
      <c r="B388" s="10">
        <v>2023</v>
      </c>
      <c r="C388" s="10">
        <v>803047902881</v>
      </c>
      <c r="D388" s="10">
        <v>143420190831</v>
      </c>
      <c r="E388" s="10">
        <v>4181183763101</v>
      </c>
      <c r="F388" s="10">
        <v>1865395461793</v>
      </c>
      <c r="G388" s="10">
        <v>1944063067826</v>
      </c>
      <c r="H388" s="10">
        <v>673506196655</v>
      </c>
      <c r="I388" s="10">
        <v>2236818899009</v>
      </c>
      <c r="J388" s="10">
        <v>369048313279</v>
      </c>
      <c r="K388" s="10">
        <v>1191889265138</v>
      </c>
      <c r="L388" s="10"/>
      <c r="M388" s="10">
        <v>2049487832334</v>
      </c>
      <c r="N388" s="10">
        <v>549244217016</v>
      </c>
      <c r="O388" s="10">
        <v>1582102625068</v>
      </c>
      <c r="P388" s="10">
        <v>4.6565141151946463</v>
      </c>
      <c r="Q388" s="10">
        <v>0</v>
      </c>
      <c r="R388" s="10" t="s">
        <v>238</v>
      </c>
      <c r="S388" s="10">
        <v>0.28506024433951888</v>
      </c>
      <c r="T388" s="10">
        <v>8.8264074049042296E-2</v>
      </c>
      <c r="U388" s="10">
        <v>0.19206233171761261</v>
      </c>
      <c r="V388" s="10">
        <v>1.150589677890637</v>
      </c>
    </row>
    <row r="389" spans="1:22" x14ac:dyDescent="0.3">
      <c r="A389" s="10" t="s">
        <v>136</v>
      </c>
      <c r="B389" s="10">
        <v>2022</v>
      </c>
      <c r="C389" s="10">
        <v>467232475909</v>
      </c>
      <c r="D389" s="10">
        <v>148698385714</v>
      </c>
      <c r="E389" s="10">
        <v>4140857067187</v>
      </c>
      <c r="F389" s="10">
        <v>1304904227804</v>
      </c>
      <c r="G389" s="10">
        <v>2454764947737</v>
      </c>
      <c r="H389" s="10">
        <v>650908995178</v>
      </c>
      <c r="I389" s="10">
        <v>1685800077181</v>
      </c>
      <c r="J389" s="10">
        <v>-180195903737</v>
      </c>
      <c r="K389" s="10">
        <v>653995232626</v>
      </c>
      <c r="L389" s="10"/>
      <c r="M389" s="10">
        <v>1972824875264</v>
      </c>
      <c r="N389" s="10">
        <v>257682090851</v>
      </c>
      <c r="O389" s="10">
        <v>2165795537091</v>
      </c>
      <c r="P389" s="10">
        <v>2.3735364825292522</v>
      </c>
      <c r="Q389" s="10">
        <v>0</v>
      </c>
      <c r="R389" s="10" t="s">
        <v>239</v>
      </c>
      <c r="S389" s="10">
        <v>0.1579371666335436</v>
      </c>
      <c r="T389" s="10">
        <v>-4.3516571766002092E-2</v>
      </c>
      <c r="U389" s="10">
        <v>0.11283472680364789</v>
      </c>
      <c r="V389" s="10">
        <v>0.68674602785700778</v>
      </c>
    </row>
    <row r="390" spans="1:22" x14ac:dyDescent="0.3">
      <c r="A390" s="10" t="s">
        <v>137</v>
      </c>
      <c r="B390" s="10">
        <v>2025</v>
      </c>
      <c r="C390" s="10">
        <v>-61325398936</v>
      </c>
      <c r="D390" s="10">
        <v>4867266097</v>
      </c>
      <c r="E390" s="10">
        <v>271222830901</v>
      </c>
      <c r="F390" s="10">
        <v>220713006489</v>
      </c>
      <c r="G390" s="10">
        <v>101015479016</v>
      </c>
      <c r="H390" s="10">
        <v>79818325344</v>
      </c>
      <c r="I390" s="10">
        <v>163232654149</v>
      </c>
      <c r="J390" s="10">
        <v>-30558459398</v>
      </c>
      <c r="K390" s="10">
        <v>140894681145</v>
      </c>
      <c r="L390" s="10"/>
      <c r="M390" s="10">
        <v>207657845924</v>
      </c>
      <c r="N390" s="10">
        <v>-55706999251</v>
      </c>
      <c r="O390" s="10">
        <v>45123446112</v>
      </c>
      <c r="P390" s="10">
        <v>3.2177570669781281</v>
      </c>
      <c r="Q390" s="10">
        <v>0</v>
      </c>
      <c r="R390" s="10" t="s">
        <v>238</v>
      </c>
      <c r="S390" s="10">
        <v>0.51947942832448524</v>
      </c>
      <c r="T390" s="10">
        <v>-0.11266920006875911</v>
      </c>
      <c r="U390" s="10">
        <v>-0.22610706750710299</v>
      </c>
      <c r="V390" s="10">
        <v>1.6159172409918019</v>
      </c>
    </row>
    <row r="391" spans="1:22" x14ac:dyDescent="0.3">
      <c r="A391" s="10" t="s">
        <v>137</v>
      </c>
      <c r="B391" s="10">
        <v>2024</v>
      </c>
      <c r="C391" s="10">
        <v>21731073198</v>
      </c>
      <c r="D391" s="10">
        <v>4895468375</v>
      </c>
      <c r="E391" s="10">
        <v>334864065589</v>
      </c>
      <c r="F391" s="10">
        <v>278801349774</v>
      </c>
      <c r="G391" s="10">
        <v>102586997777</v>
      </c>
      <c r="H391" s="10">
        <v>83190759428</v>
      </c>
      <c r="I391" s="10">
        <v>218985147110</v>
      </c>
      <c r="J391" s="10">
        <v>25148539853</v>
      </c>
      <c r="K391" s="10">
        <v>195610590346</v>
      </c>
      <c r="L391" s="10"/>
      <c r="M391" s="10">
        <v>192300097187</v>
      </c>
      <c r="N391" s="10">
        <v>10738940512</v>
      </c>
      <c r="O391" s="10">
        <v>52776251486</v>
      </c>
      <c r="P391" s="10">
        <v>6.7543033585150152</v>
      </c>
      <c r="Q391" s="10">
        <v>0</v>
      </c>
      <c r="R391" s="10" t="s">
        <v>238</v>
      </c>
      <c r="S391" s="10">
        <v>0.58414924277388824</v>
      </c>
      <c r="T391" s="10">
        <v>7.510074217359114E-2</v>
      </c>
      <c r="U391" s="10">
        <v>6.4895208029493168E-2</v>
      </c>
      <c r="V391" s="10">
        <v>2.13462867473734</v>
      </c>
    </row>
    <row r="392" spans="1:22" x14ac:dyDescent="0.3">
      <c r="A392" s="10" t="s">
        <v>137</v>
      </c>
      <c r="B392" s="10">
        <v>2023</v>
      </c>
      <c r="C392" s="10">
        <v>13283771844</v>
      </c>
      <c r="D392" s="10">
        <v>2180535312</v>
      </c>
      <c r="E392" s="10">
        <v>257054319278</v>
      </c>
      <c r="F392" s="10">
        <v>228260569122</v>
      </c>
      <c r="G392" s="10">
        <v>86191781107</v>
      </c>
      <c r="H392" s="10">
        <v>69090008727</v>
      </c>
      <c r="I392" s="10">
        <v>170862538171</v>
      </c>
      <c r="J392" s="10">
        <v>15153216557</v>
      </c>
      <c r="K392" s="10">
        <v>159170560395</v>
      </c>
      <c r="L392" s="10"/>
      <c r="M392" s="10">
        <v>152990933708</v>
      </c>
      <c r="N392" s="10">
        <v>8405540867</v>
      </c>
      <c r="O392" s="10">
        <v>49327916455</v>
      </c>
      <c r="P392" s="10">
        <v>6.6829312266606644</v>
      </c>
      <c r="Q392" s="10">
        <v>0</v>
      </c>
      <c r="R392" s="10" t="s">
        <v>238</v>
      </c>
      <c r="S392" s="10">
        <v>0.61920982632024812</v>
      </c>
      <c r="T392" s="10">
        <v>5.8949472623379837E-2</v>
      </c>
      <c r="U392" s="10">
        <v>5.167690580462031E-2</v>
      </c>
      <c r="V392" s="10">
        <v>1.982353026895781</v>
      </c>
    </row>
    <row r="393" spans="1:22" x14ac:dyDescent="0.3">
      <c r="A393" s="10" t="s">
        <v>137</v>
      </c>
      <c r="B393" s="10">
        <v>2022</v>
      </c>
      <c r="C393" s="10">
        <v>16505017933</v>
      </c>
      <c r="D393" s="10">
        <v>1281769513</v>
      </c>
      <c r="E393" s="10">
        <v>124825165426</v>
      </c>
      <c r="F393" s="10">
        <v>98065731384</v>
      </c>
      <c r="G393" s="10">
        <v>54923601577</v>
      </c>
      <c r="H393" s="10">
        <v>39251201433</v>
      </c>
      <c r="I393" s="10">
        <v>69901563849</v>
      </c>
      <c r="J393" s="10">
        <v>6747675694</v>
      </c>
      <c r="K393" s="10">
        <v>58814529951</v>
      </c>
      <c r="L393" s="10"/>
      <c r="M393" s="10">
        <v>136036226335</v>
      </c>
      <c r="N393" s="10">
        <v>11479978527</v>
      </c>
      <c r="O393" s="10">
        <v>31331006664</v>
      </c>
      <c r="P393" s="10">
        <v>5.4920288028344633</v>
      </c>
      <c r="Q393" s="10">
        <v>0</v>
      </c>
      <c r="R393" s="10" t="s">
        <v>238</v>
      </c>
      <c r="S393" s="10">
        <v>0.47117526141687333</v>
      </c>
      <c r="T393" s="10">
        <v>5.4057013831880073E-2</v>
      </c>
      <c r="U393" s="10">
        <v>0.13222508359329721</v>
      </c>
      <c r="V393" s="10">
        <v>1.272705391524656</v>
      </c>
    </row>
    <row r="394" spans="1:22" x14ac:dyDescent="0.3">
      <c r="A394" s="10" t="s">
        <v>138</v>
      </c>
      <c r="B394" s="10">
        <v>2025</v>
      </c>
      <c r="C394" s="10">
        <v>19394850</v>
      </c>
      <c r="D394" s="10">
        <v>1434487</v>
      </c>
      <c r="E394" s="10">
        <v>228833102</v>
      </c>
      <c r="F394" s="10">
        <v>84943350</v>
      </c>
      <c r="G394" s="10">
        <v>101617817</v>
      </c>
      <c r="H394" s="10">
        <v>72357054</v>
      </c>
      <c r="I394" s="10">
        <v>127214128</v>
      </c>
      <c r="J394" s="10">
        <v>62573246</v>
      </c>
      <c r="K394" s="10">
        <v>12586296</v>
      </c>
      <c r="L394" s="10"/>
      <c r="M394" s="10">
        <v>242787269</v>
      </c>
      <c r="N394" s="10">
        <v>14002649</v>
      </c>
      <c r="O394" s="10">
        <v>30833642</v>
      </c>
      <c r="P394" s="10">
        <v>3.1362829941532802</v>
      </c>
      <c r="Q394" s="10">
        <v>0</v>
      </c>
      <c r="R394" s="10" t="s">
        <v>238</v>
      </c>
      <c r="S394" s="10">
        <v>5.5002077452937732E-2</v>
      </c>
      <c r="T394" s="10">
        <v>0.27344490571123747</v>
      </c>
      <c r="U394" s="10">
        <v>8.4755438922468479E-2</v>
      </c>
      <c r="V394" s="10">
        <v>1.251888022747035</v>
      </c>
    </row>
    <row r="395" spans="1:22" x14ac:dyDescent="0.3">
      <c r="A395" s="10" t="s">
        <v>138</v>
      </c>
      <c r="B395" s="10">
        <v>2024</v>
      </c>
      <c r="C395" s="10">
        <v>11443867</v>
      </c>
      <c r="D395" s="10">
        <v>1307943</v>
      </c>
      <c r="E395" s="10">
        <v>156223047</v>
      </c>
      <c r="F395" s="10">
        <v>56919296</v>
      </c>
      <c r="G395" s="10">
        <v>41065424</v>
      </c>
      <c r="H395" s="10">
        <v>21342213</v>
      </c>
      <c r="I395" s="10">
        <v>115156466</v>
      </c>
      <c r="J395" s="10">
        <v>50685923</v>
      </c>
      <c r="K395" s="10">
        <v>35577083</v>
      </c>
      <c r="L395" s="10"/>
      <c r="M395" s="10">
        <v>122856510</v>
      </c>
      <c r="N395" s="10">
        <v>7962676</v>
      </c>
      <c r="O395" s="10">
        <v>19600000</v>
      </c>
      <c r="P395" s="10">
        <v>5.988312807264073</v>
      </c>
      <c r="Q395" s="10">
        <v>0</v>
      </c>
      <c r="R395" s="10" t="s">
        <v>238</v>
      </c>
      <c r="S395" s="10">
        <v>0.22773261489388311</v>
      </c>
      <c r="T395" s="10">
        <v>0.32444587385368312</v>
      </c>
      <c r="U395" s="10">
        <v>7.3253384950301217E-2</v>
      </c>
      <c r="V395" s="10">
        <v>2.8042195789820652</v>
      </c>
    </row>
    <row r="396" spans="1:22" x14ac:dyDescent="0.3">
      <c r="A396" s="10" t="s">
        <v>138</v>
      </c>
      <c r="B396" s="10">
        <v>2023</v>
      </c>
      <c r="C396" s="10">
        <v>15700366</v>
      </c>
      <c r="D396" s="10">
        <v>1384525</v>
      </c>
      <c r="E396" s="10">
        <v>152134921</v>
      </c>
      <c r="F396" s="10">
        <v>55771982</v>
      </c>
      <c r="G396" s="10">
        <v>43261335</v>
      </c>
      <c r="H396" s="10">
        <v>18538709</v>
      </c>
      <c r="I396" s="10">
        <v>108870510</v>
      </c>
      <c r="J396" s="10">
        <v>44624367</v>
      </c>
      <c r="K396" s="10">
        <v>37233273</v>
      </c>
      <c r="L396" s="10"/>
      <c r="M396" s="10">
        <v>126588110</v>
      </c>
      <c r="N396" s="10">
        <v>11169775</v>
      </c>
      <c r="O396" s="10">
        <v>23692982</v>
      </c>
      <c r="P396" s="10">
        <v>5.8976234682694741</v>
      </c>
      <c r="Q396" s="10">
        <v>0</v>
      </c>
      <c r="R396" s="10" t="s">
        <v>238</v>
      </c>
      <c r="S396" s="10">
        <v>0.24473850418603099</v>
      </c>
      <c r="T396" s="10">
        <v>0.29332099893094238</v>
      </c>
      <c r="U396" s="10">
        <v>0.1032002770751102</v>
      </c>
      <c r="V396" s="10">
        <v>2.5165776784280931</v>
      </c>
    </row>
    <row r="397" spans="1:22" x14ac:dyDescent="0.3">
      <c r="A397" s="10" t="s">
        <v>138</v>
      </c>
      <c r="B397" s="10">
        <v>2022</v>
      </c>
      <c r="C397" s="10">
        <v>15509778</v>
      </c>
      <c r="D397" s="10">
        <v>1309300</v>
      </c>
      <c r="E397" s="10">
        <v>147616234</v>
      </c>
      <c r="F397" s="10">
        <v>51150736</v>
      </c>
      <c r="G397" s="10">
        <v>47945353</v>
      </c>
      <c r="H397" s="10">
        <v>21976460</v>
      </c>
      <c r="I397" s="10">
        <v>99666348</v>
      </c>
      <c r="J397" s="10">
        <v>35618171</v>
      </c>
      <c r="K397" s="10">
        <v>29174276</v>
      </c>
      <c r="L397" s="10"/>
      <c r="M397" s="10">
        <v>141013357</v>
      </c>
      <c r="N397" s="10">
        <v>9925334</v>
      </c>
      <c r="O397" s="10">
        <v>23596782</v>
      </c>
      <c r="P397" s="10">
        <v>4.9718388601111627</v>
      </c>
      <c r="Q397" s="10">
        <v>0</v>
      </c>
      <c r="R397" s="10" t="s">
        <v>238</v>
      </c>
      <c r="S397" s="10">
        <v>0.19763595919944679</v>
      </c>
      <c r="T397" s="10">
        <v>0.24128898316156741</v>
      </c>
      <c r="U397" s="10">
        <v>0.10506824066518319</v>
      </c>
      <c r="V397" s="10">
        <v>2.0787488622724291</v>
      </c>
    </row>
    <row r="398" spans="1:22" x14ac:dyDescent="0.3">
      <c r="A398" s="10" t="s">
        <v>139</v>
      </c>
      <c r="B398" s="10">
        <v>2023</v>
      </c>
      <c r="C398" s="10">
        <v>2546608134</v>
      </c>
      <c r="D398" s="10">
        <v>85794559695</v>
      </c>
      <c r="E398" s="10">
        <v>1527269430976</v>
      </c>
      <c r="F398" s="10">
        <v>574524656536</v>
      </c>
      <c r="G398" s="10">
        <v>1170209726997</v>
      </c>
      <c r="H398" s="10">
        <v>299751448079</v>
      </c>
      <c r="I398" s="10">
        <v>356833920095</v>
      </c>
      <c r="J398" s="10">
        <v>285447450375</v>
      </c>
      <c r="K398" s="10">
        <v>274773208457</v>
      </c>
      <c r="L398" s="10"/>
      <c r="M398" s="10">
        <v>702067615605</v>
      </c>
      <c r="N398" s="10">
        <v>-85220974920</v>
      </c>
      <c r="O398" s="10">
        <v>986991282918</v>
      </c>
      <c r="P398" s="10">
        <v>2.1208978701199772</v>
      </c>
      <c r="Q398" s="10">
        <v>0</v>
      </c>
      <c r="R398" s="10" t="s">
        <v>239</v>
      </c>
      <c r="S398" s="10">
        <v>0.17991141764777319</v>
      </c>
      <c r="T398" s="10">
        <v>0.18690051970239799</v>
      </c>
      <c r="U398" s="10">
        <v>1.667425591287185E-3</v>
      </c>
      <c r="V398" s="10">
        <v>0.30493159633077882</v>
      </c>
    </row>
    <row r="399" spans="1:22" x14ac:dyDescent="0.3">
      <c r="A399" s="10" t="s">
        <v>139</v>
      </c>
      <c r="B399" s="10">
        <v>2022</v>
      </c>
      <c r="C399" s="10">
        <v>342538677269</v>
      </c>
      <c r="D399" s="10">
        <v>79458576166</v>
      </c>
      <c r="E399" s="10">
        <v>1523040496480</v>
      </c>
      <c r="F399" s="10">
        <v>543464329954</v>
      </c>
      <c r="G399" s="10">
        <v>1080683009240</v>
      </c>
      <c r="H399" s="10">
        <v>299860211385</v>
      </c>
      <c r="I399" s="10">
        <v>442126276783</v>
      </c>
      <c r="J399" s="10">
        <v>370668425295</v>
      </c>
      <c r="K399" s="10">
        <v>243604118569</v>
      </c>
      <c r="L399" s="10"/>
      <c r="M399" s="10">
        <v>715425027099</v>
      </c>
      <c r="N399" s="10">
        <v>275241310307</v>
      </c>
      <c r="O399" s="10">
        <v>910038027610</v>
      </c>
      <c r="P399" s="10">
        <v>3.78357606045022</v>
      </c>
      <c r="Q399" s="10">
        <v>0</v>
      </c>
      <c r="R399" s="10" t="s">
        <v>238</v>
      </c>
      <c r="S399" s="10">
        <v>0.15994592338943689</v>
      </c>
      <c r="T399" s="10">
        <v>0.24337397866417629</v>
      </c>
      <c r="U399" s="10">
        <v>0.22490451045829959</v>
      </c>
      <c r="V399" s="10">
        <v>0.40911744980050102</v>
      </c>
    </row>
    <row r="400" spans="1:22" x14ac:dyDescent="0.3">
      <c r="A400" s="10" t="s">
        <v>141</v>
      </c>
      <c r="B400" s="10">
        <v>2025</v>
      </c>
      <c r="C400" s="10">
        <v>91718736374</v>
      </c>
      <c r="D400" s="10">
        <v>37734764212</v>
      </c>
      <c r="E400" s="10">
        <v>809763148771</v>
      </c>
      <c r="F400" s="10">
        <v>701595768840</v>
      </c>
      <c r="G400" s="10">
        <v>504420026551</v>
      </c>
      <c r="H400" s="10">
        <v>476725772265</v>
      </c>
      <c r="I400" s="10">
        <v>304648401158</v>
      </c>
      <c r="J400" s="10">
        <v>39031444854</v>
      </c>
      <c r="K400" s="10">
        <v>224869996575</v>
      </c>
      <c r="L400" s="10"/>
      <c r="M400" s="10">
        <v>635168976387</v>
      </c>
      <c r="N400" s="10">
        <v>43064013760</v>
      </c>
      <c r="O400" s="10">
        <v>490044996643</v>
      </c>
      <c r="P400" s="10">
        <v>3.3741415555901768</v>
      </c>
      <c r="Q400" s="10">
        <v>0</v>
      </c>
      <c r="R400" s="10" t="s">
        <v>238</v>
      </c>
      <c r="S400" s="10">
        <v>0.27769848123650898</v>
      </c>
      <c r="T400" s="10">
        <v>4.8201063376666513E-2</v>
      </c>
      <c r="U400" s="10">
        <v>0.11326612789579781</v>
      </c>
      <c r="V400" s="10">
        <v>0.60395778343903272</v>
      </c>
    </row>
    <row r="401" spans="1:22" x14ac:dyDescent="0.3">
      <c r="A401" s="10" t="s">
        <v>142</v>
      </c>
      <c r="B401" s="10">
        <v>2025</v>
      </c>
      <c r="C401" s="10">
        <v>394294062399</v>
      </c>
      <c r="D401" s="10">
        <v>61061391351</v>
      </c>
      <c r="E401" s="10">
        <v>3537708507669</v>
      </c>
      <c r="F401" s="10">
        <v>968438657330</v>
      </c>
      <c r="G401" s="10">
        <v>1492743472483</v>
      </c>
      <c r="H401" s="10">
        <v>704948625479</v>
      </c>
      <c r="I401" s="10">
        <v>2040989438254</v>
      </c>
      <c r="J401" s="10">
        <v>1128063479618</v>
      </c>
      <c r="K401" s="10">
        <v>263490031851</v>
      </c>
      <c r="L401" s="10"/>
      <c r="M401" s="10">
        <v>3757615147215</v>
      </c>
      <c r="N401" s="10">
        <v>258516403560</v>
      </c>
      <c r="O401" s="10">
        <v>639192267360</v>
      </c>
      <c r="P401" s="10">
        <v>3.7127156114075341</v>
      </c>
      <c r="Q401" s="10">
        <v>0</v>
      </c>
      <c r="R401" s="10" t="s">
        <v>238</v>
      </c>
      <c r="S401" s="10">
        <v>7.4480424625095493E-2</v>
      </c>
      <c r="T401" s="10">
        <v>0.31886840794616012</v>
      </c>
      <c r="U401" s="10">
        <v>0.11145464968192099</v>
      </c>
      <c r="V401" s="10">
        <v>1.3672740667618251</v>
      </c>
    </row>
    <row r="402" spans="1:22" x14ac:dyDescent="0.3">
      <c r="A402" s="10" t="s">
        <v>142</v>
      </c>
      <c r="B402" s="10">
        <v>2024</v>
      </c>
      <c r="C402" s="10">
        <v>531831052967</v>
      </c>
      <c r="D402" s="10">
        <v>62886056759</v>
      </c>
      <c r="E402" s="10">
        <v>3746346988767</v>
      </c>
      <c r="F402" s="10">
        <v>1044136874729</v>
      </c>
      <c r="G402" s="10">
        <v>1438191795263</v>
      </c>
      <c r="H402" s="10">
        <v>610720198188</v>
      </c>
      <c r="I402" s="10">
        <v>2302361184539</v>
      </c>
      <c r="J402" s="10">
        <v>1329667659858</v>
      </c>
      <c r="K402" s="10">
        <v>433416676541</v>
      </c>
      <c r="L402" s="10"/>
      <c r="M402" s="10">
        <v>3932169542456</v>
      </c>
      <c r="N402" s="10">
        <v>362565606268</v>
      </c>
      <c r="O402" s="10">
        <v>623098035500</v>
      </c>
      <c r="P402" s="10">
        <v>4.5508673820212149</v>
      </c>
      <c r="Q402" s="10">
        <v>0</v>
      </c>
      <c r="R402" s="10" t="s">
        <v>238</v>
      </c>
      <c r="S402" s="10">
        <v>0.1156904787091402</v>
      </c>
      <c r="T402" s="10">
        <v>0.35492378678346098</v>
      </c>
      <c r="U402" s="10">
        <v>0.14195990242271619</v>
      </c>
      <c r="V402" s="10">
        <v>1.600872145232876</v>
      </c>
    </row>
    <row r="403" spans="1:22" x14ac:dyDescent="0.3">
      <c r="A403" s="10" t="s">
        <v>142</v>
      </c>
      <c r="B403" s="10">
        <v>2023</v>
      </c>
      <c r="C403" s="10">
        <v>488859656276</v>
      </c>
      <c r="D403" s="10">
        <v>60868971013</v>
      </c>
      <c r="E403" s="10">
        <v>3943518425042</v>
      </c>
      <c r="F403" s="10">
        <v>1164940801635</v>
      </c>
      <c r="G403" s="10">
        <v>1550086849761</v>
      </c>
      <c r="H403" s="10">
        <v>669095049839</v>
      </c>
      <c r="I403" s="10">
        <v>2393347658528</v>
      </c>
      <c r="J403" s="10">
        <v>1408800907546</v>
      </c>
      <c r="K403" s="10">
        <v>495845751796</v>
      </c>
      <c r="L403" s="10"/>
      <c r="M403" s="10">
        <v>3820532634926</v>
      </c>
      <c r="N403" s="10">
        <v>333291088862</v>
      </c>
      <c r="O403" s="10">
        <v>636842263914</v>
      </c>
      <c r="P403" s="10">
        <v>4.4437079763575502</v>
      </c>
      <c r="Q403" s="10">
        <v>0</v>
      </c>
      <c r="R403" s="10" t="s">
        <v>238</v>
      </c>
      <c r="S403" s="10">
        <v>0.1257368923769436</v>
      </c>
      <c r="T403" s="10">
        <v>0.357244662177785</v>
      </c>
      <c r="U403" s="10">
        <v>0.123965353672918</v>
      </c>
      <c r="V403" s="10">
        <v>1.544008749507821</v>
      </c>
    </row>
    <row r="404" spans="1:22" x14ac:dyDescent="0.3">
      <c r="A404" s="10" t="s">
        <v>142</v>
      </c>
      <c r="B404" s="10">
        <v>2022</v>
      </c>
      <c r="C404" s="10">
        <v>623239351423</v>
      </c>
      <c r="D404" s="10">
        <v>50456631438</v>
      </c>
      <c r="E404" s="10">
        <v>4130321616083</v>
      </c>
      <c r="F404" s="10">
        <v>1285672230703</v>
      </c>
      <c r="G404" s="10">
        <v>1449163077319</v>
      </c>
      <c r="H404" s="10">
        <v>612417576293</v>
      </c>
      <c r="I404" s="10">
        <v>2681083954112</v>
      </c>
      <c r="J404" s="10">
        <v>1698537203130</v>
      </c>
      <c r="K404" s="10">
        <v>673254654410</v>
      </c>
      <c r="L404" s="10"/>
      <c r="M404" s="10">
        <v>3935182048668</v>
      </c>
      <c r="N404" s="10">
        <v>432220344060</v>
      </c>
      <c r="O404" s="10">
        <v>533968178507</v>
      </c>
      <c r="P404" s="10">
        <v>5.3665302287131684</v>
      </c>
      <c r="Q404" s="10">
        <v>0</v>
      </c>
      <c r="R404" s="10" t="s">
        <v>238</v>
      </c>
      <c r="S404" s="10">
        <v>0.16300296126781591</v>
      </c>
      <c r="T404" s="10">
        <v>0.41123606367990578</v>
      </c>
      <c r="U404" s="10">
        <v>0.15089366140306781</v>
      </c>
      <c r="V404" s="10">
        <v>1.850091267210654</v>
      </c>
    </row>
    <row r="405" spans="1:22" x14ac:dyDescent="0.3">
      <c r="A405" s="10" t="s">
        <v>143</v>
      </c>
      <c r="B405" s="10">
        <v>2025</v>
      </c>
      <c r="C405" s="10">
        <v>409781602479</v>
      </c>
      <c r="D405" s="10">
        <v>67455617436</v>
      </c>
      <c r="E405" s="10">
        <v>3175190969502</v>
      </c>
      <c r="F405" s="10">
        <v>2314965996051</v>
      </c>
      <c r="G405" s="10">
        <v>1286836932562</v>
      </c>
      <c r="H405" s="10">
        <v>1171514604203</v>
      </c>
      <c r="I405" s="10">
        <v>1831339209665</v>
      </c>
      <c r="J405" s="10">
        <v>961184244025</v>
      </c>
      <c r="K405" s="10">
        <v>1143451391848</v>
      </c>
      <c r="L405" s="10"/>
      <c r="M405" s="10">
        <v>4074971418788</v>
      </c>
      <c r="N405" s="10">
        <v>255420935727</v>
      </c>
      <c r="O405" s="10">
        <v>773657213907</v>
      </c>
      <c r="P405" s="10">
        <v>5.7108019622813888</v>
      </c>
      <c r="Q405" s="10">
        <v>0</v>
      </c>
      <c r="R405" s="10" t="s">
        <v>238</v>
      </c>
      <c r="S405" s="10">
        <v>0.36012051017748392</v>
      </c>
      <c r="T405" s="10">
        <v>0.30271698718510559</v>
      </c>
      <c r="U405" s="10">
        <v>0.12905730912407781</v>
      </c>
      <c r="V405" s="10">
        <v>1.4231323047427109</v>
      </c>
    </row>
    <row r="406" spans="1:22" x14ac:dyDescent="0.3">
      <c r="A406" s="10" t="s">
        <v>143</v>
      </c>
      <c r="B406" s="10">
        <v>2024</v>
      </c>
      <c r="C406" s="10">
        <v>589961891500</v>
      </c>
      <c r="D406" s="10">
        <v>81501198398</v>
      </c>
      <c r="E406" s="10">
        <v>2788361965167</v>
      </c>
      <c r="F406" s="10">
        <v>2220463310236</v>
      </c>
      <c r="G406" s="10">
        <v>1226413768688</v>
      </c>
      <c r="H406" s="10">
        <v>1085747755077</v>
      </c>
      <c r="I406" s="10">
        <v>1506837694396</v>
      </c>
      <c r="J406" s="10">
        <v>900513308298</v>
      </c>
      <c r="K406" s="10">
        <v>1134715555159</v>
      </c>
      <c r="L406" s="10"/>
      <c r="M406" s="10">
        <v>4797559081178</v>
      </c>
      <c r="N406" s="10">
        <v>378864743920</v>
      </c>
      <c r="O406" s="10">
        <v>773149416098</v>
      </c>
      <c r="P406" s="10">
        <v>6.4343076984211169</v>
      </c>
      <c r="Q406" s="10">
        <v>0</v>
      </c>
      <c r="R406" s="10" t="s">
        <v>238</v>
      </c>
      <c r="S406" s="10">
        <v>0.40694700664195871</v>
      </c>
      <c r="T406" s="10">
        <v>0.32295423605237228</v>
      </c>
      <c r="U406" s="10">
        <v>0.2115800957228543</v>
      </c>
      <c r="V406" s="10">
        <v>1.228653601963384</v>
      </c>
    </row>
    <row r="407" spans="1:22" x14ac:dyDescent="0.3">
      <c r="A407" s="10" t="s">
        <v>143</v>
      </c>
      <c r="B407" s="10">
        <v>2023</v>
      </c>
      <c r="C407" s="10">
        <v>602743148570</v>
      </c>
      <c r="D407" s="10">
        <v>65777807501</v>
      </c>
      <c r="E407" s="10">
        <v>2793664505857</v>
      </c>
      <c r="F407" s="10">
        <v>2379889872284</v>
      </c>
      <c r="G407" s="10">
        <v>1413587710511</v>
      </c>
      <c r="H407" s="10">
        <v>1354566277107</v>
      </c>
      <c r="I407" s="10">
        <v>1336422827024</v>
      </c>
      <c r="J407" s="10">
        <v>741773564378</v>
      </c>
      <c r="K407" s="10">
        <v>1025323595177</v>
      </c>
      <c r="L407" s="10"/>
      <c r="M407" s="10">
        <v>4463507984781</v>
      </c>
      <c r="N407" s="10">
        <v>406351639859</v>
      </c>
      <c r="O407" s="10">
        <v>785751159720</v>
      </c>
      <c r="P407" s="10">
        <v>5.7157760935308346</v>
      </c>
      <c r="Q407" s="10">
        <v>0</v>
      </c>
      <c r="R407" s="10" t="s">
        <v>238</v>
      </c>
      <c r="S407" s="10">
        <v>0.36701744000662168</v>
      </c>
      <c r="T407" s="10">
        <v>0.26551991580336498</v>
      </c>
      <c r="U407" s="10">
        <v>0.21575359077882519</v>
      </c>
      <c r="V407" s="10">
        <v>0.94541203003306706</v>
      </c>
    </row>
    <row r="408" spans="1:22" x14ac:dyDescent="0.3">
      <c r="A408" s="10" t="s">
        <v>143</v>
      </c>
      <c r="B408" s="10">
        <v>2022</v>
      </c>
      <c r="C408" s="10">
        <v>510310478245</v>
      </c>
      <c r="D408" s="10">
        <v>68763067629</v>
      </c>
      <c r="E408" s="10">
        <v>3097781579099</v>
      </c>
      <c r="F408" s="10">
        <v>2678284003472</v>
      </c>
      <c r="G408" s="10">
        <v>1977461409047</v>
      </c>
      <c r="H408" s="10">
        <v>1929970523411</v>
      </c>
      <c r="I408" s="10">
        <v>1084449124733</v>
      </c>
      <c r="J408" s="10">
        <v>489171924519</v>
      </c>
      <c r="K408" s="10">
        <v>748313480061</v>
      </c>
      <c r="L408" s="10"/>
      <c r="M408" s="10">
        <v>3689403867254</v>
      </c>
      <c r="N408" s="10">
        <v>334149305747</v>
      </c>
      <c r="O408" s="10">
        <v>828693888168</v>
      </c>
      <c r="P408" s="10">
        <v>3.78228835191545</v>
      </c>
      <c r="Q408" s="10">
        <v>0</v>
      </c>
      <c r="R408" s="10" t="s">
        <v>238</v>
      </c>
      <c r="S408" s="10">
        <v>0.2415643133492483</v>
      </c>
      <c r="T408" s="10">
        <v>0.15791039878972921</v>
      </c>
      <c r="U408" s="10">
        <v>0.16473417031339749</v>
      </c>
      <c r="V408" s="10">
        <v>0.54840469693698335</v>
      </c>
    </row>
    <row r="409" spans="1:22" x14ac:dyDescent="0.3">
      <c r="A409" s="10" t="s">
        <v>144</v>
      </c>
      <c r="B409" s="10">
        <v>2025</v>
      </c>
      <c r="C409" s="10">
        <v>369891956527</v>
      </c>
      <c r="D409" s="10"/>
      <c r="E409" s="10">
        <v>5878655192185</v>
      </c>
      <c r="F409" s="10">
        <v>2429191044493</v>
      </c>
      <c r="G409" s="10">
        <v>258292339197</v>
      </c>
      <c r="H409" s="10">
        <v>208062008695</v>
      </c>
      <c r="I409" s="10">
        <v>5613179907269</v>
      </c>
      <c r="J409" s="10">
        <v>2542198890112</v>
      </c>
      <c r="K409" s="10">
        <v>2221129035798</v>
      </c>
      <c r="L409" s="10"/>
      <c r="M409" s="10">
        <v>7420053450826</v>
      </c>
      <c r="N409" s="10">
        <v>313055053493</v>
      </c>
      <c r="O409" s="10"/>
      <c r="P409" s="10">
        <v>27.129645633507181</v>
      </c>
      <c r="Q409" s="10">
        <v>0</v>
      </c>
      <c r="R409" s="10" t="s">
        <v>238</v>
      </c>
      <c r="S409" s="10">
        <v>0.37782944622279208</v>
      </c>
      <c r="T409" s="10">
        <v>0.43244565415089542</v>
      </c>
      <c r="U409" s="10">
        <v>6.2921185957415748E-2</v>
      </c>
      <c r="V409" s="10">
        <v>21.73188691820944</v>
      </c>
    </row>
    <row r="410" spans="1:22" x14ac:dyDescent="0.3">
      <c r="A410" s="10" t="s">
        <v>144</v>
      </c>
      <c r="B410" s="10">
        <v>2024</v>
      </c>
      <c r="C410" s="10">
        <v>346371176590</v>
      </c>
      <c r="D410" s="10"/>
      <c r="E410" s="10">
        <v>5702138963030</v>
      </c>
      <c r="F410" s="10">
        <v>2218175953025</v>
      </c>
      <c r="G410" s="10">
        <v>331653018017</v>
      </c>
      <c r="H410" s="10">
        <v>285976020771</v>
      </c>
      <c r="I410" s="10">
        <v>5381749652285</v>
      </c>
      <c r="J410" s="10">
        <v>2319377196619</v>
      </c>
      <c r="K410" s="10">
        <v>1932199932254</v>
      </c>
      <c r="L410" s="10"/>
      <c r="M410" s="10">
        <v>6939147619476</v>
      </c>
      <c r="N410" s="10">
        <v>294373699764</v>
      </c>
      <c r="O410" s="10"/>
      <c r="P410" s="10">
        <v>20.995515344585851</v>
      </c>
      <c r="Q410" s="10">
        <v>0</v>
      </c>
      <c r="R410" s="10" t="s">
        <v>238</v>
      </c>
      <c r="S410" s="10">
        <v>0.33885528654799191</v>
      </c>
      <c r="T410" s="10">
        <v>0.40675564233996331</v>
      </c>
      <c r="U410" s="10">
        <v>6.0744078465240603E-2</v>
      </c>
      <c r="V410" s="10">
        <v>16.227048631920301</v>
      </c>
    </row>
    <row r="411" spans="1:22" x14ac:dyDescent="0.3">
      <c r="A411" s="10" t="s">
        <v>144</v>
      </c>
      <c r="B411" s="10">
        <v>2023</v>
      </c>
      <c r="C411" s="10">
        <v>251751714287</v>
      </c>
      <c r="D411" s="10"/>
      <c r="E411" s="10">
        <v>5329800918271</v>
      </c>
      <c r="F411" s="10">
        <v>2080263323999</v>
      </c>
      <c r="G411" s="10">
        <v>392506174822</v>
      </c>
      <c r="H411" s="10">
        <v>350038626503</v>
      </c>
      <c r="I411" s="10">
        <v>4949069995753</v>
      </c>
      <c r="J411" s="10">
        <v>2093461685701</v>
      </c>
      <c r="K411" s="10">
        <v>1730224697496</v>
      </c>
      <c r="L411" s="10"/>
      <c r="M411" s="10">
        <v>5823016502106</v>
      </c>
      <c r="N411" s="10">
        <v>237225447058</v>
      </c>
      <c r="O411" s="10"/>
      <c r="P411" s="10">
        <v>16.966822832935829</v>
      </c>
      <c r="Q411" s="10">
        <v>0</v>
      </c>
      <c r="R411" s="10" t="s">
        <v>238</v>
      </c>
      <c r="S411" s="10">
        <v>0.32463214368188609</v>
      </c>
      <c r="T411" s="10">
        <v>0.39278421798541102</v>
      </c>
      <c r="U411" s="10">
        <v>4.7234731305624243E-2</v>
      </c>
      <c r="V411" s="10">
        <v>12.608897167025169</v>
      </c>
    </row>
    <row r="412" spans="1:22" x14ac:dyDescent="0.3">
      <c r="A412" s="10" t="s">
        <v>144</v>
      </c>
      <c r="B412" s="10">
        <v>2022</v>
      </c>
      <c r="C412" s="10">
        <v>106736747181</v>
      </c>
      <c r="D412" s="10"/>
      <c r="E412" s="10">
        <v>5128133329237</v>
      </c>
      <c r="F412" s="10">
        <v>1896185326170</v>
      </c>
      <c r="G412" s="10">
        <v>397471639920</v>
      </c>
      <c r="H412" s="10">
        <v>348948204860</v>
      </c>
      <c r="I412" s="10">
        <v>4742679107261</v>
      </c>
      <c r="J412" s="10">
        <v>1890073748643</v>
      </c>
      <c r="K412" s="10">
        <v>1547237121310</v>
      </c>
      <c r="L412" s="10"/>
      <c r="M412" s="10">
        <v>5469205561730</v>
      </c>
      <c r="N412" s="10">
        <v>106468989630</v>
      </c>
      <c r="O412" s="10"/>
      <c r="P412" s="10">
        <v>15.849385412941739</v>
      </c>
      <c r="Q412" s="10">
        <v>0</v>
      </c>
      <c r="R412" s="10" t="s">
        <v>238</v>
      </c>
      <c r="S412" s="10">
        <v>0.30171546291293649</v>
      </c>
      <c r="T412" s="10">
        <v>0.36856954125337038</v>
      </c>
      <c r="U412" s="10">
        <v>2.0813957112320449E-2</v>
      </c>
      <c r="V412" s="10">
        <v>11.93211950471628</v>
      </c>
    </row>
    <row r="413" spans="1:22" x14ac:dyDescent="0.3">
      <c r="A413" s="10" t="s">
        <v>145</v>
      </c>
      <c r="B413" s="10">
        <v>2025</v>
      </c>
      <c r="C413" s="10">
        <v>1063140000000</v>
      </c>
      <c r="D413" s="10">
        <v>168349000000</v>
      </c>
      <c r="E413" s="10">
        <v>9960538000000</v>
      </c>
      <c r="F413" s="10">
        <v>4351893000000</v>
      </c>
      <c r="G413" s="10">
        <v>4921224000000</v>
      </c>
      <c r="H413" s="10">
        <v>2243844000000</v>
      </c>
      <c r="I413" s="10">
        <v>5039314000000</v>
      </c>
      <c r="J413" s="10">
        <v>4293789000000</v>
      </c>
      <c r="K413" s="10">
        <v>2108049000000</v>
      </c>
      <c r="L413" s="10"/>
      <c r="M413" s="10">
        <v>6446671000000</v>
      </c>
      <c r="N413" s="10">
        <v>359677000000</v>
      </c>
      <c r="O413" s="10">
        <v>2996097000000</v>
      </c>
      <c r="P413" s="10">
        <v>4.5861361765604327</v>
      </c>
      <c r="Q413" s="10">
        <v>0</v>
      </c>
      <c r="R413" s="10" t="s">
        <v>238</v>
      </c>
      <c r="S413" s="10">
        <v>0.21164007406025659</v>
      </c>
      <c r="T413" s="10">
        <v>0.43108002800651929</v>
      </c>
      <c r="U413" s="10">
        <v>0.10673519844008431</v>
      </c>
      <c r="V413" s="10">
        <v>1.0239960627681239</v>
      </c>
    </row>
    <row r="414" spans="1:22" x14ac:dyDescent="0.3">
      <c r="A414" s="10" t="s">
        <v>145</v>
      </c>
      <c r="B414" s="10">
        <v>2024</v>
      </c>
      <c r="C414" s="10">
        <v>1450436000000</v>
      </c>
      <c r="D414" s="10">
        <v>170533000000</v>
      </c>
      <c r="E414" s="10">
        <v>10702351000000</v>
      </c>
      <c r="F414" s="10">
        <v>2224658000000</v>
      </c>
      <c r="G414" s="10">
        <v>4492331000000</v>
      </c>
      <c r="H414" s="10">
        <v>1760388000000</v>
      </c>
      <c r="I414" s="10">
        <v>5764412000000</v>
      </c>
      <c r="J414" s="10">
        <v>4529148000000</v>
      </c>
      <c r="K414" s="10">
        <v>464270000000</v>
      </c>
      <c r="L414" s="10"/>
      <c r="M414" s="10">
        <v>5536975000000</v>
      </c>
      <c r="N414" s="10">
        <v>748560000000</v>
      </c>
      <c r="O414" s="10">
        <v>2922405000000</v>
      </c>
      <c r="P414" s="10">
        <v>3.922233084846769</v>
      </c>
      <c r="Q414" s="10">
        <v>0</v>
      </c>
      <c r="R414" s="10" t="s">
        <v>238</v>
      </c>
      <c r="S414" s="10">
        <v>4.3380188147445362E-2</v>
      </c>
      <c r="T414" s="10">
        <v>0.42319187625223648</v>
      </c>
      <c r="U414" s="10">
        <v>0.13552498885525249</v>
      </c>
      <c r="V414" s="10">
        <v>1.283167246580895</v>
      </c>
    </row>
    <row r="415" spans="1:22" x14ac:dyDescent="0.3">
      <c r="A415" s="10" t="s">
        <v>145</v>
      </c>
      <c r="B415" s="10">
        <v>2023</v>
      </c>
      <c r="C415" s="10">
        <v>936608000000</v>
      </c>
      <c r="D415" s="10">
        <v>192303000000</v>
      </c>
      <c r="E415" s="10">
        <v>10067533000000</v>
      </c>
      <c r="F415" s="10">
        <v>1615746000000</v>
      </c>
      <c r="G415" s="10">
        <v>4555126000000</v>
      </c>
      <c r="H415" s="10">
        <v>1309773000000</v>
      </c>
      <c r="I415" s="10">
        <v>5230443000000</v>
      </c>
      <c r="J415" s="10">
        <v>3995093000000</v>
      </c>
      <c r="K415" s="10">
        <v>305973000000</v>
      </c>
      <c r="L415" s="10"/>
      <c r="M415" s="10">
        <v>5620503000000</v>
      </c>
      <c r="N415" s="10">
        <v>483712000000</v>
      </c>
      <c r="O415" s="10">
        <v>2850781000000</v>
      </c>
      <c r="P415" s="10">
        <v>3.3238812569212399</v>
      </c>
      <c r="Q415" s="10">
        <v>0</v>
      </c>
      <c r="R415" s="10" t="s">
        <v>238</v>
      </c>
      <c r="S415" s="10">
        <v>3.0392053346137531E-2</v>
      </c>
      <c r="T415" s="10">
        <v>0.39682939206655687</v>
      </c>
      <c r="U415" s="10">
        <v>9.3032523459322156E-2</v>
      </c>
      <c r="V415" s="10">
        <v>1.1482542963685309</v>
      </c>
    </row>
    <row r="416" spans="1:22" x14ac:dyDescent="0.3">
      <c r="A416" s="10" t="s">
        <v>145</v>
      </c>
      <c r="B416" s="10">
        <v>2022</v>
      </c>
      <c r="C416" s="10">
        <v>1612794000000</v>
      </c>
      <c r="D416" s="10">
        <v>208755000000</v>
      </c>
      <c r="E416" s="10">
        <v>10243238000000</v>
      </c>
      <c r="F416" s="10">
        <v>1800148000000</v>
      </c>
      <c r="G416" s="10">
        <v>5013127000000</v>
      </c>
      <c r="H416" s="10">
        <v>1360809000000</v>
      </c>
      <c r="I416" s="10">
        <v>5100895000000</v>
      </c>
      <c r="J416" s="10">
        <v>3865536000000</v>
      </c>
      <c r="K416" s="10">
        <v>439339000000</v>
      </c>
      <c r="L416" s="10"/>
      <c r="M416" s="10">
        <v>5671723000000</v>
      </c>
      <c r="N416" s="10">
        <v>1049826000000</v>
      </c>
      <c r="O416" s="10">
        <v>3107145000000</v>
      </c>
      <c r="P416" s="10">
        <v>3.638047695524588</v>
      </c>
      <c r="Q416" s="10">
        <v>0</v>
      </c>
      <c r="R416" s="10" t="s">
        <v>238</v>
      </c>
      <c r="S416" s="10">
        <v>4.2890636730299539E-2</v>
      </c>
      <c r="T416" s="10">
        <v>0.37737442008083771</v>
      </c>
      <c r="U416" s="10">
        <v>0.15744962676841051</v>
      </c>
      <c r="V416" s="10">
        <v>1.017507635453879</v>
      </c>
    </row>
    <row r="417" spans="1:22" x14ac:dyDescent="0.3">
      <c r="A417" s="10" t="s">
        <v>146</v>
      </c>
      <c r="B417" s="10">
        <v>2025</v>
      </c>
      <c r="C417" s="10">
        <v>1576048000000</v>
      </c>
      <c r="D417" s="10">
        <v>1630000000</v>
      </c>
      <c r="E417" s="10">
        <v>3681875000000</v>
      </c>
      <c r="F417" s="10">
        <v>1986717000000</v>
      </c>
      <c r="G417" s="10">
        <v>561441000000</v>
      </c>
      <c r="H417" s="10">
        <v>514644000000</v>
      </c>
      <c r="I417" s="10">
        <v>3120427000000</v>
      </c>
      <c r="J417" s="10">
        <v>945260000000</v>
      </c>
      <c r="K417" s="10">
        <v>1472073000000</v>
      </c>
      <c r="L417" s="10"/>
      <c r="M417" s="10">
        <v>4079659000000</v>
      </c>
      <c r="N417" s="10">
        <v>1229202000000</v>
      </c>
      <c r="O417" s="10">
        <v>4110000000</v>
      </c>
      <c r="P417" s="10">
        <v>12.17206339052635</v>
      </c>
      <c r="Q417" s="10">
        <v>0</v>
      </c>
      <c r="R417" s="10" t="s">
        <v>238</v>
      </c>
      <c r="S417" s="10">
        <v>0.39981612629434732</v>
      </c>
      <c r="T417" s="10">
        <v>0.25673332201663562</v>
      </c>
      <c r="U417" s="10">
        <v>0.42805581395348841</v>
      </c>
      <c r="V417" s="10">
        <v>5.5578894309464397</v>
      </c>
    </row>
    <row r="418" spans="1:22" x14ac:dyDescent="0.3">
      <c r="A418" s="10" t="s">
        <v>146</v>
      </c>
      <c r="B418" s="10">
        <v>2024</v>
      </c>
      <c r="C418" s="10">
        <v>1511438000000</v>
      </c>
      <c r="D418" s="10">
        <v>1305000000</v>
      </c>
      <c r="E418" s="10">
        <v>3939625000000</v>
      </c>
      <c r="F418" s="10">
        <v>2203551000000</v>
      </c>
      <c r="G418" s="10">
        <v>451781000000</v>
      </c>
      <c r="H418" s="10">
        <v>411316000000</v>
      </c>
      <c r="I418" s="10">
        <v>3487837000000</v>
      </c>
      <c r="J418" s="10">
        <v>1013055000000</v>
      </c>
      <c r="K418" s="10">
        <v>1792235000000</v>
      </c>
      <c r="L418" s="10"/>
      <c r="M418" s="10">
        <v>3919084000000</v>
      </c>
      <c r="N418" s="10">
        <v>1171026000000</v>
      </c>
      <c r="O418" s="10">
        <v>3300000000</v>
      </c>
      <c r="P418" s="10">
        <v>14.506935895516429</v>
      </c>
      <c r="Q418" s="10">
        <v>0</v>
      </c>
      <c r="R418" s="10" t="s">
        <v>238</v>
      </c>
      <c r="S418" s="10">
        <v>0.45492527842116948</v>
      </c>
      <c r="T418" s="10">
        <v>0.25714503283941997</v>
      </c>
      <c r="U418" s="10">
        <v>0.38365022051591202</v>
      </c>
      <c r="V418" s="10">
        <v>7.7201940763334447</v>
      </c>
    </row>
    <row r="419" spans="1:22" x14ac:dyDescent="0.3">
      <c r="A419" s="10" t="s">
        <v>146</v>
      </c>
      <c r="B419" s="10">
        <v>2023</v>
      </c>
      <c r="C419" s="10">
        <v>1220081000000</v>
      </c>
      <c r="D419" s="10">
        <v>542000000</v>
      </c>
      <c r="E419" s="10">
        <v>3890706000000</v>
      </c>
      <c r="F419" s="10">
        <v>2066770000000</v>
      </c>
      <c r="G419" s="10">
        <v>504765000000</v>
      </c>
      <c r="H419" s="10">
        <v>461979000000</v>
      </c>
      <c r="I419" s="10">
        <v>3385934000000</v>
      </c>
      <c r="J419" s="10">
        <v>911152000000</v>
      </c>
      <c r="K419" s="10">
        <v>1604791000000</v>
      </c>
      <c r="L419" s="10"/>
      <c r="M419" s="10">
        <v>3565930000000</v>
      </c>
      <c r="N419" s="10">
        <v>950648000000</v>
      </c>
      <c r="O419" s="10">
        <v>9391000000</v>
      </c>
      <c r="P419" s="10">
        <v>12.619891535182999</v>
      </c>
      <c r="Q419" s="10">
        <v>0</v>
      </c>
      <c r="R419" s="10" t="s">
        <v>238</v>
      </c>
      <c r="S419" s="10">
        <v>0.41246781432470098</v>
      </c>
      <c r="T419" s="10">
        <v>0.23418680311491019</v>
      </c>
      <c r="U419" s="10">
        <v>0.31358858777815651</v>
      </c>
      <c r="V419" s="10">
        <v>6.7079413192277597</v>
      </c>
    </row>
    <row r="420" spans="1:22" x14ac:dyDescent="0.3">
      <c r="A420" s="10" t="s">
        <v>146</v>
      </c>
      <c r="B420" s="10">
        <v>2022</v>
      </c>
      <c r="C420" s="10">
        <v>1420494000000</v>
      </c>
      <c r="D420" s="10">
        <v>642000000</v>
      </c>
      <c r="E420" s="10">
        <v>4081442000000</v>
      </c>
      <c r="F420" s="10">
        <v>2194242000000</v>
      </c>
      <c r="G420" s="10">
        <v>575967000000</v>
      </c>
      <c r="H420" s="10">
        <v>541048000000</v>
      </c>
      <c r="I420" s="10">
        <v>3505468000000</v>
      </c>
      <c r="J420" s="10">
        <v>1030686000000</v>
      </c>
      <c r="K420" s="10">
        <v>1653194000000</v>
      </c>
      <c r="L420" s="10"/>
      <c r="M420" s="10">
        <v>3865523000000</v>
      </c>
      <c r="N420" s="10">
        <v>1104714000000</v>
      </c>
      <c r="O420" s="10">
        <v>2385000000</v>
      </c>
      <c r="P420" s="10">
        <v>12.209737607697351</v>
      </c>
      <c r="Q420" s="10">
        <v>0</v>
      </c>
      <c r="R420" s="10" t="s">
        <v>238</v>
      </c>
      <c r="S420" s="10">
        <v>0.40505144995322728</v>
      </c>
      <c r="T420" s="10">
        <v>0.25252986567002539</v>
      </c>
      <c r="U420" s="10">
        <v>0.34803728682166751</v>
      </c>
      <c r="V420" s="10">
        <v>6.0862306347412263</v>
      </c>
    </row>
    <row r="421" spans="1:22" x14ac:dyDescent="0.3">
      <c r="A421" s="10" t="s">
        <v>147</v>
      </c>
      <c r="B421" s="10">
        <v>2025</v>
      </c>
      <c r="C421" s="10">
        <v>4295862000000</v>
      </c>
      <c r="D421" s="10">
        <v>558514000000</v>
      </c>
      <c r="E421" s="10">
        <v>41376385000000</v>
      </c>
      <c r="F421" s="10">
        <v>15161953000000</v>
      </c>
      <c r="G421" s="10">
        <v>14781711000000</v>
      </c>
      <c r="H421" s="10">
        <v>11898013000000</v>
      </c>
      <c r="I421" s="10">
        <v>20443837000000</v>
      </c>
      <c r="J421" s="10">
        <v>15172178000000</v>
      </c>
      <c r="K421" s="10">
        <v>3263940000000</v>
      </c>
      <c r="L421" s="10"/>
      <c r="M421" s="10">
        <v>21056904000000</v>
      </c>
      <c r="N421" s="10">
        <v>2067904000000</v>
      </c>
      <c r="O421" s="10">
        <v>9400423000000</v>
      </c>
      <c r="P421" s="10">
        <v>3.8627783546974102</v>
      </c>
      <c r="Q421" s="10">
        <v>0</v>
      </c>
      <c r="R421" s="10" t="s">
        <v>238</v>
      </c>
      <c r="S421" s="10">
        <v>7.8884126779079425E-2</v>
      </c>
      <c r="T421" s="10">
        <v>0.36668689156870521</v>
      </c>
      <c r="U421" s="10">
        <v>0.1038240049245481</v>
      </c>
      <c r="V421" s="10">
        <v>1.3830494318282911</v>
      </c>
    </row>
    <row r="422" spans="1:22" x14ac:dyDescent="0.3">
      <c r="A422" s="10" t="s">
        <v>147</v>
      </c>
      <c r="B422" s="10">
        <v>2024</v>
      </c>
      <c r="C422" s="10">
        <v>3541406000000</v>
      </c>
      <c r="D422" s="10">
        <v>556302000000</v>
      </c>
      <c r="E422" s="10">
        <v>37247829000000</v>
      </c>
      <c r="F422" s="10">
        <v>13232699000000</v>
      </c>
      <c r="G422" s="10">
        <v>13260394000000</v>
      </c>
      <c r="H422" s="10">
        <v>8769433000000</v>
      </c>
      <c r="I422" s="10">
        <v>18724382000000</v>
      </c>
      <c r="J422" s="10">
        <v>13457619000000</v>
      </c>
      <c r="K422" s="10">
        <v>4463266000000</v>
      </c>
      <c r="L422" s="10"/>
      <c r="M422" s="10">
        <v>15967804000000</v>
      </c>
      <c r="N422" s="10">
        <v>1549914000000</v>
      </c>
      <c r="O422" s="10">
        <v>7874433000000</v>
      </c>
      <c r="P422" s="10">
        <v>4.0854682780347389</v>
      </c>
      <c r="Q422" s="10">
        <v>0</v>
      </c>
      <c r="R422" s="10" t="s">
        <v>238</v>
      </c>
      <c r="S422" s="10">
        <v>0.1198262051729243</v>
      </c>
      <c r="T422" s="10">
        <v>0.3612994196252351</v>
      </c>
      <c r="U422" s="10">
        <v>9.507684327051652E-2</v>
      </c>
      <c r="V422" s="10">
        <v>1.4120532165183031</v>
      </c>
    </row>
    <row r="423" spans="1:22" x14ac:dyDescent="0.3">
      <c r="A423" s="10" t="s">
        <v>147</v>
      </c>
      <c r="B423" s="10">
        <v>2023</v>
      </c>
      <c r="C423" s="10">
        <v>2099229000000</v>
      </c>
      <c r="D423" s="10">
        <v>611540000000</v>
      </c>
      <c r="E423" s="10">
        <v>35012351000000</v>
      </c>
      <c r="F423" s="10">
        <v>9896897000000</v>
      </c>
      <c r="G423" s="10">
        <v>13291426000000</v>
      </c>
      <c r="H423" s="10">
        <v>9411112000000</v>
      </c>
      <c r="I423" s="10">
        <v>17336832000000</v>
      </c>
      <c r="J423" s="10">
        <v>12075071000000</v>
      </c>
      <c r="K423" s="10">
        <v>485785000000</v>
      </c>
      <c r="L423" s="10"/>
      <c r="M423" s="10">
        <v>16002643000000</v>
      </c>
      <c r="N423" s="10">
        <v>736417000000</v>
      </c>
      <c r="O423" s="10">
        <v>7926587000000</v>
      </c>
      <c r="P423" s="10">
        <v>2.9878176957938289</v>
      </c>
      <c r="Q423" s="10">
        <v>0</v>
      </c>
      <c r="R423" s="10" t="s">
        <v>238</v>
      </c>
      <c r="S423" s="10">
        <v>1.3874675253883979E-2</v>
      </c>
      <c r="T423" s="10">
        <v>0.34488032523151618</v>
      </c>
      <c r="U423" s="10">
        <v>5.9956813525604148E-2</v>
      </c>
      <c r="V423" s="10">
        <v>1.3043620752205221</v>
      </c>
    </row>
    <row r="424" spans="1:22" x14ac:dyDescent="0.3">
      <c r="A424" s="10" t="s">
        <v>147</v>
      </c>
      <c r="B424" s="10">
        <v>2022</v>
      </c>
      <c r="C424" s="10">
        <v>3007814000000</v>
      </c>
      <c r="D424" s="10">
        <v>610828000000</v>
      </c>
      <c r="E424" s="10">
        <v>36113081000000</v>
      </c>
      <c r="F424" s="10">
        <v>10442878000000</v>
      </c>
      <c r="G424" s="10">
        <v>14945799000000</v>
      </c>
      <c r="H424" s="10">
        <v>9460845000000</v>
      </c>
      <c r="I424" s="10">
        <v>16832316000000</v>
      </c>
      <c r="J424" s="10">
        <v>11575536000000</v>
      </c>
      <c r="K424" s="10">
        <v>982033000000</v>
      </c>
      <c r="L424" s="10"/>
      <c r="M424" s="10">
        <v>17794246000000</v>
      </c>
      <c r="N424" s="10">
        <v>1198367000000</v>
      </c>
      <c r="O424" s="10">
        <v>8701576000000</v>
      </c>
      <c r="P424" s="10">
        <v>2.9655702733772169</v>
      </c>
      <c r="Q424" s="10">
        <v>0</v>
      </c>
      <c r="R424" s="10" t="s">
        <v>238</v>
      </c>
      <c r="S424" s="10">
        <v>2.7193276585844341E-2</v>
      </c>
      <c r="T424" s="10">
        <v>0.32053581913988449</v>
      </c>
      <c r="U424" s="10">
        <v>8.3288767302906117E-2</v>
      </c>
      <c r="V424" s="10">
        <v>1.1262238974309771</v>
      </c>
    </row>
    <row r="425" spans="1:22" x14ac:dyDescent="0.3">
      <c r="A425" s="10" t="s">
        <v>148</v>
      </c>
      <c r="B425" s="10">
        <v>2022</v>
      </c>
      <c r="C425" s="10">
        <v>21481028392</v>
      </c>
      <c r="D425" s="10">
        <v>6633527072</v>
      </c>
      <c r="E425" s="10">
        <v>563818753191</v>
      </c>
      <c r="F425" s="10">
        <v>142091124989</v>
      </c>
      <c r="G425" s="10">
        <v>283587154073</v>
      </c>
      <c r="H425" s="10">
        <v>119891311041</v>
      </c>
      <c r="I425" s="10">
        <v>264997410457</v>
      </c>
      <c r="J425" s="10">
        <v>7814494356</v>
      </c>
      <c r="K425" s="10">
        <v>22199813948</v>
      </c>
      <c r="L425" s="10"/>
      <c r="M425" s="10">
        <v>413645245865</v>
      </c>
      <c r="N425" s="10">
        <v>4989306638</v>
      </c>
      <c r="O425" s="10">
        <v>67927416275</v>
      </c>
      <c r="P425" s="10">
        <v>1.540673715121933</v>
      </c>
      <c r="Q425" s="10">
        <v>0</v>
      </c>
      <c r="R425" s="10" t="s">
        <v>239</v>
      </c>
      <c r="S425" s="10">
        <v>3.9374025468925052E-2</v>
      </c>
      <c r="T425" s="10">
        <v>1.385994047160179E-2</v>
      </c>
      <c r="U425" s="10">
        <v>3.8099173307779392E-2</v>
      </c>
      <c r="V425" s="10">
        <v>0.93444786426674775</v>
      </c>
    </row>
    <row r="426" spans="1:22" x14ac:dyDescent="0.3">
      <c r="A426" s="10" t="s">
        <v>150</v>
      </c>
      <c r="B426" s="10">
        <v>2025</v>
      </c>
      <c r="C426" s="10">
        <v>145743060535</v>
      </c>
      <c r="D426" s="10">
        <v>45542652993</v>
      </c>
      <c r="E426" s="10">
        <v>2323482396543</v>
      </c>
      <c r="F426" s="10">
        <v>1574892735136</v>
      </c>
      <c r="G426" s="10">
        <v>1267759966132</v>
      </c>
      <c r="H426" s="10">
        <v>1163257222596</v>
      </c>
      <c r="I426" s="10">
        <v>997275972041</v>
      </c>
      <c r="J426" s="10">
        <v>331657081014</v>
      </c>
      <c r="K426" s="10">
        <v>411635512540</v>
      </c>
      <c r="L426" s="10"/>
      <c r="M426" s="10">
        <v>3013683622195</v>
      </c>
      <c r="N426" s="10">
        <v>69545985208</v>
      </c>
      <c r="O426" s="10">
        <v>654026486594</v>
      </c>
      <c r="P426" s="10">
        <v>2.8750232715489998</v>
      </c>
      <c r="Q426" s="10">
        <v>0</v>
      </c>
      <c r="R426" s="10" t="s">
        <v>238</v>
      </c>
      <c r="S426" s="10">
        <v>0.17716317246580091</v>
      </c>
      <c r="T426" s="10">
        <v>0.14274137884903151</v>
      </c>
      <c r="U426" s="10">
        <v>6.2726130721646192E-2</v>
      </c>
      <c r="V426" s="10">
        <v>0.78664415873908655</v>
      </c>
    </row>
    <row r="427" spans="1:22" x14ac:dyDescent="0.3">
      <c r="A427" s="10" t="s">
        <v>150</v>
      </c>
      <c r="B427" s="10">
        <v>2024</v>
      </c>
      <c r="C427" s="10">
        <v>-61248464760</v>
      </c>
      <c r="D427" s="10">
        <v>41950282519</v>
      </c>
      <c r="E427" s="10">
        <v>1841387615106</v>
      </c>
      <c r="F427" s="10">
        <v>1068708952564</v>
      </c>
      <c r="G427" s="10">
        <v>852908675358</v>
      </c>
      <c r="H427" s="10">
        <v>753716763605</v>
      </c>
      <c r="I427" s="10">
        <v>925859571874</v>
      </c>
      <c r="J427" s="10">
        <v>260240374546</v>
      </c>
      <c r="K427" s="10">
        <v>314992188959</v>
      </c>
      <c r="L427" s="10"/>
      <c r="M427" s="10">
        <v>2269370863582</v>
      </c>
      <c r="N427" s="10">
        <v>-75222579818</v>
      </c>
      <c r="O427" s="10">
        <v>555081474394</v>
      </c>
      <c r="P427" s="10">
        <v>2.4991869713386761</v>
      </c>
      <c r="Q427" s="10">
        <v>0</v>
      </c>
      <c r="R427" s="10" t="s">
        <v>239</v>
      </c>
      <c r="S427" s="10">
        <v>0.1710624022747472</v>
      </c>
      <c r="T427" s="10">
        <v>0.14132840495455329</v>
      </c>
      <c r="U427" s="10">
        <v>-3.3262124854942191E-2</v>
      </c>
      <c r="V427" s="10">
        <v>1.0855318964663829</v>
      </c>
    </row>
    <row r="428" spans="1:22" x14ac:dyDescent="0.3">
      <c r="A428" s="10" t="s">
        <v>150</v>
      </c>
      <c r="B428" s="10">
        <v>2023</v>
      </c>
      <c r="C428" s="10">
        <v>58338871684</v>
      </c>
      <c r="D428" s="10">
        <v>46392861761</v>
      </c>
      <c r="E428" s="10">
        <v>1839622473747</v>
      </c>
      <c r="F428" s="10">
        <v>1073290266264</v>
      </c>
      <c r="G428" s="10">
        <v>772343255862</v>
      </c>
      <c r="H428" s="10">
        <v>685194518888</v>
      </c>
      <c r="I428" s="10">
        <v>998211077919</v>
      </c>
      <c r="J428" s="10">
        <v>331450310066</v>
      </c>
      <c r="K428" s="10">
        <v>388095747376</v>
      </c>
      <c r="L428" s="10"/>
      <c r="M428" s="10">
        <v>2839561359367</v>
      </c>
      <c r="N428" s="10">
        <v>1496164143</v>
      </c>
      <c r="O428" s="10">
        <v>552900373691</v>
      </c>
      <c r="P428" s="10">
        <v>3.541468199139564</v>
      </c>
      <c r="Q428" s="10">
        <v>0</v>
      </c>
      <c r="R428" s="10" t="s">
        <v>238</v>
      </c>
      <c r="S428" s="10">
        <v>0.2109648870431087</v>
      </c>
      <c r="T428" s="10">
        <v>0.18017300549220391</v>
      </c>
      <c r="U428" s="10">
        <v>3.1712415192000562E-2</v>
      </c>
      <c r="V428" s="10">
        <v>1.2924448687066119</v>
      </c>
    </row>
    <row r="429" spans="1:22" x14ac:dyDescent="0.3">
      <c r="A429" s="10" t="s">
        <v>150</v>
      </c>
      <c r="B429" s="10">
        <v>2022</v>
      </c>
      <c r="C429" s="10">
        <v>157658543259</v>
      </c>
      <c r="D429" s="10">
        <v>40471029356</v>
      </c>
      <c r="E429" s="10">
        <v>2042199577083</v>
      </c>
      <c r="F429" s="10">
        <v>1263255237692</v>
      </c>
      <c r="G429" s="10">
        <v>968233866594</v>
      </c>
      <c r="H429" s="10">
        <v>875853096624</v>
      </c>
      <c r="I429" s="10">
        <v>1007768725727</v>
      </c>
      <c r="J429" s="10">
        <v>341007957874</v>
      </c>
      <c r="K429" s="10">
        <v>387402141068</v>
      </c>
      <c r="L429" s="10"/>
      <c r="M429" s="10">
        <v>3802296289773</v>
      </c>
      <c r="N429" s="10">
        <v>86221358302</v>
      </c>
      <c r="O429" s="10">
        <v>607726856207</v>
      </c>
      <c r="P429" s="10">
        <v>3.4004390824592079</v>
      </c>
      <c r="Q429" s="10">
        <v>0</v>
      </c>
      <c r="R429" s="10" t="s">
        <v>238</v>
      </c>
      <c r="S429" s="10">
        <v>0.18969847286980171</v>
      </c>
      <c r="T429" s="10">
        <v>0.16698072103270281</v>
      </c>
      <c r="U429" s="10">
        <v>7.720036035077113E-2</v>
      </c>
      <c r="V429" s="10">
        <v>1.040831931723349</v>
      </c>
    </row>
    <row r="430" spans="1:22" x14ac:dyDescent="0.3">
      <c r="A430" s="10" t="s">
        <v>151</v>
      </c>
      <c r="B430" s="10">
        <v>2025</v>
      </c>
      <c r="C430" s="10">
        <v>179675431839</v>
      </c>
      <c r="D430" s="10">
        <v>17715991169</v>
      </c>
      <c r="E430" s="10">
        <v>1799912711783</v>
      </c>
      <c r="F430" s="10">
        <v>913515235295</v>
      </c>
      <c r="G430" s="10">
        <v>815967471964</v>
      </c>
      <c r="H430" s="10">
        <v>570640316177</v>
      </c>
      <c r="I430" s="10">
        <v>766518767671</v>
      </c>
      <c r="J430" s="10">
        <v>505899291690</v>
      </c>
      <c r="K430" s="10">
        <v>342874919118</v>
      </c>
      <c r="L430" s="10"/>
      <c r="M430" s="10">
        <v>2650814989155</v>
      </c>
      <c r="N430" s="10">
        <v>115221223030</v>
      </c>
      <c r="O430" s="10">
        <v>411583410266</v>
      </c>
      <c r="P430" s="10">
        <v>3.8231228813193989</v>
      </c>
      <c r="Q430" s="10">
        <v>0</v>
      </c>
      <c r="R430" s="10" t="s">
        <v>238</v>
      </c>
      <c r="S430" s="10">
        <v>0.19049530395190489</v>
      </c>
      <c r="T430" s="10">
        <v>0.2810687920465067</v>
      </c>
      <c r="U430" s="10">
        <v>9.9824525191009331E-2</v>
      </c>
      <c r="V430" s="10">
        <v>0.93939868194257914</v>
      </c>
    </row>
    <row r="431" spans="1:22" x14ac:dyDescent="0.3">
      <c r="A431" s="10" t="s">
        <v>151</v>
      </c>
      <c r="B431" s="10">
        <v>2024</v>
      </c>
      <c r="C431" s="10">
        <v>161288787317</v>
      </c>
      <c r="D431" s="10">
        <v>9846373748</v>
      </c>
      <c r="E431" s="10">
        <v>1522025167907</v>
      </c>
      <c r="F431" s="10">
        <v>830121924354</v>
      </c>
      <c r="G431" s="10">
        <v>607398668005</v>
      </c>
      <c r="H431" s="10">
        <v>468756288013</v>
      </c>
      <c r="I431" s="10">
        <v>703537523148</v>
      </c>
      <c r="J431" s="10">
        <v>444448714667</v>
      </c>
      <c r="K431" s="10">
        <v>361365636341</v>
      </c>
      <c r="L431" s="10"/>
      <c r="M431" s="10">
        <v>2293274190663</v>
      </c>
      <c r="N431" s="10">
        <v>109707478296</v>
      </c>
      <c r="O431" s="10">
        <v>238148157996</v>
      </c>
      <c r="P431" s="10">
        <v>4.4377711435908607</v>
      </c>
      <c r="Q431" s="10">
        <v>0</v>
      </c>
      <c r="R431" s="10" t="s">
        <v>238</v>
      </c>
      <c r="S431" s="10">
        <v>0.23742421870587649</v>
      </c>
      <c r="T431" s="10">
        <v>0.29201140956044758</v>
      </c>
      <c r="U431" s="10">
        <v>0.1059698556356955</v>
      </c>
      <c r="V431" s="10">
        <v>1.1582796608013119</v>
      </c>
    </row>
    <row r="432" spans="1:22" x14ac:dyDescent="0.3">
      <c r="A432" s="10" t="s">
        <v>151</v>
      </c>
      <c r="B432" s="10">
        <v>2023</v>
      </c>
      <c r="C432" s="10">
        <v>107993834165</v>
      </c>
      <c r="D432" s="10">
        <v>10875450157</v>
      </c>
      <c r="E432" s="10">
        <v>1282739303035</v>
      </c>
      <c r="F432" s="10">
        <v>736999330347</v>
      </c>
      <c r="G432" s="10">
        <v>465795522143</v>
      </c>
      <c r="H432" s="10">
        <v>349749364269</v>
      </c>
      <c r="I432" s="10">
        <v>615708877106</v>
      </c>
      <c r="J432" s="10">
        <v>357778213425</v>
      </c>
      <c r="K432" s="10">
        <v>387249966078</v>
      </c>
      <c r="L432" s="10"/>
      <c r="M432" s="10">
        <v>1794345306509</v>
      </c>
      <c r="N432" s="10">
        <v>77849644887</v>
      </c>
      <c r="O432" s="10">
        <v>182027316973</v>
      </c>
      <c r="P432" s="10">
        <v>4.8433810485534297</v>
      </c>
      <c r="Q432" s="10">
        <v>0</v>
      </c>
      <c r="R432" s="10" t="s">
        <v>238</v>
      </c>
      <c r="S432" s="10">
        <v>0.30189296076120448</v>
      </c>
      <c r="T432" s="10">
        <v>0.27891732371377881</v>
      </c>
      <c r="U432" s="10">
        <v>8.4190009544015162E-2</v>
      </c>
      <c r="V432" s="10">
        <v>1.32184370144498</v>
      </c>
    </row>
    <row r="433" spans="1:22" x14ac:dyDescent="0.3">
      <c r="A433" s="10" t="s">
        <v>151</v>
      </c>
      <c r="B433" s="10">
        <v>2022</v>
      </c>
      <c r="C433" s="10">
        <v>99726749593</v>
      </c>
      <c r="D433" s="10">
        <v>7287213571</v>
      </c>
      <c r="E433" s="10">
        <v>1033289474829</v>
      </c>
      <c r="F433" s="10">
        <v>543799195487</v>
      </c>
      <c r="G433" s="10">
        <v>442535947408</v>
      </c>
      <c r="H433" s="10">
        <v>333670108915</v>
      </c>
      <c r="I433" s="10">
        <v>586721339522</v>
      </c>
      <c r="J433" s="10">
        <v>289975539708</v>
      </c>
      <c r="K433" s="10">
        <v>210129086572</v>
      </c>
      <c r="L433" s="10"/>
      <c r="M433" s="10">
        <v>1539310803104</v>
      </c>
      <c r="N433" s="10">
        <v>75154155539</v>
      </c>
      <c r="O433" s="10">
        <v>146938070155</v>
      </c>
      <c r="P433" s="10">
        <v>4.2895824275124692</v>
      </c>
      <c r="Q433" s="10">
        <v>0</v>
      </c>
      <c r="R433" s="10" t="s">
        <v>238</v>
      </c>
      <c r="S433" s="10">
        <v>0.20335936026714529</v>
      </c>
      <c r="T433" s="10">
        <v>0.28063340116378171</v>
      </c>
      <c r="U433" s="10">
        <v>9.6513854077052194E-2</v>
      </c>
      <c r="V433" s="10">
        <v>1.3258162256840731</v>
      </c>
    </row>
    <row r="434" spans="1:22" x14ac:dyDescent="0.3">
      <c r="A434" s="10" t="s">
        <v>152</v>
      </c>
      <c r="B434" s="10">
        <v>2025</v>
      </c>
      <c r="C434" s="10">
        <v>4330218000000</v>
      </c>
      <c r="D434" s="10">
        <v>1026440000000</v>
      </c>
      <c r="E434" s="10">
        <v>45202974000000</v>
      </c>
      <c r="F434" s="10">
        <v>22097650000000</v>
      </c>
      <c r="G434" s="10">
        <v>22767954000000</v>
      </c>
      <c r="H434" s="10">
        <v>13310197000000</v>
      </c>
      <c r="I434" s="10">
        <v>22420231000000</v>
      </c>
      <c r="J434" s="10">
        <v>19417629000000</v>
      </c>
      <c r="K434" s="10">
        <v>8787453000000</v>
      </c>
      <c r="L434" s="10"/>
      <c r="M434" s="10">
        <v>86946068000000</v>
      </c>
      <c r="N434" s="10">
        <v>2584906000000</v>
      </c>
      <c r="O434" s="10">
        <v>16417676000000</v>
      </c>
      <c r="P434" s="10">
        <v>4.3533522936427662</v>
      </c>
      <c r="Q434" s="10">
        <v>0</v>
      </c>
      <c r="R434" s="10" t="s">
        <v>238</v>
      </c>
      <c r="S434" s="10">
        <v>0.19439988616678189</v>
      </c>
      <c r="T434" s="10">
        <v>0.42956529807087468</v>
      </c>
      <c r="U434" s="10">
        <v>9.5794980215239814E-2</v>
      </c>
      <c r="V434" s="10">
        <v>0.98472752536306074</v>
      </c>
    </row>
    <row r="435" spans="1:22" x14ac:dyDescent="0.3">
      <c r="A435" s="10" t="s">
        <v>152</v>
      </c>
      <c r="B435" s="10">
        <v>2024</v>
      </c>
      <c r="C435" s="10">
        <v>2762492000000</v>
      </c>
      <c r="D435" s="10">
        <v>1177050000000</v>
      </c>
      <c r="E435" s="10">
        <v>45333131000000</v>
      </c>
      <c r="F435" s="10">
        <v>24441530000000</v>
      </c>
      <c r="G435" s="10">
        <v>25450074000000</v>
      </c>
      <c r="H435" s="10">
        <v>13370729000000</v>
      </c>
      <c r="I435" s="10">
        <v>19869434000000</v>
      </c>
      <c r="J435" s="10">
        <v>16928467000000</v>
      </c>
      <c r="K435" s="10">
        <v>11070801000000</v>
      </c>
      <c r="L435" s="10"/>
      <c r="M435" s="10">
        <v>78835443000000</v>
      </c>
      <c r="N435" s="10">
        <v>1278172000000</v>
      </c>
      <c r="O435" s="10">
        <v>19220607000000</v>
      </c>
      <c r="P435" s="10">
        <v>4.0486373428900269</v>
      </c>
      <c r="Q435" s="10">
        <v>0</v>
      </c>
      <c r="R435" s="10" t="s">
        <v>238</v>
      </c>
      <c r="S435" s="10">
        <v>0.2442099355546388</v>
      </c>
      <c r="T435" s="10">
        <v>0.37342373285445468</v>
      </c>
      <c r="U435" s="10">
        <v>6.0937595508238768E-2</v>
      </c>
      <c r="V435" s="10">
        <v>0.78072205212448498</v>
      </c>
    </row>
    <row r="436" spans="1:22" x14ac:dyDescent="0.3">
      <c r="A436" s="10" t="s">
        <v>152</v>
      </c>
      <c r="B436" s="10">
        <v>2023</v>
      </c>
      <c r="C436" s="10">
        <v>2358078000000</v>
      </c>
      <c r="D436" s="10">
        <v>1249192000000</v>
      </c>
      <c r="E436" s="10">
        <v>39716363000000</v>
      </c>
      <c r="F436" s="10">
        <v>19141108000000</v>
      </c>
      <c r="G436" s="10">
        <v>20644500000000</v>
      </c>
      <c r="H436" s="10">
        <v>10225382000000</v>
      </c>
      <c r="I436" s="10">
        <v>19058823000000</v>
      </c>
      <c r="J436" s="10">
        <v>16198132000000</v>
      </c>
      <c r="K436" s="10">
        <v>8915726000000</v>
      </c>
      <c r="L436" s="10"/>
      <c r="M436" s="10">
        <v>66530549000000</v>
      </c>
      <c r="N436" s="10">
        <v>917807000000</v>
      </c>
      <c r="O436" s="10">
        <v>16042955000000</v>
      </c>
      <c r="P436" s="10">
        <v>4.1705341520609496</v>
      </c>
      <c r="Q436" s="10">
        <v>0</v>
      </c>
      <c r="R436" s="10" t="s">
        <v>238</v>
      </c>
      <c r="S436" s="10">
        <v>0.22448495598652879</v>
      </c>
      <c r="T436" s="10">
        <v>0.40784530043700118</v>
      </c>
      <c r="U436" s="10">
        <v>5.9372959200720367E-2</v>
      </c>
      <c r="V436" s="10">
        <v>0.92319131003414956</v>
      </c>
    </row>
    <row r="437" spans="1:22" x14ac:dyDescent="0.3">
      <c r="A437" s="10" t="s">
        <v>152</v>
      </c>
      <c r="B437" s="10">
        <v>2022</v>
      </c>
      <c r="C437" s="10">
        <v>8121485000000</v>
      </c>
      <c r="D437" s="10">
        <v>1315514000000</v>
      </c>
      <c r="E437" s="10">
        <v>42600814000000</v>
      </c>
      <c r="F437" s="10">
        <v>23708820000000</v>
      </c>
      <c r="G437" s="10">
        <v>23353011000000</v>
      </c>
      <c r="H437" s="10">
        <v>12104564000000</v>
      </c>
      <c r="I437" s="10">
        <v>19234622000000</v>
      </c>
      <c r="J437" s="10">
        <v>16341045000000</v>
      </c>
      <c r="K437" s="10">
        <v>11604256000000</v>
      </c>
      <c r="L437" s="10"/>
      <c r="M437" s="10">
        <v>75045559000000</v>
      </c>
      <c r="N437" s="10">
        <v>5500519000000</v>
      </c>
      <c r="O437" s="10">
        <v>18202904000000</v>
      </c>
      <c r="P437" s="10">
        <v>5.1833401574367164</v>
      </c>
      <c r="Q437" s="10">
        <v>0</v>
      </c>
      <c r="R437" s="10" t="s">
        <v>238</v>
      </c>
      <c r="S437" s="10">
        <v>0.27239517066504881</v>
      </c>
      <c r="T437" s="10">
        <v>0.3835852760935507</v>
      </c>
      <c r="U437" s="10">
        <v>0.19064154501836511</v>
      </c>
      <c r="V437" s="10">
        <v>0.82364633836724521</v>
      </c>
    </row>
    <row r="438" spans="1:22" x14ac:dyDescent="0.3">
      <c r="A438" s="10" t="s">
        <v>153</v>
      </c>
      <c r="B438" s="10">
        <v>2025</v>
      </c>
      <c r="C438" s="10">
        <v>287362963000</v>
      </c>
      <c r="D438" s="10">
        <v>52932941000</v>
      </c>
      <c r="E438" s="10">
        <v>4772580731000</v>
      </c>
      <c r="F438" s="10">
        <v>1021354393000</v>
      </c>
      <c r="G438" s="10">
        <v>1359932978000</v>
      </c>
      <c r="H438" s="10">
        <v>746033870000</v>
      </c>
      <c r="I438" s="10">
        <v>3412673197000</v>
      </c>
      <c r="J438" s="10">
        <v>171924896000</v>
      </c>
      <c r="K438" s="10">
        <v>275320523000</v>
      </c>
      <c r="L438" s="10"/>
      <c r="M438" s="10">
        <v>2361905786000</v>
      </c>
      <c r="N438" s="10">
        <v>171924896000</v>
      </c>
      <c r="O438" s="10">
        <v>522186481000</v>
      </c>
      <c r="P438" s="10">
        <v>3.5354033994528069</v>
      </c>
      <c r="Q438" s="10">
        <v>0</v>
      </c>
      <c r="R438" s="10" t="s">
        <v>238</v>
      </c>
      <c r="S438" s="10">
        <v>5.7687976069566042E-2</v>
      </c>
      <c r="T438" s="10">
        <v>3.6023465225694891E-2</v>
      </c>
      <c r="U438" s="10">
        <v>6.021123144831303E-2</v>
      </c>
      <c r="V438" s="10">
        <v>2.5094421947314518</v>
      </c>
    </row>
    <row r="439" spans="1:22" x14ac:dyDescent="0.3">
      <c r="A439" s="10" t="s">
        <v>153</v>
      </c>
      <c r="B439" s="10">
        <v>2024</v>
      </c>
      <c r="C439" s="10">
        <v>250645897000</v>
      </c>
      <c r="D439" s="10">
        <v>78853176000</v>
      </c>
      <c r="E439" s="10">
        <v>4907686845000</v>
      </c>
      <c r="F439" s="10">
        <v>1000678460000</v>
      </c>
      <c r="G439" s="10">
        <v>1639441913000</v>
      </c>
      <c r="H439" s="10">
        <v>822078827000</v>
      </c>
      <c r="I439" s="10">
        <v>3268269004000</v>
      </c>
      <c r="J439" s="10">
        <v>129254004000</v>
      </c>
      <c r="K439" s="10">
        <v>178599633000</v>
      </c>
      <c r="L439" s="10"/>
      <c r="M439" s="10">
        <v>2091352268000</v>
      </c>
      <c r="N439" s="10">
        <v>129254004000</v>
      </c>
      <c r="O439" s="10">
        <v>729056129000</v>
      </c>
      <c r="P439" s="10">
        <v>2.7609952537415752</v>
      </c>
      <c r="Q439" s="10">
        <v>0</v>
      </c>
      <c r="R439" s="10" t="s">
        <v>238</v>
      </c>
      <c r="S439" s="10">
        <v>3.6391815256500953E-2</v>
      </c>
      <c r="T439" s="10">
        <v>2.633705207407136E-2</v>
      </c>
      <c r="U439" s="10">
        <v>5.1072104825791907E-2</v>
      </c>
      <c r="V439" s="10">
        <v>1.993525344255366</v>
      </c>
    </row>
    <row r="440" spans="1:22" x14ac:dyDescent="0.3">
      <c r="A440" s="10" t="s">
        <v>153</v>
      </c>
      <c r="B440" s="10">
        <v>2023</v>
      </c>
      <c r="C440" s="10">
        <v>261190210000</v>
      </c>
      <c r="D440" s="10">
        <v>98606832000</v>
      </c>
      <c r="E440" s="10">
        <v>4856730638000</v>
      </c>
      <c r="F440" s="10">
        <v>816846119000</v>
      </c>
      <c r="G440" s="10">
        <v>1694318282000</v>
      </c>
      <c r="H440" s="10">
        <v>731493137000</v>
      </c>
      <c r="I440" s="10">
        <v>3162435527000</v>
      </c>
      <c r="J440" s="10">
        <v>109898718000</v>
      </c>
      <c r="K440" s="10">
        <v>85352982000</v>
      </c>
      <c r="L440" s="10"/>
      <c r="M440" s="10">
        <v>2040679390000</v>
      </c>
      <c r="N440" s="10">
        <v>121570941000</v>
      </c>
      <c r="O440" s="10">
        <v>891755898000</v>
      </c>
      <c r="P440" s="10">
        <v>2.510268304437103</v>
      </c>
      <c r="Q440" s="10">
        <v>0</v>
      </c>
      <c r="R440" s="10" t="s">
        <v>239</v>
      </c>
      <c r="S440" s="10">
        <v>1.7574164260249839E-2</v>
      </c>
      <c r="T440" s="10">
        <v>2.2628127065588359E-2</v>
      </c>
      <c r="U440" s="10">
        <v>5.3779019152595628E-2</v>
      </c>
      <c r="V440" s="10">
        <v>1.866494365667241</v>
      </c>
    </row>
    <row r="441" spans="1:22" x14ac:dyDescent="0.3">
      <c r="A441" s="10" t="s">
        <v>153</v>
      </c>
      <c r="B441" s="10">
        <v>2022</v>
      </c>
      <c r="C441" s="10">
        <v>264726531000</v>
      </c>
      <c r="D441" s="10">
        <v>162645800000</v>
      </c>
      <c r="E441" s="10">
        <v>5242724933000</v>
      </c>
      <c r="F441" s="10">
        <v>990295391000</v>
      </c>
      <c r="G441" s="10">
        <v>2167586907000</v>
      </c>
      <c r="H441" s="10">
        <v>588138938000</v>
      </c>
      <c r="I441" s="10">
        <v>3075162869000</v>
      </c>
      <c r="J441" s="10">
        <v>-199067034000</v>
      </c>
      <c r="K441" s="10">
        <v>402156453000</v>
      </c>
      <c r="L441" s="10"/>
      <c r="M441" s="10">
        <v>1881767356000</v>
      </c>
      <c r="N441" s="10">
        <v>77323331000</v>
      </c>
      <c r="O441" s="10">
        <v>1477164027000</v>
      </c>
      <c r="P441" s="10">
        <v>2.2083773978254868</v>
      </c>
      <c r="Q441" s="10">
        <v>0</v>
      </c>
      <c r="R441" s="10" t="s">
        <v>239</v>
      </c>
      <c r="S441" s="10">
        <v>7.6707524834776608E-2</v>
      </c>
      <c r="T441" s="10">
        <v>-3.7970146544783451E-2</v>
      </c>
      <c r="U441" s="10">
        <v>5.0494072144372029E-2</v>
      </c>
      <c r="V441" s="10">
        <v>1.4187033788906349</v>
      </c>
    </row>
    <row r="442" spans="1:22" x14ac:dyDescent="0.3">
      <c r="A442" s="10" t="s">
        <v>154</v>
      </c>
      <c r="B442" s="10">
        <v>2025</v>
      </c>
      <c r="C442" s="10">
        <v>1404210000000</v>
      </c>
      <c r="D442" s="10">
        <v>802297000000</v>
      </c>
      <c r="E442" s="10">
        <v>76568724000000</v>
      </c>
      <c r="F442" s="10">
        <v>17430795000000</v>
      </c>
      <c r="G442" s="10">
        <v>28849009000000</v>
      </c>
      <c r="H442" s="10">
        <v>15837335000000</v>
      </c>
      <c r="I442" s="10">
        <v>43464113000000</v>
      </c>
      <c r="J442" s="10">
        <v>34426299000000</v>
      </c>
      <c r="K442" s="10">
        <v>1593460000000</v>
      </c>
      <c r="L442" s="10"/>
      <c r="M442" s="10">
        <v>35243751000000</v>
      </c>
      <c r="N442" s="10">
        <v>190848000000</v>
      </c>
      <c r="O442" s="10">
        <v>10398470000000</v>
      </c>
      <c r="P442" s="10">
        <v>3.30743439616815</v>
      </c>
      <c r="Q442" s="10">
        <v>0</v>
      </c>
      <c r="R442" s="10" t="s">
        <v>238</v>
      </c>
      <c r="S442" s="10">
        <v>2.0810846998051059E-2</v>
      </c>
      <c r="T442" s="10">
        <v>0.44961306916907751</v>
      </c>
      <c r="U442" s="10">
        <v>1.833921119019823E-2</v>
      </c>
      <c r="V442" s="10">
        <v>1.5066067954015341</v>
      </c>
    </row>
    <row r="443" spans="1:22" x14ac:dyDescent="0.3">
      <c r="A443" s="10" t="s">
        <v>154</v>
      </c>
      <c r="B443" s="10">
        <v>2024</v>
      </c>
      <c r="C443" s="10">
        <v>2409837000000</v>
      </c>
      <c r="D443" s="10">
        <v>1158638000000</v>
      </c>
      <c r="E443" s="10">
        <v>76993082000000</v>
      </c>
      <c r="F443" s="10">
        <v>16224031000000</v>
      </c>
      <c r="G443" s="10">
        <v>28685871000000</v>
      </c>
      <c r="H443" s="10">
        <v>12943911000000</v>
      </c>
      <c r="I443" s="10">
        <v>43771520000000</v>
      </c>
      <c r="J443" s="10">
        <v>34680058000000</v>
      </c>
      <c r="K443" s="10">
        <v>3280120000000</v>
      </c>
      <c r="L443" s="10"/>
      <c r="M443" s="10">
        <v>36186127000000</v>
      </c>
      <c r="N443" s="10">
        <v>719763000000</v>
      </c>
      <c r="O443" s="10">
        <v>10865404000000</v>
      </c>
      <c r="P443" s="10">
        <v>3.560396579630686</v>
      </c>
      <c r="Q443" s="10">
        <v>0</v>
      </c>
      <c r="R443" s="10" t="s">
        <v>238</v>
      </c>
      <c r="S443" s="10">
        <v>4.2602788650543948E-2</v>
      </c>
      <c r="T443" s="10">
        <v>0.45043083221425012</v>
      </c>
      <c r="U443" s="10">
        <v>3.1299396483439899E-2</v>
      </c>
      <c r="V443" s="10">
        <v>1.5258912654247101</v>
      </c>
    </row>
    <row r="444" spans="1:22" x14ac:dyDescent="0.3">
      <c r="A444" s="10" t="s">
        <v>154</v>
      </c>
      <c r="B444" s="10">
        <v>2023</v>
      </c>
      <c r="C444" s="10">
        <v>4613221000000</v>
      </c>
      <c r="D444" s="10">
        <v>1309461000000</v>
      </c>
      <c r="E444" s="10">
        <v>81820529000000</v>
      </c>
      <c r="F444" s="10">
        <v>19782972000000</v>
      </c>
      <c r="G444" s="10">
        <v>34019553000000</v>
      </c>
      <c r="H444" s="10">
        <v>16111660000000</v>
      </c>
      <c r="I444" s="10">
        <v>43261491000000</v>
      </c>
      <c r="J444" s="10">
        <v>34532338000000</v>
      </c>
      <c r="K444" s="10">
        <v>3671312000000</v>
      </c>
      <c r="L444" s="10"/>
      <c r="M444" s="10">
        <v>38651360000000</v>
      </c>
      <c r="N444" s="10">
        <v>2170497000000</v>
      </c>
      <c r="O444" s="10">
        <v>15817928000000</v>
      </c>
      <c r="P444" s="10">
        <v>3.3843686420812138</v>
      </c>
      <c r="Q444" s="10">
        <v>0</v>
      </c>
      <c r="R444" s="10" t="s">
        <v>238</v>
      </c>
      <c r="S444" s="10">
        <v>4.4870303881804532E-2</v>
      </c>
      <c r="T444" s="10">
        <v>0.42204980121798041</v>
      </c>
      <c r="U444" s="10">
        <v>5.6382194742348832E-2</v>
      </c>
      <c r="V444" s="10">
        <v>1.271665474264168</v>
      </c>
    </row>
    <row r="445" spans="1:22" x14ac:dyDescent="0.3">
      <c r="A445" s="10" t="s">
        <v>154</v>
      </c>
      <c r="B445" s="10">
        <v>2022</v>
      </c>
      <c r="C445" s="10">
        <v>4667859000000</v>
      </c>
      <c r="D445" s="10">
        <v>1369024000000</v>
      </c>
      <c r="E445" s="10">
        <v>82960012000000</v>
      </c>
      <c r="F445" s="10">
        <v>18878979000000</v>
      </c>
      <c r="G445" s="10">
        <v>35720652000000</v>
      </c>
      <c r="H445" s="10">
        <v>13061027000000</v>
      </c>
      <c r="I445" s="10">
        <v>42748214000000</v>
      </c>
      <c r="J445" s="10">
        <v>34017226000000</v>
      </c>
      <c r="K445" s="10">
        <v>5817952000000</v>
      </c>
      <c r="L445" s="10"/>
      <c r="M445" s="10">
        <v>36378597000000</v>
      </c>
      <c r="N445" s="10">
        <v>2364836000000</v>
      </c>
      <c r="O445" s="10">
        <v>16801363000000</v>
      </c>
      <c r="P445" s="10">
        <v>3.431475961998756</v>
      </c>
      <c r="Q445" s="10">
        <v>0</v>
      </c>
      <c r="R445" s="10" t="s">
        <v>238</v>
      </c>
      <c r="S445" s="10">
        <v>7.0129594484629534E-2</v>
      </c>
      <c r="T445" s="10">
        <v>0.41004364849899011</v>
      </c>
      <c r="U445" s="10">
        <v>5.6266373249801362E-2</v>
      </c>
      <c r="V445" s="10">
        <v>1.1967366665087751</v>
      </c>
    </row>
    <row r="446" spans="1:22" x14ac:dyDescent="0.3">
      <c r="A446" s="10" t="s">
        <v>155</v>
      </c>
      <c r="B446" s="10">
        <v>2025</v>
      </c>
      <c r="C446" s="10">
        <v>1548817000000</v>
      </c>
      <c r="D446" s="10">
        <v>16440000000</v>
      </c>
      <c r="E446" s="10">
        <v>5163198000000</v>
      </c>
      <c r="F446" s="10">
        <v>3723687000000</v>
      </c>
      <c r="G446" s="10">
        <v>856412000000</v>
      </c>
      <c r="H446" s="10">
        <v>629690000000</v>
      </c>
      <c r="I446" s="10">
        <v>3808380000000</v>
      </c>
      <c r="J446" s="10">
        <v>3513864000000</v>
      </c>
      <c r="K446" s="10">
        <v>3093997000000</v>
      </c>
      <c r="L446" s="10"/>
      <c r="M446" s="10">
        <v>5338789000000</v>
      </c>
      <c r="N446" s="10">
        <v>1124703000000</v>
      </c>
      <c r="O446" s="10">
        <v>172984000000</v>
      </c>
      <c r="P446" s="10">
        <v>12.83470302642889</v>
      </c>
      <c r="Q446" s="10">
        <v>0</v>
      </c>
      <c r="R446" s="10" t="s">
        <v>238</v>
      </c>
      <c r="S446" s="10">
        <v>0.59924043199582899</v>
      </c>
      <c r="T446" s="10">
        <v>0.68055960666238247</v>
      </c>
      <c r="U446" s="10">
        <v>0.29997242019384113</v>
      </c>
      <c r="V446" s="10">
        <v>4.4469017248707399</v>
      </c>
    </row>
    <row r="447" spans="1:22" x14ac:dyDescent="0.3">
      <c r="A447" s="10" t="s">
        <v>155</v>
      </c>
      <c r="B447" s="10">
        <v>2024</v>
      </c>
      <c r="C447" s="10">
        <v>1422514000000</v>
      </c>
      <c r="D447" s="10">
        <v>20637000000</v>
      </c>
      <c r="E447" s="10">
        <v>4963939000000</v>
      </c>
      <c r="F447" s="10">
        <v>3599989000000</v>
      </c>
      <c r="G447" s="10">
        <v>1037924000000</v>
      </c>
      <c r="H447" s="10">
        <v>769473000000</v>
      </c>
      <c r="I447" s="10">
        <v>3472538000000</v>
      </c>
      <c r="J447" s="10">
        <v>3221519000000</v>
      </c>
      <c r="K447" s="10">
        <v>2830516000000</v>
      </c>
      <c r="L447" s="10"/>
      <c r="M447" s="10">
        <v>5164985000000</v>
      </c>
      <c r="N447" s="10">
        <v>1024180000000</v>
      </c>
      <c r="O447" s="10">
        <v>223544000000</v>
      </c>
      <c r="P447" s="10">
        <v>11.29499206825918</v>
      </c>
      <c r="Q447" s="10">
        <v>0</v>
      </c>
      <c r="R447" s="10" t="s">
        <v>238</v>
      </c>
      <c r="S447" s="10">
        <v>0.5702157097417998</v>
      </c>
      <c r="T447" s="10">
        <v>0.64898440532810742</v>
      </c>
      <c r="U447" s="10">
        <v>0.28656959724928133</v>
      </c>
      <c r="V447" s="10">
        <v>3.3456572928268349</v>
      </c>
    </row>
    <row r="448" spans="1:22" x14ac:dyDescent="0.3">
      <c r="A448" s="10" t="s">
        <v>155</v>
      </c>
      <c r="B448" s="10">
        <v>2023</v>
      </c>
      <c r="C448" s="10">
        <v>1322902000000</v>
      </c>
      <c r="D448" s="10">
        <v>21175000000</v>
      </c>
      <c r="E448" s="10">
        <v>4588818000000</v>
      </c>
      <c r="F448" s="10">
        <v>3320685000000</v>
      </c>
      <c r="G448" s="10">
        <v>947278000000</v>
      </c>
      <c r="H448" s="10">
        <v>646514000000</v>
      </c>
      <c r="I448" s="10">
        <v>3227064000000</v>
      </c>
      <c r="J448" s="10">
        <v>2970786000000</v>
      </c>
      <c r="K448" s="10">
        <v>2674171000000</v>
      </c>
      <c r="L448" s="10"/>
      <c r="M448" s="10">
        <v>5108399000000</v>
      </c>
      <c r="N448" s="10">
        <v>945950000000</v>
      </c>
      <c r="O448" s="10">
        <v>296020000000</v>
      </c>
      <c r="P448" s="10">
        <v>11.447707432491439</v>
      </c>
      <c r="Q448" s="10">
        <v>0</v>
      </c>
      <c r="R448" s="10" t="s">
        <v>238</v>
      </c>
      <c r="S448" s="10">
        <v>0.58275813074303662</v>
      </c>
      <c r="T448" s="10">
        <v>0.64739678060886263</v>
      </c>
      <c r="U448" s="10">
        <v>0.28828818227264619</v>
      </c>
      <c r="V448" s="10">
        <v>3.4066704811048081</v>
      </c>
    </row>
    <row r="449" spans="1:22" x14ac:dyDescent="0.3">
      <c r="A449" s="10" t="s">
        <v>155</v>
      </c>
      <c r="B449" s="10">
        <v>2022</v>
      </c>
      <c r="C449" s="10">
        <v>1188866000000</v>
      </c>
      <c r="D449" s="10">
        <v>16864000000</v>
      </c>
      <c r="E449" s="10">
        <v>4393147000000</v>
      </c>
      <c r="F449" s="10">
        <v>3133332000000</v>
      </c>
      <c r="G449" s="10">
        <v>1062889000000</v>
      </c>
      <c r="H449" s="10">
        <v>707717000000</v>
      </c>
      <c r="I449" s="10">
        <v>2907632000000</v>
      </c>
      <c r="J449" s="10">
        <v>2625880000000</v>
      </c>
      <c r="K449" s="10">
        <v>2425615000000</v>
      </c>
      <c r="L449" s="10"/>
      <c r="M449" s="10">
        <v>4894164000000</v>
      </c>
      <c r="N449" s="10">
        <v>848315000000</v>
      </c>
      <c r="O449" s="10">
        <v>351396000000</v>
      </c>
      <c r="P449" s="10">
        <v>10.261513961791991</v>
      </c>
      <c r="Q449" s="10">
        <v>0</v>
      </c>
      <c r="R449" s="10" t="s">
        <v>238</v>
      </c>
      <c r="S449" s="10">
        <v>0.55213608832119665</v>
      </c>
      <c r="T449" s="10">
        <v>0.59772186088924406</v>
      </c>
      <c r="U449" s="10">
        <v>0.27061830619371491</v>
      </c>
      <c r="V449" s="10">
        <v>2.7355932745564209</v>
      </c>
    </row>
    <row r="450" spans="1:22" x14ac:dyDescent="0.3">
      <c r="A450" s="10" t="s">
        <v>156</v>
      </c>
      <c r="B450" s="10">
        <v>2025</v>
      </c>
      <c r="C450" s="10">
        <v>176426198513</v>
      </c>
      <c r="D450" s="10">
        <v>39689079188</v>
      </c>
      <c r="E450" s="10">
        <v>3661123775579</v>
      </c>
      <c r="F450" s="10">
        <v>1557247695521</v>
      </c>
      <c r="G450" s="10">
        <v>1171645302980</v>
      </c>
      <c r="H450" s="10">
        <v>777954493852</v>
      </c>
      <c r="I450" s="10">
        <v>2489478472599</v>
      </c>
      <c r="J450" s="10">
        <v>733885241783</v>
      </c>
      <c r="K450" s="10">
        <v>779293201669</v>
      </c>
      <c r="L450" s="10"/>
      <c r="M450" s="10">
        <v>2740741576467</v>
      </c>
      <c r="N450" s="10">
        <v>106230536169</v>
      </c>
      <c r="O450" s="10">
        <v>712492630837</v>
      </c>
      <c r="P450" s="10">
        <v>4.6046564281047928</v>
      </c>
      <c r="Q450" s="10">
        <v>0</v>
      </c>
      <c r="R450" s="10" t="s">
        <v>238</v>
      </c>
      <c r="S450" s="10">
        <v>0.21285628387304559</v>
      </c>
      <c r="T450" s="10">
        <v>0.20045354562396281</v>
      </c>
      <c r="U450" s="10">
        <v>4.8189083278152363E-2</v>
      </c>
      <c r="V450" s="10">
        <v>2.1247714357469629</v>
      </c>
    </row>
    <row r="451" spans="1:22" x14ac:dyDescent="0.3">
      <c r="A451" s="10" t="s">
        <v>156</v>
      </c>
      <c r="B451" s="10">
        <v>2024</v>
      </c>
      <c r="C451" s="10">
        <v>169361503231</v>
      </c>
      <c r="D451" s="10">
        <v>34918475389</v>
      </c>
      <c r="E451" s="10">
        <v>3392686914315</v>
      </c>
      <c r="F451" s="10">
        <v>1434944365703</v>
      </c>
      <c r="G451" s="10">
        <v>1008005049539</v>
      </c>
      <c r="H451" s="10">
        <v>507892735105</v>
      </c>
      <c r="I451" s="10">
        <v>2384681864776</v>
      </c>
      <c r="J451" s="10">
        <v>1029177488767</v>
      </c>
      <c r="K451" s="10">
        <v>927051630598</v>
      </c>
      <c r="L451" s="10"/>
      <c r="M451" s="10">
        <v>2729636216867</v>
      </c>
      <c r="N451" s="10">
        <v>104838993586</v>
      </c>
      <c r="O451" s="10">
        <v>606302197389</v>
      </c>
      <c r="P451" s="10">
        <v>5.6009372870536636</v>
      </c>
      <c r="Q451" s="10">
        <v>0</v>
      </c>
      <c r="R451" s="10" t="s">
        <v>238</v>
      </c>
      <c r="S451" s="10">
        <v>0.27324997973919329</v>
      </c>
      <c r="T451" s="10">
        <v>0.30335174295763029</v>
      </c>
      <c r="U451" s="10">
        <v>4.9919579232731798E-2</v>
      </c>
      <c r="V451" s="10">
        <v>2.3657439671225928</v>
      </c>
    </row>
    <row r="452" spans="1:22" x14ac:dyDescent="0.3">
      <c r="A452" s="10" t="s">
        <v>156</v>
      </c>
      <c r="B452" s="10">
        <v>2023</v>
      </c>
      <c r="C452" s="10">
        <v>272479359629</v>
      </c>
      <c r="D452" s="10">
        <v>34630534642</v>
      </c>
      <c r="E452" s="10">
        <v>3303922519911</v>
      </c>
      <c r="F452" s="10">
        <v>1382776264404</v>
      </c>
      <c r="G452" s="10">
        <v>984503543994</v>
      </c>
      <c r="H452" s="10">
        <v>492360007391</v>
      </c>
      <c r="I452" s="10">
        <v>2319418975917</v>
      </c>
      <c r="J452" s="10">
        <v>983415899333</v>
      </c>
      <c r="K452" s="10">
        <v>890416257013</v>
      </c>
      <c r="L452" s="10"/>
      <c r="M452" s="10">
        <v>2658520983180</v>
      </c>
      <c r="N452" s="10">
        <v>178658341906</v>
      </c>
      <c r="O452" s="10">
        <v>633373134282</v>
      </c>
      <c r="P452" s="10">
        <v>5.766212642141503</v>
      </c>
      <c r="Q452" s="10">
        <v>0</v>
      </c>
      <c r="R452" s="10" t="s">
        <v>238</v>
      </c>
      <c r="S452" s="10">
        <v>0.26950276577217852</v>
      </c>
      <c r="T452" s="10">
        <v>0.29765101736087052</v>
      </c>
      <c r="U452" s="10">
        <v>8.2471473827521832E-2</v>
      </c>
      <c r="V452" s="10">
        <v>2.3559275028177411</v>
      </c>
    </row>
    <row r="453" spans="1:22" x14ac:dyDescent="0.3">
      <c r="A453" s="10" t="s">
        <v>156</v>
      </c>
      <c r="B453" s="10">
        <v>2022</v>
      </c>
      <c r="C453" s="10">
        <v>463862338735</v>
      </c>
      <c r="D453" s="10">
        <v>32416401579</v>
      </c>
      <c r="E453" s="10">
        <v>3239231499990</v>
      </c>
      <c r="F453" s="10">
        <v>1370508317595</v>
      </c>
      <c r="G453" s="10">
        <v>1092943225203</v>
      </c>
      <c r="H453" s="10">
        <v>374992624819</v>
      </c>
      <c r="I453" s="10">
        <v>2146288274787</v>
      </c>
      <c r="J453" s="10">
        <v>829406575979</v>
      </c>
      <c r="K453" s="10">
        <v>995515692776</v>
      </c>
      <c r="L453" s="10"/>
      <c r="M453" s="10">
        <v>3138054094849</v>
      </c>
      <c r="N453" s="10">
        <v>336138349494</v>
      </c>
      <c r="O453" s="10">
        <v>730319405931</v>
      </c>
      <c r="P453" s="10">
        <v>5.8750853717896714</v>
      </c>
      <c r="Q453" s="10">
        <v>0</v>
      </c>
      <c r="R453" s="10" t="s">
        <v>238</v>
      </c>
      <c r="S453" s="10">
        <v>0.30733082608608658</v>
      </c>
      <c r="T453" s="10">
        <v>0.25605041689103131</v>
      </c>
      <c r="U453" s="10">
        <v>0.14320135462267269</v>
      </c>
      <c r="V453" s="10">
        <v>1.963769229081735</v>
      </c>
    </row>
    <row r="454" spans="1:22" x14ac:dyDescent="0.3">
      <c r="A454" s="10" t="s">
        <v>157</v>
      </c>
      <c r="B454" s="10">
        <v>2025</v>
      </c>
      <c r="C454" s="10">
        <v>384256804838</v>
      </c>
      <c r="D454" s="10">
        <v>18307513451</v>
      </c>
      <c r="E454" s="10">
        <v>3358817196796</v>
      </c>
      <c r="F454" s="10">
        <v>1359971769856</v>
      </c>
      <c r="G454" s="10">
        <v>905365280124</v>
      </c>
      <c r="H454" s="10">
        <v>687447096738</v>
      </c>
      <c r="I454" s="10">
        <v>1714755655686</v>
      </c>
      <c r="J454" s="10">
        <v>735270092517</v>
      </c>
      <c r="K454" s="10">
        <v>672524673118</v>
      </c>
      <c r="L454" s="10"/>
      <c r="M454" s="10">
        <v>2779352783577</v>
      </c>
      <c r="N454" s="10">
        <v>270895558185</v>
      </c>
      <c r="O454" s="10">
        <v>263221930536</v>
      </c>
      <c r="P454" s="10">
        <v>4.7846020819005766</v>
      </c>
      <c r="Q454" s="10">
        <v>0</v>
      </c>
      <c r="R454" s="10" t="s">
        <v>238</v>
      </c>
      <c r="S454" s="10">
        <v>0.2002266374483036</v>
      </c>
      <c r="T454" s="10">
        <v>0.21890744551932731</v>
      </c>
      <c r="U454" s="10">
        <v>0.11440241678068851</v>
      </c>
      <c r="V454" s="10">
        <v>1.893993168648068</v>
      </c>
    </row>
    <row r="455" spans="1:22" x14ac:dyDescent="0.3">
      <c r="A455" s="10" t="s">
        <v>157</v>
      </c>
      <c r="B455" s="10">
        <v>2024</v>
      </c>
      <c r="C455" s="10">
        <v>397029030111</v>
      </c>
      <c r="D455" s="10">
        <v>19064078791</v>
      </c>
      <c r="E455" s="10">
        <v>3415593681665</v>
      </c>
      <c r="F455" s="10">
        <v>1411495643021</v>
      </c>
      <c r="G455" s="10">
        <v>1051746901490</v>
      </c>
      <c r="H455" s="10">
        <v>825475645878</v>
      </c>
      <c r="I455" s="10">
        <v>1634015726856</v>
      </c>
      <c r="J455" s="10">
        <v>654530163687</v>
      </c>
      <c r="K455" s="10">
        <v>586019997143</v>
      </c>
      <c r="L455" s="10"/>
      <c r="M455" s="10">
        <v>2915244767837</v>
      </c>
      <c r="N455" s="10">
        <v>287259059262</v>
      </c>
      <c r="O455" s="10">
        <v>274720620296</v>
      </c>
      <c r="P455" s="10">
        <v>4.1626609361165876</v>
      </c>
      <c r="Q455" s="10">
        <v>0</v>
      </c>
      <c r="R455" s="10" t="s">
        <v>238</v>
      </c>
      <c r="S455" s="10">
        <v>0.17157192914624811</v>
      </c>
      <c r="T455" s="10">
        <v>0.19162998432762529</v>
      </c>
      <c r="U455" s="10">
        <v>0.11624012312771941</v>
      </c>
      <c r="V455" s="10">
        <v>1.5536206710389211</v>
      </c>
    </row>
    <row r="456" spans="1:22" x14ac:dyDescent="0.3">
      <c r="A456" s="10" t="s">
        <v>157</v>
      </c>
      <c r="B456" s="10">
        <v>2023</v>
      </c>
      <c r="C456" s="10">
        <v>350181129265</v>
      </c>
      <c r="D456" s="10">
        <v>24575585244</v>
      </c>
      <c r="E456" s="10">
        <v>3237655784669</v>
      </c>
      <c r="F456" s="10">
        <v>1268404496700</v>
      </c>
      <c r="G456" s="10">
        <v>1008062728819</v>
      </c>
      <c r="H456" s="10">
        <v>789166654793</v>
      </c>
      <c r="I456" s="10">
        <v>1507455555703</v>
      </c>
      <c r="J456" s="10">
        <v>527969992534</v>
      </c>
      <c r="K456" s="10">
        <v>479237841907</v>
      </c>
      <c r="L456" s="10"/>
      <c r="M456" s="10">
        <v>2605488939158</v>
      </c>
      <c r="N456" s="10">
        <v>254701432907</v>
      </c>
      <c r="O456" s="10">
        <v>324511922347</v>
      </c>
      <c r="P456" s="10">
        <v>3.7996209363749989</v>
      </c>
      <c r="Q456" s="10">
        <v>0</v>
      </c>
      <c r="R456" s="10" t="s">
        <v>238</v>
      </c>
      <c r="S456" s="10">
        <v>0.14802001008763649</v>
      </c>
      <c r="T456" s="10">
        <v>0.1630716875567971</v>
      </c>
      <c r="U456" s="10">
        <v>0.1081588508955101</v>
      </c>
      <c r="V456" s="10">
        <v>1.495398562616302</v>
      </c>
    </row>
    <row r="457" spans="1:22" x14ac:dyDescent="0.3">
      <c r="A457" s="10" t="s">
        <v>157</v>
      </c>
      <c r="B457" s="10">
        <v>2022</v>
      </c>
      <c r="C457" s="10">
        <v>296420407436</v>
      </c>
      <c r="D457" s="10">
        <v>24283411753</v>
      </c>
      <c r="E457" s="10">
        <v>3116150805162</v>
      </c>
      <c r="F457" s="10">
        <v>1175602452283</v>
      </c>
      <c r="G457" s="10">
        <v>1008510478795</v>
      </c>
      <c r="H457" s="10">
        <v>791069117798</v>
      </c>
      <c r="I457" s="10">
        <v>1388234398642</v>
      </c>
      <c r="J457" s="10">
        <v>408748835473</v>
      </c>
      <c r="K457" s="10">
        <v>384533334485</v>
      </c>
      <c r="L457" s="10"/>
      <c r="M457" s="10">
        <v>2505644878372</v>
      </c>
      <c r="N457" s="10">
        <v>206678784156</v>
      </c>
      <c r="O457" s="10">
        <v>344300345823</v>
      </c>
      <c r="P457" s="10">
        <v>3.3217004949021138</v>
      </c>
      <c r="Q457" s="10">
        <v>0</v>
      </c>
      <c r="R457" s="10" t="s">
        <v>238</v>
      </c>
      <c r="S457" s="10">
        <v>0.12340010433641679</v>
      </c>
      <c r="T457" s="10">
        <v>0.13117107002520381</v>
      </c>
      <c r="U457" s="10">
        <v>9.5123896746258374E-2</v>
      </c>
      <c r="V457" s="10">
        <v>1.3765195581316181</v>
      </c>
    </row>
    <row r="458" spans="1:22" x14ac:dyDescent="0.3">
      <c r="A458" s="10" t="s">
        <v>158</v>
      </c>
      <c r="B458" s="10">
        <v>2025</v>
      </c>
      <c r="C458" s="10">
        <v>120980878000</v>
      </c>
      <c r="D458" s="10">
        <v>20336910000</v>
      </c>
      <c r="E458" s="10">
        <v>1052410486000</v>
      </c>
      <c r="F458" s="10">
        <v>638935783000</v>
      </c>
      <c r="G458" s="10">
        <v>242593848000</v>
      </c>
      <c r="H458" s="10">
        <v>217904456000</v>
      </c>
      <c r="I458" s="10">
        <v>809816638000</v>
      </c>
      <c r="J458" s="10">
        <v>342916975000</v>
      </c>
      <c r="K458" s="10">
        <v>421031327000</v>
      </c>
      <c r="L458" s="10"/>
      <c r="M458" s="10">
        <v>1256364046000</v>
      </c>
      <c r="N458" s="10">
        <v>77352138000</v>
      </c>
      <c r="O458" s="10">
        <v>109932607000</v>
      </c>
      <c r="P458" s="10">
        <v>7.9642257093826778</v>
      </c>
      <c r="Q458" s="10">
        <v>0</v>
      </c>
      <c r="R458" s="10" t="s">
        <v>238</v>
      </c>
      <c r="S458" s="10">
        <v>0.40006378936821052</v>
      </c>
      <c r="T458" s="10">
        <v>0.32583956503831341</v>
      </c>
      <c r="U458" s="10">
        <v>0.1149559792584583</v>
      </c>
      <c r="V458" s="10">
        <v>3.3381581795099771</v>
      </c>
    </row>
    <row r="459" spans="1:22" x14ac:dyDescent="0.3">
      <c r="A459" s="10" t="s">
        <v>158</v>
      </c>
      <c r="B459" s="10">
        <v>2024</v>
      </c>
      <c r="C459" s="10">
        <v>46022644000</v>
      </c>
      <c r="D459" s="10">
        <v>16464172000</v>
      </c>
      <c r="E459" s="10">
        <v>1135428989000</v>
      </c>
      <c r="F459" s="10">
        <v>737249459000</v>
      </c>
      <c r="G459" s="10">
        <v>396871660000</v>
      </c>
      <c r="H459" s="10">
        <v>377107726000</v>
      </c>
      <c r="I459" s="10">
        <v>738557329000</v>
      </c>
      <c r="J459" s="10">
        <v>271657666000</v>
      </c>
      <c r="K459" s="10">
        <v>360141733000</v>
      </c>
      <c r="L459" s="10"/>
      <c r="M459" s="10">
        <v>1153788430000</v>
      </c>
      <c r="N459" s="10">
        <v>22501564000</v>
      </c>
      <c r="O459" s="10">
        <v>314778608000</v>
      </c>
      <c r="P459" s="10">
        <v>5.0870890432064373</v>
      </c>
      <c r="Q459" s="10">
        <v>0</v>
      </c>
      <c r="R459" s="10" t="s">
        <v>238</v>
      </c>
      <c r="S459" s="10">
        <v>0.31718560692834308</v>
      </c>
      <c r="T459" s="10">
        <v>0.23925553128536509</v>
      </c>
      <c r="U459" s="10">
        <v>4.0533264912086898E-2</v>
      </c>
      <c r="V459" s="10">
        <v>1.8609475138638021</v>
      </c>
    </row>
    <row r="460" spans="1:22" x14ac:dyDescent="0.3">
      <c r="A460" s="10" t="s">
        <v>158</v>
      </c>
      <c r="B460" s="10">
        <v>2023</v>
      </c>
      <c r="C460" s="10">
        <v>88261688000</v>
      </c>
      <c r="D460" s="10">
        <v>13470009000</v>
      </c>
      <c r="E460" s="10">
        <v>936697851000</v>
      </c>
      <c r="F460" s="10">
        <v>592551321000</v>
      </c>
      <c r="G460" s="10">
        <v>226110331000</v>
      </c>
      <c r="H460" s="10">
        <v>205361384000</v>
      </c>
      <c r="I460" s="10">
        <v>710587520000</v>
      </c>
      <c r="J460" s="10">
        <v>254408387000</v>
      </c>
      <c r="K460" s="10">
        <v>387189937000</v>
      </c>
      <c r="L460" s="10"/>
      <c r="M460" s="10">
        <v>1026705444000</v>
      </c>
      <c r="N460" s="10">
        <v>58018151000</v>
      </c>
      <c r="O460" s="10">
        <v>158271480000</v>
      </c>
      <c r="P460" s="10">
        <v>7.5300303660605508</v>
      </c>
      <c r="Q460" s="10">
        <v>0</v>
      </c>
      <c r="R460" s="10" t="s">
        <v>238</v>
      </c>
      <c r="S460" s="10">
        <v>0.41335627767977018</v>
      </c>
      <c r="T460" s="10">
        <v>0.27160133518871499</v>
      </c>
      <c r="U460" s="10">
        <v>9.4226423073111118E-2</v>
      </c>
      <c r="V460" s="10">
        <v>3.142658351156896</v>
      </c>
    </row>
    <row r="461" spans="1:22" x14ac:dyDescent="0.3">
      <c r="A461" s="10" t="s">
        <v>158</v>
      </c>
      <c r="B461" s="10">
        <v>2022</v>
      </c>
      <c r="C461" s="10">
        <v>58127476000</v>
      </c>
      <c r="D461" s="10">
        <v>13704143000</v>
      </c>
      <c r="E461" s="10">
        <v>876602301000</v>
      </c>
      <c r="F461" s="10">
        <v>538289996000</v>
      </c>
      <c r="G461" s="10">
        <v>218259872000</v>
      </c>
      <c r="H461" s="10">
        <v>191188510000</v>
      </c>
      <c r="I461" s="10">
        <v>658342429000</v>
      </c>
      <c r="J461" s="10">
        <v>202163296000</v>
      </c>
      <c r="K461" s="10">
        <v>347101486000</v>
      </c>
      <c r="L461" s="10"/>
      <c r="M461" s="10">
        <v>977707591000</v>
      </c>
      <c r="N461" s="10">
        <v>33640328000</v>
      </c>
      <c r="O461" s="10">
        <v>166748409000</v>
      </c>
      <c r="P461" s="10">
        <v>6.9620817261227668</v>
      </c>
      <c r="Q461" s="10">
        <v>0</v>
      </c>
      <c r="R461" s="10" t="s">
        <v>238</v>
      </c>
      <c r="S461" s="10">
        <v>0.39596232590769798</v>
      </c>
      <c r="T461" s="10">
        <v>0.23062145258959341</v>
      </c>
      <c r="U461" s="10">
        <v>6.6309974242241929E-2</v>
      </c>
      <c r="V461" s="10">
        <v>3.016323719826977</v>
      </c>
    </row>
    <row r="462" spans="1:22" x14ac:dyDescent="0.3">
      <c r="A462" s="10" t="s">
        <v>159</v>
      </c>
      <c r="B462" s="10">
        <v>2025</v>
      </c>
      <c r="C462" s="10">
        <v>2523339365000</v>
      </c>
      <c r="D462" s="10">
        <v>596178521000</v>
      </c>
      <c r="E462" s="10">
        <v>13583973802000</v>
      </c>
      <c r="F462" s="10">
        <v>5901249645000</v>
      </c>
      <c r="G462" s="10">
        <v>10642512002000</v>
      </c>
      <c r="H462" s="10">
        <v>4613340682000</v>
      </c>
      <c r="I462" s="10">
        <v>2277722695000</v>
      </c>
      <c r="J462" s="10">
        <v>2620224595000</v>
      </c>
      <c r="K462" s="10">
        <v>1287908963000</v>
      </c>
      <c r="L462" s="10"/>
      <c r="M462" s="10">
        <v>14813170793000</v>
      </c>
      <c r="N462" s="10">
        <v>1160696736000</v>
      </c>
      <c r="O462" s="10">
        <v>8423145970000</v>
      </c>
      <c r="P462" s="10">
        <v>2.7238035554751718</v>
      </c>
      <c r="Q462" s="10">
        <v>0</v>
      </c>
      <c r="R462" s="10" t="s">
        <v>238</v>
      </c>
      <c r="S462" s="10">
        <v>9.4810913343367775E-2</v>
      </c>
      <c r="T462" s="10">
        <v>0.19289087517337661</v>
      </c>
      <c r="U462" s="10">
        <v>0.1857585565004905</v>
      </c>
      <c r="V462" s="10">
        <v>0.21402115351826309</v>
      </c>
    </row>
    <row r="463" spans="1:22" x14ac:dyDescent="0.3">
      <c r="A463" s="10" t="s">
        <v>159</v>
      </c>
      <c r="B463" s="10">
        <v>2024</v>
      </c>
      <c r="C463" s="10">
        <v>1797095367000</v>
      </c>
      <c r="D463" s="10">
        <v>583913570000</v>
      </c>
      <c r="E463" s="10">
        <v>11871118225000</v>
      </c>
      <c r="F463" s="10">
        <v>5212497254000</v>
      </c>
      <c r="G463" s="10">
        <v>8986349964000</v>
      </c>
      <c r="H463" s="10">
        <v>4751235135000</v>
      </c>
      <c r="I463" s="10">
        <v>2621889491000</v>
      </c>
      <c r="J463" s="10">
        <v>2280648313000</v>
      </c>
      <c r="K463" s="10">
        <v>461262119000</v>
      </c>
      <c r="L463" s="10"/>
      <c r="M463" s="10">
        <v>10366799435000</v>
      </c>
      <c r="N463" s="10">
        <v>819533676000</v>
      </c>
      <c r="O463" s="10">
        <v>7177792682000</v>
      </c>
      <c r="P463" s="10">
        <v>2.2048480285257832</v>
      </c>
      <c r="Q463" s="10">
        <v>0</v>
      </c>
      <c r="R463" s="10" t="s">
        <v>239</v>
      </c>
      <c r="S463" s="10">
        <v>3.8855827248742612E-2</v>
      </c>
      <c r="T463" s="10">
        <v>0.19211739532650471</v>
      </c>
      <c r="U463" s="10">
        <v>0.15138383199784869</v>
      </c>
      <c r="V463" s="10">
        <v>0.29176356379436458</v>
      </c>
    </row>
    <row r="464" spans="1:22" x14ac:dyDescent="0.3">
      <c r="A464" s="10" t="s">
        <v>159</v>
      </c>
      <c r="B464" s="10">
        <v>2023</v>
      </c>
      <c r="C464" s="10">
        <v>1194405271000</v>
      </c>
      <c r="D464" s="10">
        <v>642270124000</v>
      </c>
      <c r="E464" s="10">
        <v>11943995440000</v>
      </c>
      <c r="F464" s="10">
        <v>5017475614000</v>
      </c>
      <c r="G464" s="10">
        <v>9947700957000</v>
      </c>
      <c r="H464" s="10">
        <v>4785421159000</v>
      </c>
      <c r="I464" s="10">
        <v>1756939733000</v>
      </c>
      <c r="J464" s="10">
        <v>1979428701000</v>
      </c>
      <c r="K464" s="10">
        <v>232054455000</v>
      </c>
      <c r="L464" s="10"/>
      <c r="M464" s="10">
        <v>10703411845000</v>
      </c>
      <c r="N464" s="10">
        <v>512255637000</v>
      </c>
      <c r="O464" s="10">
        <v>8290480362000</v>
      </c>
      <c r="P464" s="10">
        <v>1.525169273536193</v>
      </c>
      <c r="Q464" s="10">
        <v>0</v>
      </c>
      <c r="R464" s="10" t="s">
        <v>239</v>
      </c>
      <c r="S464" s="10">
        <v>1.9428545177006529E-2</v>
      </c>
      <c r="T464" s="10">
        <v>0.16572584198843271</v>
      </c>
      <c r="U464" s="10">
        <v>0.10000047948779189</v>
      </c>
      <c r="V464" s="10">
        <v>0.1766176667950273</v>
      </c>
    </row>
    <row r="465" spans="1:22" x14ac:dyDescent="0.3">
      <c r="A465" s="10" t="s">
        <v>159</v>
      </c>
      <c r="B465" s="10">
        <v>2022</v>
      </c>
      <c r="C465" s="10">
        <v>2556053492000</v>
      </c>
      <c r="D465" s="10">
        <v>591367325000</v>
      </c>
      <c r="E465" s="10">
        <v>11136909800000</v>
      </c>
      <c r="F465" s="10">
        <v>4638955633000</v>
      </c>
      <c r="G465" s="10">
        <v>9092405909000</v>
      </c>
      <c r="H465" s="10">
        <v>4172292592000</v>
      </c>
      <c r="I465" s="10">
        <v>2006272163000</v>
      </c>
      <c r="J465" s="10">
        <v>3616933978000</v>
      </c>
      <c r="K465" s="10">
        <v>466663041000</v>
      </c>
      <c r="L465" s="10"/>
      <c r="M465" s="10">
        <v>11240219016000</v>
      </c>
      <c r="N465" s="10">
        <v>1837375968000</v>
      </c>
      <c r="O465" s="10">
        <v>7162331870000</v>
      </c>
      <c r="P465" s="10">
        <v>3.1076361120646121</v>
      </c>
      <c r="Q465" s="10">
        <v>0</v>
      </c>
      <c r="R465" s="10" t="s">
        <v>238</v>
      </c>
      <c r="S465" s="10">
        <v>4.1902381305090573E-2</v>
      </c>
      <c r="T465" s="10">
        <v>0.32476998044825678</v>
      </c>
      <c r="U465" s="10">
        <v>0.22951191469648069</v>
      </c>
      <c r="V465" s="10">
        <v>0.220653607315762</v>
      </c>
    </row>
    <row r="466" spans="1:22" x14ac:dyDescent="0.3">
      <c r="A466" s="10" t="s">
        <v>160</v>
      </c>
      <c r="B466" s="10">
        <v>2023</v>
      </c>
      <c r="C466" s="10">
        <v>-11542706927</v>
      </c>
      <c r="D466" s="10">
        <v>0</v>
      </c>
      <c r="E466" s="10">
        <v>423860995132</v>
      </c>
      <c r="F466" s="10">
        <v>225961727243</v>
      </c>
      <c r="G466" s="10">
        <v>187999112808</v>
      </c>
      <c r="H466" s="10">
        <v>152875738521</v>
      </c>
      <c r="I466" s="10">
        <v>235861882324</v>
      </c>
      <c r="J466" s="10">
        <v>-133150581186</v>
      </c>
      <c r="K466" s="10">
        <v>73085988722</v>
      </c>
      <c r="L466" s="10"/>
      <c r="M466" s="10">
        <v>224458888000</v>
      </c>
      <c r="N466" s="10">
        <v>-6234987100</v>
      </c>
      <c r="O466" s="10"/>
      <c r="P466" s="10">
        <v>1.2413662485662971</v>
      </c>
      <c r="Q466" s="10">
        <v>0</v>
      </c>
      <c r="R466" s="10" t="s">
        <v>239</v>
      </c>
      <c r="S466" s="10">
        <v>0.1724291443689914</v>
      </c>
      <c r="T466" s="10">
        <v>-0.31413737691181959</v>
      </c>
      <c r="U466" s="10">
        <v>-2.723229327436778E-2</v>
      </c>
      <c r="V466" s="10">
        <v>1.2545904009923781</v>
      </c>
    </row>
    <row r="467" spans="1:22" x14ac:dyDescent="0.3">
      <c r="A467" s="10" t="s">
        <v>160</v>
      </c>
      <c r="B467" s="10">
        <v>2022</v>
      </c>
      <c r="C467" s="10">
        <v>-6300170811</v>
      </c>
      <c r="D467" s="10">
        <v>785092097</v>
      </c>
      <c r="E467" s="10">
        <v>442106656917</v>
      </c>
      <c r="F467" s="10">
        <v>234003843351</v>
      </c>
      <c r="G467" s="10">
        <v>203459115043</v>
      </c>
      <c r="H467" s="10">
        <v>164175570860</v>
      </c>
      <c r="I467" s="10">
        <v>238647541874</v>
      </c>
      <c r="J467" s="10">
        <v>-126915594086</v>
      </c>
      <c r="K467" s="10">
        <v>69828272491</v>
      </c>
      <c r="L467" s="10"/>
      <c r="M467" s="10">
        <v>260232693262</v>
      </c>
      <c r="N467" s="10">
        <v>-6044861775</v>
      </c>
      <c r="O467" s="10">
        <v>0</v>
      </c>
      <c r="P467" s="10">
        <v>1.2361029228252101</v>
      </c>
      <c r="Q467" s="10">
        <v>0</v>
      </c>
      <c r="R467" s="10" t="s">
        <v>239</v>
      </c>
      <c r="S467" s="10">
        <v>0.15794440413528851</v>
      </c>
      <c r="T467" s="10">
        <v>-0.28707008162020692</v>
      </c>
      <c r="U467" s="10">
        <v>-1.4250341433295311E-2</v>
      </c>
      <c r="V467" s="10">
        <v>1.172950849725082</v>
      </c>
    </row>
    <row r="468" spans="1:22" x14ac:dyDescent="0.3">
      <c r="A468" s="10" t="s">
        <v>161</v>
      </c>
      <c r="B468" s="10">
        <v>2025</v>
      </c>
      <c r="C468" s="10">
        <v>2429809000000</v>
      </c>
      <c r="D468" s="10">
        <v>96750000000</v>
      </c>
      <c r="E468" s="10">
        <v>9562814000000</v>
      </c>
      <c r="F468" s="10">
        <v>3938699000000</v>
      </c>
      <c r="G468" s="10">
        <v>2560432000000</v>
      </c>
      <c r="H468" s="10">
        <v>1240038000000</v>
      </c>
      <c r="I468" s="10">
        <v>6466627000000</v>
      </c>
      <c r="J468" s="10">
        <v>3927103000000</v>
      </c>
      <c r="K468" s="10">
        <v>2698661000000</v>
      </c>
      <c r="L468" s="10"/>
      <c r="M468" s="10">
        <v>9669155000000</v>
      </c>
      <c r="N468" s="10">
        <v>1606280000000</v>
      </c>
      <c r="O468" s="10">
        <v>1790260000000</v>
      </c>
      <c r="P468" s="10">
        <v>7.5493806925620532</v>
      </c>
      <c r="Q468" s="10">
        <v>0</v>
      </c>
      <c r="R468" s="10" t="s">
        <v>238</v>
      </c>
      <c r="S468" s="10">
        <v>0.28220364842398898</v>
      </c>
      <c r="T468" s="10">
        <v>0.41066395309999748</v>
      </c>
      <c r="U468" s="10">
        <v>0.25408932977259618</v>
      </c>
      <c r="V468" s="10">
        <v>2.525599976878901</v>
      </c>
    </row>
    <row r="469" spans="1:22" x14ac:dyDescent="0.3">
      <c r="A469" s="10" t="s">
        <v>161</v>
      </c>
      <c r="B469" s="10">
        <v>2024</v>
      </c>
      <c r="C469" s="10">
        <v>1919417000000</v>
      </c>
      <c r="D469" s="10">
        <v>88281000000</v>
      </c>
      <c r="E469" s="10">
        <v>8083501000000</v>
      </c>
      <c r="F469" s="10">
        <v>2371864000000</v>
      </c>
      <c r="G469" s="10">
        <v>2183533000000</v>
      </c>
      <c r="H469" s="10">
        <v>1174077000000</v>
      </c>
      <c r="I469" s="10">
        <v>5468706000000</v>
      </c>
      <c r="J469" s="10">
        <v>2920508000000</v>
      </c>
      <c r="K469" s="10">
        <v>1197787000000</v>
      </c>
      <c r="L469" s="10"/>
      <c r="M469" s="10">
        <v>6439474000000</v>
      </c>
      <c r="N469" s="10">
        <v>1282223000000</v>
      </c>
      <c r="O469" s="10">
        <v>1513290000000</v>
      </c>
      <c r="P469" s="10">
        <v>6.3752563079327933</v>
      </c>
      <c r="Q469" s="10">
        <v>0</v>
      </c>
      <c r="R469" s="10" t="s">
        <v>238</v>
      </c>
      <c r="S469" s="10">
        <v>0.14817676152944129</v>
      </c>
      <c r="T469" s="10">
        <v>0.36129246473774168</v>
      </c>
      <c r="U469" s="10">
        <v>0.2374487242594514</v>
      </c>
      <c r="V469" s="10">
        <v>2.5045218002201022</v>
      </c>
    </row>
    <row r="470" spans="1:22" x14ac:dyDescent="0.3">
      <c r="A470" s="10" t="s">
        <v>161</v>
      </c>
      <c r="B470" s="10">
        <v>2023</v>
      </c>
      <c r="C470" s="10">
        <v>1116419000000</v>
      </c>
      <c r="D470" s="10">
        <v>109159000000</v>
      </c>
      <c r="E470" s="10">
        <v>6681163000000</v>
      </c>
      <c r="F470" s="10">
        <v>1559204000000</v>
      </c>
      <c r="G470" s="10">
        <v>1877485000000</v>
      </c>
      <c r="H470" s="10">
        <v>747248000000</v>
      </c>
      <c r="I470" s="10">
        <v>4470153000000</v>
      </c>
      <c r="J470" s="10">
        <v>1932662000000</v>
      </c>
      <c r="K470" s="10">
        <v>811956000000</v>
      </c>
      <c r="L470" s="10"/>
      <c r="M470" s="10">
        <v>5285201000000</v>
      </c>
      <c r="N470" s="10">
        <v>681880000000</v>
      </c>
      <c r="O470" s="10">
        <v>1437777000000</v>
      </c>
      <c r="P470" s="10">
        <v>5.3631333568889517</v>
      </c>
      <c r="Q470" s="10">
        <v>0</v>
      </c>
      <c r="R470" s="10" t="s">
        <v>238</v>
      </c>
      <c r="S470" s="10">
        <v>0.1215291409594407</v>
      </c>
      <c r="T470" s="10">
        <v>0.2892702962044183</v>
      </c>
      <c r="U470" s="10">
        <v>0.16709950049115699</v>
      </c>
      <c r="V470" s="10">
        <v>2.3809260793028968</v>
      </c>
    </row>
    <row r="471" spans="1:22" x14ac:dyDescent="0.3">
      <c r="A471" s="10" t="s">
        <v>161</v>
      </c>
      <c r="B471" s="10">
        <v>2022</v>
      </c>
      <c r="C471" s="10">
        <v>1781047000000</v>
      </c>
      <c r="D471" s="10">
        <v>143370000000</v>
      </c>
      <c r="E471" s="10">
        <v>7012183000000</v>
      </c>
      <c r="F471" s="10">
        <v>2300058000000</v>
      </c>
      <c r="G471" s="10">
        <v>2368873000000</v>
      </c>
      <c r="H471" s="10">
        <v>890815000000</v>
      </c>
      <c r="I471" s="10">
        <v>4283368000000</v>
      </c>
      <c r="J471" s="10">
        <v>1752337000000</v>
      </c>
      <c r="K471" s="10">
        <v>1409243000000</v>
      </c>
      <c r="L471" s="10"/>
      <c r="M471" s="10">
        <v>6045448000000</v>
      </c>
      <c r="N471" s="10">
        <v>1112582000000</v>
      </c>
      <c r="O471" s="10">
        <v>1750185000000</v>
      </c>
      <c r="P471" s="10">
        <v>5.7384700006717839</v>
      </c>
      <c r="Q471" s="10">
        <v>0</v>
      </c>
      <c r="R471" s="10" t="s">
        <v>238</v>
      </c>
      <c r="S471" s="10">
        <v>0.20097065350405141</v>
      </c>
      <c r="T471" s="10">
        <v>0.2498989259122302</v>
      </c>
      <c r="U471" s="10">
        <v>0.25399322864220741</v>
      </c>
      <c r="V471" s="10">
        <v>1.808188113081622</v>
      </c>
    </row>
    <row r="472" spans="1:22" x14ac:dyDescent="0.3">
      <c r="A472" s="10" t="s">
        <v>162</v>
      </c>
      <c r="B472" s="10">
        <v>2025</v>
      </c>
      <c r="C472" s="10">
        <v>-26191381500</v>
      </c>
      <c r="D472" s="10">
        <v>567525357</v>
      </c>
      <c r="E472" s="10">
        <v>133065431069</v>
      </c>
      <c r="F472" s="10">
        <v>57761414525</v>
      </c>
      <c r="G472" s="10">
        <v>16575939432</v>
      </c>
      <c r="H472" s="10">
        <v>8714466858</v>
      </c>
      <c r="I472" s="10">
        <v>116427654743</v>
      </c>
      <c r="J472" s="10">
        <v>-112962292688</v>
      </c>
      <c r="K472" s="10">
        <v>49046947667</v>
      </c>
      <c r="L472" s="10"/>
      <c r="M472" s="10">
        <v>12907670071</v>
      </c>
      <c r="N472" s="10">
        <v>-21325918602</v>
      </c>
      <c r="O472" s="10">
        <v>3753851163</v>
      </c>
      <c r="P472" s="10">
        <v>5.7028657348794329</v>
      </c>
      <c r="Q472" s="10">
        <v>0</v>
      </c>
      <c r="R472" s="10" t="s">
        <v>238</v>
      </c>
      <c r="S472" s="10">
        <v>0.36859270866200478</v>
      </c>
      <c r="T472" s="10">
        <v>-0.8489229079295908</v>
      </c>
      <c r="U472" s="10">
        <v>-0.1968308469719583</v>
      </c>
      <c r="V472" s="10">
        <v>7.0238947976749584</v>
      </c>
    </row>
    <row r="473" spans="1:22" x14ac:dyDescent="0.3">
      <c r="A473" s="10" t="s">
        <v>162</v>
      </c>
      <c r="B473" s="10">
        <v>2024</v>
      </c>
      <c r="C473" s="10">
        <v>-17817220337</v>
      </c>
      <c r="D473" s="10">
        <v>626065901</v>
      </c>
      <c r="E473" s="10">
        <v>152392522418</v>
      </c>
      <c r="F473" s="10">
        <v>75360868666</v>
      </c>
      <c r="G473" s="10">
        <v>14681946777</v>
      </c>
      <c r="H473" s="10">
        <v>7169834999</v>
      </c>
      <c r="I473" s="10">
        <v>137709717476</v>
      </c>
      <c r="J473" s="10">
        <v>-91636374086</v>
      </c>
      <c r="K473" s="10">
        <v>68191033667</v>
      </c>
      <c r="L473" s="10"/>
      <c r="M473" s="10">
        <v>18901871943</v>
      </c>
      <c r="N473" s="10">
        <v>-16184418195</v>
      </c>
      <c r="O473" s="10">
        <v>4002268556</v>
      </c>
      <c r="P473" s="10">
        <v>10.037927962428711</v>
      </c>
      <c r="Q473" s="10">
        <v>0</v>
      </c>
      <c r="R473" s="10" t="s">
        <v>238</v>
      </c>
      <c r="S473" s="10">
        <v>0.44746968279688731</v>
      </c>
      <c r="T473" s="10">
        <v>-0.60131804784127829</v>
      </c>
      <c r="U473" s="10">
        <v>-0.1169166311725509</v>
      </c>
      <c r="V473" s="10">
        <v>9.3795270864030869</v>
      </c>
    </row>
    <row r="474" spans="1:22" x14ac:dyDescent="0.3">
      <c r="A474" s="10" t="s">
        <v>162</v>
      </c>
      <c r="B474" s="10">
        <v>2023</v>
      </c>
      <c r="C474" s="10">
        <v>12509211808</v>
      </c>
      <c r="D474" s="10">
        <v>658965755</v>
      </c>
      <c r="E474" s="10">
        <v>166130004642</v>
      </c>
      <c r="F474" s="10">
        <v>89066018857</v>
      </c>
      <c r="G474" s="10">
        <v>12320565640</v>
      </c>
      <c r="H474" s="10">
        <v>5209524329</v>
      </c>
      <c r="I474" s="10">
        <v>153808495685</v>
      </c>
      <c r="J474" s="10">
        <v>-75451955891</v>
      </c>
      <c r="K474" s="10">
        <v>83856494528</v>
      </c>
      <c r="L474" s="10"/>
      <c r="M474" s="10">
        <v>39284095739</v>
      </c>
      <c r="N474" s="10">
        <v>10978952399</v>
      </c>
      <c r="O474" s="10">
        <v>4851241055</v>
      </c>
      <c r="P474" s="10">
        <v>15.44472351193596</v>
      </c>
      <c r="Q474" s="10">
        <v>0</v>
      </c>
      <c r="R474" s="10" t="s">
        <v>238</v>
      </c>
      <c r="S474" s="10">
        <v>0.50476429413642421</v>
      </c>
      <c r="T474" s="10">
        <v>-0.45417416350282031</v>
      </c>
      <c r="U474" s="10">
        <v>7.529772743314242E-2</v>
      </c>
      <c r="V474" s="10">
        <v>12.4838826543519</v>
      </c>
    </row>
    <row r="475" spans="1:22" x14ac:dyDescent="0.3">
      <c r="A475" s="10" t="s">
        <v>163</v>
      </c>
      <c r="B475" s="10">
        <v>2025</v>
      </c>
      <c r="C475" s="10">
        <v>1421319759735</v>
      </c>
      <c r="D475" s="10">
        <v>0</v>
      </c>
      <c r="E475" s="10">
        <v>8007696948525</v>
      </c>
      <c r="F475" s="10">
        <v>6053192074702</v>
      </c>
      <c r="G475" s="10">
        <v>687902274467</v>
      </c>
      <c r="H475" s="10">
        <v>556276877849</v>
      </c>
      <c r="I475" s="10">
        <v>7291197149821</v>
      </c>
      <c r="J475" s="10">
        <v>7013969436726</v>
      </c>
      <c r="K475" s="10">
        <v>5496915196853</v>
      </c>
      <c r="L475" s="10"/>
      <c r="M475" s="10">
        <v>5235956036238</v>
      </c>
      <c r="N475" s="10">
        <v>1180240828444</v>
      </c>
      <c r="O475" s="10"/>
      <c r="P475" s="10">
        <v>19.680478802588109</v>
      </c>
      <c r="Q475" s="10">
        <v>0</v>
      </c>
      <c r="R475" s="10" t="s">
        <v>238</v>
      </c>
      <c r="S475" s="10">
        <v>0.68645394951734773</v>
      </c>
      <c r="T475" s="10">
        <v>0.87590345661344704</v>
      </c>
      <c r="U475" s="10">
        <v>0.17749419950224321</v>
      </c>
      <c r="V475" s="10">
        <v>10.599175813847051</v>
      </c>
    </row>
    <row r="476" spans="1:22" x14ac:dyDescent="0.3">
      <c r="A476" s="10" t="s">
        <v>163</v>
      </c>
      <c r="B476" s="10">
        <v>2024</v>
      </c>
      <c r="C476" s="10">
        <v>1509020956462</v>
      </c>
      <c r="D476" s="10">
        <v>300093</v>
      </c>
      <c r="E476" s="10">
        <v>6762107188564</v>
      </c>
      <c r="F476" s="10">
        <v>4753072419163</v>
      </c>
      <c r="G476" s="10">
        <v>616035183328</v>
      </c>
      <c r="H476" s="10">
        <v>501673607162</v>
      </c>
      <c r="I476" s="10">
        <v>6117609560514</v>
      </c>
      <c r="J476" s="10">
        <v>5833728608282</v>
      </c>
      <c r="K476" s="10">
        <v>4251398812001</v>
      </c>
      <c r="L476" s="10"/>
      <c r="M476" s="10">
        <v>4959939533239</v>
      </c>
      <c r="N476" s="10">
        <v>1314328079733</v>
      </c>
      <c r="O476" s="10"/>
      <c r="P476" s="10">
        <v>18.863534883945341</v>
      </c>
      <c r="Q476" s="10">
        <v>0</v>
      </c>
      <c r="R476" s="10" t="s">
        <v>238</v>
      </c>
      <c r="S476" s="10">
        <v>0.62870917207448562</v>
      </c>
      <c r="T476" s="10">
        <v>0.86270868615450769</v>
      </c>
      <c r="U476" s="10">
        <v>0.22315839048130429</v>
      </c>
      <c r="V476" s="10">
        <v>9.9306171564177657</v>
      </c>
    </row>
    <row r="477" spans="1:22" x14ac:dyDescent="0.3">
      <c r="A477" s="10" t="s">
        <v>163</v>
      </c>
      <c r="B477" s="10">
        <v>2023</v>
      </c>
      <c r="C477" s="10">
        <v>1102648640241</v>
      </c>
      <c r="D477" s="10">
        <v>8293573</v>
      </c>
      <c r="E477" s="10">
        <v>5482234635262</v>
      </c>
      <c r="F477" s="10">
        <v>3495987886882</v>
      </c>
      <c r="G477" s="10">
        <v>634723259687</v>
      </c>
      <c r="H477" s="10">
        <v>502706566446</v>
      </c>
      <c r="I477" s="10">
        <v>4816022198656</v>
      </c>
      <c r="J477" s="10">
        <v>4523729195906</v>
      </c>
      <c r="K477" s="10">
        <v>2993281320436</v>
      </c>
      <c r="L477" s="10"/>
      <c r="M477" s="10">
        <v>4767207433046</v>
      </c>
      <c r="N477" s="10">
        <v>917689903741</v>
      </c>
      <c r="O477" s="10"/>
      <c r="P477" s="10">
        <v>15.590339441549879</v>
      </c>
      <c r="Q477" s="10">
        <v>0</v>
      </c>
      <c r="R477" s="10" t="s">
        <v>238</v>
      </c>
      <c r="S477" s="10">
        <v>0.54599657248944966</v>
      </c>
      <c r="T477" s="10">
        <v>0.82516154394581243</v>
      </c>
      <c r="U477" s="10">
        <v>0.20113123819048351</v>
      </c>
      <c r="V477" s="10">
        <v>7.5875936877292256</v>
      </c>
    </row>
    <row r="478" spans="1:22" x14ac:dyDescent="0.3">
      <c r="A478" s="10" t="s">
        <v>163</v>
      </c>
      <c r="B478" s="10">
        <v>2022</v>
      </c>
      <c r="C478" s="10">
        <v>756754646979</v>
      </c>
      <c r="D478" s="10">
        <v>31126374</v>
      </c>
      <c r="E478" s="10">
        <v>4590737849889</v>
      </c>
      <c r="F478" s="10">
        <v>2575390271556</v>
      </c>
      <c r="G478" s="10">
        <v>662339075974</v>
      </c>
      <c r="H478" s="10">
        <v>530693880588</v>
      </c>
      <c r="I478" s="10">
        <v>3897071614026</v>
      </c>
      <c r="J478" s="10">
        <v>3606039292165</v>
      </c>
      <c r="K478" s="10">
        <v>2044696390968</v>
      </c>
      <c r="L478" s="10"/>
      <c r="M478" s="10">
        <v>4931553771470</v>
      </c>
      <c r="N478" s="10">
        <v>624477421592</v>
      </c>
      <c r="O478" s="10">
        <v>0</v>
      </c>
      <c r="P478" s="10">
        <v>12.76828019126572</v>
      </c>
      <c r="Q478" s="10">
        <v>0</v>
      </c>
      <c r="R478" s="10" t="s">
        <v>238</v>
      </c>
      <c r="S478" s="10">
        <v>0.44539602517652782</v>
      </c>
      <c r="T478" s="10">
        <v>0.78550320451257982</v>
      </c>
      <c r="U478" s="10">
        <v>0.16484379455413639</v>
      </c>
      <c r="V478" s="10">
        <v>5.883801447612278</v>
      </c>
    </row>
    <row r="479" spans="1:22" x14ac:dyDescent="0.3">
      <c r="A479" s="10" t="s">
        <v>165</v>
      </c>
      <c r="B479" s="10">
        <v>2025</v>
      </c>
      <c r="C479" s="10">
        <v>-4178086635</v>
      </c>
      <c r="D479" s="10">
        <v>65769690</v>
      </c>
      <c r="E479" s="10">
        <v>386500195535</v>
      </c>
      <c r="F479" s="10">
        <v>198368263349</v>
      </c>
      <c r="G479" s="10">
        <v>46043020695</v>
      </c>
      <c r="H479" s="10">
        <v>41043973504</v>
      </c>
      <c r="I479" s="10">
        <v>340457174840</v>
      </c>
      <c r="J479" s="10">
        <v>4079416268</v>
      </c>
      <c r="K479" s="10">
        <v>157324289845</v>
      </c>
      <c r="L479" s="10"/>
      <c r="M479" s="10">
        <v>150238100225</v>
      </c>
      <c r="N479" s="10">
        <v>-3379066778</v>
      </c>
      <c r="O479" s="10">
        <v>1584984013</v>
      </c>
      <c r="P479" s="10">
        <v>10.39604643135703</v>
      </c>
      <c r="Q479" s="10">
        <v>0</v>
      </c>
      <c r="R479" s="10" t="s">
        <v>238</v>
      </c>
      <c r="S479" s="10">
        <v>0.40704840945094239</v>
      </c>
      <c r="T479" s="10">
        <v>1.0554758613648831E-2</v>
      </c>
      <c r="U479" s="10">
        <v>-1.081005050777949E-2</v>
      </c>
      <c r="V479" s="10">
        <v>7.3943275158958377</v>
      </c>
    </row>
    <row r="480" spans="1:22" x14ac:dyDescent="0.3">
      <c r="A480" s="10" t="s">
        <v>165</v>
      </c>
      <c r="B480" s="10">
        <v>2024</v>
      </c>
      <c r="C480" s="10">
        <v>-3958031451</v>
      </c>
      <c r="D480" s="10">
        <v>15899136</v>
      </c>
      <c r="E480" s="10">
        <v>398615366473</v>
      </c>
      <c r="F480" s="10">
        <v>210300903901</v>
      </c>
      <c r="G480" s="10">
        <v>55446687723</v>
      </c>
      <c r="H480" s="10">
        <v>50490996182</v>
      </c>
      <c r="I480" s="10">
        <v>343168678750</v>
      </c>
      <c r="J480" s="10">
        <v>7458483046</v>
      </c>
      <c r="K480" s="10">
        <v>159809907719</v>
      </c>
      <c r="L480" s="10"/>
      <c r="M480" s="10">
        <v>116670413489</v>
      </c>
      <c r="N480" s="10">
        <v>-3873514639</v>
      </c>
      <c r="O480" s="10">
        <v>1134230310</v>
      </c>
      <c r="P480" s="10">
        <v>9.1228811511757328</v>
      </c>
      <c r="Q480" s="10">
        <v>0</v>
      </c>
      <c r="R480" s="10" t="s">
        <v>238</v>
      </c>
      <c r="S480" s="10">
        <v>0.40091256173342887</v>
      </c>
      <c r="T480" s="10">
        <v>1.8710977230992409E-2</v>
      </c>
      <c r="U480" s="10">
        <v>-9.9294502518083305E-3</v>
      </c>
      <c r="V480" s="10">
        <v>6.1891646344033857</v>
      </c>
    </row>
    <row r="481" spans="1:22" x14ac:dyDescent="0.3">
      <c r="A481" s="10" t="s">
        <v>165</v>
      </c>
      <c r="B481" s="10">
        <v>2023</v>
      </c>
      <c r="C481" s="10">
        <v>7386004219</v>
      </c>
      <c r="D481" s="10">
        <v>0</v>
      </c>
      <c r="E481" s="10">
        <v>407959723999</v>
      </c>
      <c r="F481" s="10">
        <v>292292287158</v>
      </c>
      <c r="G481" s="10">
        <v>61386923500</v>
      </c>
      <c r="H481" s="10">
        <v>56513639722</v>
      </c>
      <c r="I481" s="10">
        <v>346572800499</v>
      </c>
      <c r="J481" s="10">
        <v>12331997685</v>
      </c>
      <c r="K481" s="10">
        <v>235778647436</v>
      </c>
      <c r="L481" s="10"/>
      <c r="M481" s="10">
        <v>81718159248</v>
      </c>
      <c r="N481" s="10">
        <v>5468363215</v>
      </c>
      <c r="O481" s="10">
        <v>0</v>
      </c>
      <c r="P481" s="10">
        <v>9.9395297750152469</v>
      </c>
      <c r="Q481" s="10">
        <v>0</v>
      </c>
      <c r="R481" s="10" t="s">
        <v>238</v>
      </c>
      <c r="S481" s="10">
        <v>0.57794589408188235</v>
      </c>
      <c r="T481" s="10">
        <v>3.022846854615047E-2</v>
      </c>
      <c r="U481" s="10">
        <v>1.8104738738910671E-2</v>
      </c>
      <c r="V481" s="10">
        <v>5.6457105314782554</v>
      </c>
    </row>
    <row r="482" spans="1:22" x14ac:dyDescent="0.3">
      <c r="A482" s="10" t="s">
        <v>165</v>
      </c>
      <c r="B482" s="10">
        <v>2022</v>
      </c>
      <c r="C482" s="10">
        <v>-5157354872</v>
      </c>
      <c r="D482" s="10"/>
      <c r="E482" s="10">
        <v>187796261619</v>
      </c>
      <c r="F482" s="10">
        <v>119461251659</v>
      </c>
      <c r="G482" s="10">
        <v>84353287762</v>
      </c>
      <c r="H482" s="10">
        <v>78793664015</v>
      </c>
      <c r="I482" s="10">
        <v>103442973857</v>
      </c>
      <c r="J482" s="10">
        <v>69133634470</v>
      </c>
      <c r="K482" s="10">
        <v>40667587644</v>
      </c>
      <c r="L482" s="10"/>
      <c r="M482" s="10">
        <v>93326935271</v>
      </c>
      <c r="N482" s="10">
        <v>10226219024</v>
      </c>
      <c r="O482" s="10">
        <v>0</v>
      </c>
      <c r="P482" s="10">
        <v>3.7237596288109511</v>
      </c>
      <c r="Q482" s="10">
        <v>0</v>
      </c>
      <c r="R482" s="10" t="s">
        <v>238</v>
      </c>
      <c r="S482" s="10">
        <v>0.21655163576422079</v>
      </c>
      <c r="T482" s="10">
        <v>0.36813104730624469</v>
      </c>
      <c r="U482" s="10">
        <v>-2.7462500198556731E-2</v>
      </c>
      <c r="V482" s="10">
        <v>1.2263063669653389</v>
      </c>
    </row>
    <row r="483" spans="1:22" x14ac:dyDescent="0.3">
      <c r="A483" s="10" t="s">
        <v>166</v>
      </c>
      <c r="B483" s="10">
        <v>2025</v>
      </c>
      <c r="C483" s="10">
        <v>4718181000000</v>
      </c>
      <c r="D483" s="10">
        <v>56860000000</v>
      </c>
      <c r="E483" s="10">
        <v>14696563000000</v>
      </c>
      <c r="F483" s="10">
        <v>3981264000000</v>
      </c>
      <c r="G483" s="10">
        <v>3009078000000</v>
      </c>
      <c r="H483" s="10">
        <v>1869806000000</v>
      </c>
      <c r="I483" s="10">
        <v>11209079000000</v>
      </c>
      <c r="J483" s="10">
        <v>5983473000000</v>
      </c>
      <c r="K483" s="10">
        <v>2111458000000</v>
      </c>
      <c r="L483" s="10"/>
      <c r="M483" s="10">
        <v>11402198000000</v>
      </c>
      <c r="N483" s="10">
        <v>3702266000000</v>
      </c>
      <c r="O483" s="10">
        <v>1099410000000</v>
      </c>
      <c r="P483" s="10">
        <v>8.3384629357775992</v>
      </c>
      <c r="Q483" s="10">
        <v>0</v>
      </c>
      <c r="R483" s="10" t="s">
        <v>238</v>
      </c>
      <c r="S483" s="10">
        <v>0.14367019009818829</v>
      </c>
      <c r="T483" s="10">
        <v>0.40713417143858738</v>
      </c>
      <c r="U483" s="10">
        <v>0.32103975603003232</v>
      </c>
      <c r="V483" s="10">
        <v>3.7250875517351161</v>
      </c>
    </row>
    <row r="484" spans="1:22" x14ac:dyDescent="0.3">
      <c r="A484" s="10" t="s">
        <v>166</v>
      </c>
      <c r="B484" s="10">
        <v>2024</v>
      </c>
      <c r="C484" s="10">
        <v>4002347000000</v>
      </c>
      <c r="D484" s="10">
        <v>75443000000</v>
      </c>
      <c r="E484" s="10">
        <v>14307265000000</v>
      </c>
      <c r="F484" s="10">
        <v>3246648000000</v>
      </c>
      <c r="G484" s="10">
        <v>3030836000000</v>
      </c>
      <c r="H484" s="10">
        <v>2362276000000</v>
      </c>
      <c r="I484" s="10">
        <v>10807905000000</v>
      </c>
      <c r="J484" s="10">
        <v>5556876000000</v>
      </c>
      <c r="K484" s="10">
        <v>884372000000</v>
      </c>
      <c r="L484" s="10"/>
      <c r="M484" s="10">
        <v>9671463000000</v>
      </c>
      <c r="N484" s="10">
        <v>3120276000000</v>
      </c>
      <c r="O484" s="10">
        <v>1099999000000</v>
      </c>
      <c r="P484" s="10">
        <v>7.2958096336223601</v>
      </c>
      <c r="Q484" s="10">
        <v>0</v>
      </c>
      <c r="R484" s="10" t="s">
        <v>238</v>
      </c>
      <c r="S484" s="10">
        <v>6.1812792312157493E-2</v>
      </c>
      <c r="T484" s="10">
        <v>0.38839540611011258</v>
      </c>
      <c r="U484" s="10">
        <v>0.2797422847763007</v>
      </c>
      <c r="V484" s="10">
        <v>3.5659814651799042</v>
      </c>
    </row>
    <row r="485" spans="1:22" x14ac:dyDescent="0.3">
      <c r="A485" s="10" t="s">
        <v>166</v>
      </c>
      <c r="B485" s="10">
        <v>2023</v>
      </c>
      <c r="C485" s="10">
        <v>2059009000000</v>
      </c>
      <c r="D485" s="10">
        <v>117911000000</v>
      </c>
      <c r="E485" s="10">
        <v>13867387000000</v>
      </c>
      <c r="F485" s="10">
        <v>2445565000000</v>
      </c>
      <c r="G485" s="10">
        <v>2527847000000</v>
      </c>
      <c r="H485" s="10">
        <v>1958582000000</v>
      </c>
      <c r="I485" s="10">
        <v>10893957000000</v>
      </c>
      <c r="J485" s="10">
        <v>5751974000000</v>
      </c>
      <c r="K485" s="10">
        <v>486983000000</v>
      </c>
      <c r="L485" s="10"/>
      <c r="M485" s="10">
        <v>8325887000000</v>
      </c>
      <c r="N485" s="10">
        <v>1608217000000</v>
      </c>
      <c r="O485" s="10">
        <v>1121100000000</v>
      </c>
      <c r="P485" s="10">
        <v>7.1053990023376601</v>
      </c>
      <c r="Q485" s="10">
        <v>0</v>
      </c>
      <c r="R485" s="10" t="s">
        <v>238</v>
      </c>
      <c r="S485" s="10">
        <v>3.5117142111920581E-2</v>
      </c>
      <c r="T485" s="10">
        <v>0.41478427046133493</v>
      </c>
      <c r="U485" s="10">
        <v>0.1484785129310951</v>
      </c>
      <c r="V485" s="10">
        <v>4.3095792585548098</v>
      </c>
    </row>
    <row r="486" spans="1:22" x14ac:dyDescent="0.3">
      <c r="A486" s="10" t="s">
        <v>166</v>
      </c>
      <c r="B486" s="10">
        <v>2022</v>
      </c>
      <c r="C486" s="10">
        <v>3800614000000</v>
      </c>
      <c r="D486" s="10">
        <v>111333000000</v>
      </c>
      <c r="E486" s="10">
        <v>14526124000000</v>
      </c>
      <c r="F486" s="10">
        <v>3679197000000</v>
      </c>
      <c r="G486" s="10">
        <v>4113380000000</v>
      </c>
      <c r="H486" s="10">
        <v>2093814000000</v>
      </c>
      <c r="I486" s="10">
        <v>10021277000000</v>
      </c>
      <c r="J486" s="10">
        <v>4898154000000</v>
      </c>
      <c r="K486" s="10">
        <v>1585383000000</v>
      </c>
      <c r="L486" s="10"/>
      <c r="M486" s="10">
        <v>9345641000000</v>
      </c>
      <c r="N486" s="10">
        <v>2981120000000</v>
      </c>
      <c r="O486" s="10">
        <v>2336134000000</v>
      </c>
      <c r="P486" s="10">
        <v>6.1315157107483973</v>
      </c>
      <c r="Q486" s="10">
        <v>0</v>
      </c>
      <c r="R486" s="10" t="s">
        <v>238</v>
      </c>
      <c r="S486" s="10">
        <v>0.1091401257486168</v>
      </c>
      <c r="T486" s="10">
        <v>0.337196212836955</v>
      </c>
      <c r="U486" s="10">
        <v>0.2616399254198849</v>
      </c>
      <c r="V486" s="10">
        <v>2.436263364921305</v>
      </c>
    </row>
    <row r="487" spans="1:22" x14ac:dyDescent="0.3">
      <c r="A487" s="10" t="s">
        <v>167</v>
      </c>
      <c r="B487" s="10">
        <v>2025</v>
      </c>
      <c r="C487" s="10">
        <v>2522045000000</v>
      </c>
      <c r="D487" s="10">
        <v>1379594000000</v>
      </c>
      <c r="E487" s="10">
        <v>30523947000000</v>
      </c>
      <c r="F487" s="10">
        <v>15095320000000</v>
      </c>
      <c r="G487" s="10">
        <v>21271132000000</v>
      </c>
      <c r="H487" s="10">
        <v>12661994000000</v>
      </c>
      <c r="I487" s="10">
        <v>9238945000000</v>
      </c>
      <c r="J487" s="10">
        <v>6940859000000</v>
      </c>
      <c r="K487" s="10">
        <v>2433326000000</v>
      </c>
      <c r="L487" s="10"/>
      <c r="M487" s="10">
        <v>22878488000000</v>
      </c>
      <c r="N487" s="10">
        <v>900022000000</v>
      </c>
      <c r="O487" s="10">
        <v>17904231000000</v>
      </c>
      <c r="P487" s="10">
        <v>2.275547247140282</v>
      </c>
      <c r="Q487" s="10">
        <v>0</v>
      </c>
      <c r="R487" s="10" t="s">
        <v>239</v>
      </c>
      <c r="S487" s="10">
        <v>7.9718589473373153E-2</v>
      </c>
      <c r="T487" s="10">
        <v>0.22739061236084571</v>
      </c>
      <c r="U487" s="10">
        <v>8.2625127084646033E-2</v>
      </c>
      <c r="V487" s="10">
        <v>0.43434195227597672</v>
      </c>
    </row>
    <row r="488" spans="1:22" x14ac:dyDescent="0.3">
      <c r="A488" s="10" t="s">
        <v>167</v>
      </c>
      <c r="B488" s="10">
        <v>2024</v>
      </c>
      <c r="C488" s="10">
        <v>2102478000000</v>
      </c>
      <c r="D488" s="10">
        <v>1198518000000</v>
      </c>
      <c r="E488" s="10">
        <v>27763549000000</v>
      </c>
      <c r="F488" s="10">
        <v>13466360000000</v>
      </c>
      <c r="G488" s="10">
        <v>19315115000000</v>
      </c>
      <c r="H488" s="10">
        <v>10336487000000</v>
      </c>
      <c r="I488" s="10">
        <v>8435143000000</v>
      </c>
      <c r="J488" s="10">
        <v>6122678000000</v>
      </c>
      <c r="K488" s="10">
        <v>3129873000000</v>
      </c>
      <c r="L488" s="10"/>
      <c r="M488" s="10">
        <v>17410560000000</v>
      </c>
      <c r="N488" s="10">
        <v>700019000000</v>
      </c>
      <c r="O488" s="10">
        <v>14804092000000</v>
      </c>
      <c r="P488" s="10">
        <v>2.4258951488237339</v>
      </c>
      <c r="Q488" s="10">
        <v>0</v>
      </c>
      <c r="R488" s="10" t="s">
        <v>239</v>
      </c>
      <c r="S488" s="10">
        <v>0.112733173990112</v>
      </c>
      <c r="T488" s="10">
        <v>0.220529371082926</v>
      </c>
      <c r="U488" s="10">
        <v>7.5727998607094504E-2</v>
      </c>
      <c r="V488" s="10">
        <v>0.43671202578912938</v>
      </c>
    </row>
    <row r="489" spans="1:22" x14ac:dyDescent="0.3">
      <c r="A489" s="10" t="s">
        <v>167</v>
      </c>
      <c r="B489" s="10">
        <v>2023</v>
      </c>
      <c r="C489" s="10">
        <v>1976562000000</v>
      </c>
      <c r="D489" s="10">
        <v>1190689000000</v>
      </c>
      <c r="E489" s="10">
        <v>25883325000000</v>
      </c>
      <c r="F489" s="10">
        <v>12184767000000</v>
      </c>
      <c r="G489" s="10">
        <v>17680467000000</v>
      </c>
      <c r="H489" s="10">
        <v>8840697000000</v>
      </c>
      <c r="I489" s="10">
        <v>8190569000000</v>
      </c>
      <c r="J489" s="10">
        <v>5878604000000</v>
      </c>
      <c r="K489" s="10">
        <v>3344070000000</v>
      </c>
      <c r="L489" s="10"/>
      <c r="M489" s="10">
        <v>15317617000000</v>
      </c>
      <c r="N489" s="10">
        <v>611289000000</v>
      </c>
      <c r="O489" s="10">
        <v>13083720000000</v>
      </c>
      <c r="P489" s="10">
        <v>2.5875330985156579</v>
      </c>
      <c r="Q489" s="10">
        <v>0</v>
      </c>
      <c r="R489" s="10" t="s">
        <v>239</v>
      </c>
      <c r="S489" s="10">
        <v>0.1291978522852068</v>
      </c>
      <c r="T489" s="10">
        <v>0.2271193519379755</v>
      </c>
      <c r="U489" s="10">
        <v>7.636430018168068E-2</v>
      </c>
      <c r="V489" s="10">
        <v>0.4632552409390544</v>
      </c>
    </row>
    <row r="490" spans="1:22" x14ac:dyDescent="0.3">
      <c r="A490" s="10" t="s">
        <v>167</v>
      </c>
      <c r="B490" s="10">
        <v>2022</v>
      </c>
      <c r="C490" s="10">
        <v>2167548000000</v>
      </c>
      <c r="D490" s="10">
        <v>1147230000000</v>
      </c>
      <c r="E490" s="10">
        <v>23673644000000</v>
      </c>
      <c r="F490" s="10">
        <v>11374948000000</v>
      </c>
      <c r="G490" s="10">
        <v>16841410000000</v>
      </c>
      <c r="H490" s="10">
        <v>9485740000000</v>
      </c>
      <c r="I490" s="10">
        <v>6820199000000</v>
      </c>
      <c r="J490" s="10">
        <v>5369202000000</v>
      </c>
      <c r="K490" s="10">
        <v>1889208000000</v>
      </c>
      <c r="L490" s="10"/>
      <c r="M490" s="10">
        <v>16579960000000</v>
      </c>
      <c r="N490" s="10">
        <v>800689000000</v>
      </c>
      <c r="O490" s="10">
        <v>10685655000000</v>
      </c>
      <c r="P490" s="10">
        <v>2.3033673373397412</v>
      </c>
      <c r="Q490" s="10">
        <v>0</v>
      </c>
      <c r="R490" s="10" t="s">
        <v>239</v>
      </c>
      <c r="S490" s="10">
        <v>7.9802163114389993E-2</v>
      </c>
      <c r="T490" s="10">
        <v>0.22680082542425661</v>
      </c>
      <c r="U490" s="10">
        <v>9.1559541910827075E-2</v>
      </c>
      <c r="V490" s="10">
        <v>0.4049660331290551</v>
      </c>
    </row>
    <row r="491" spans="1:22" x14ac:dyDescent="0.3">
      <c r="A491" s="10" t="s">
        <v>168</v>
      </c>
      <c r="B491" s="10">
        <v>2025</v>
      </c>
      <c r="C491" s="10">
        <v>24037037284</v>
      </c>
      <c r="D491" s="10">
        <v>905896684</v>
      </c>
      <c r="E491" s="10">
        <v>2320789605256</v>
      </c>
      <c r="F491" s="10">
        <v>1620976448020</v>
      </c>
      <c r="G491" s="10">
        <v>530703622328</v>
      </c>
      <c r="H491" s="10">
        <v>305278794656</v>
      </c>
      <c r="I491" s="10">
        <v>1790088020040</v>
      </c>
      <c r="J491" s="10">
        <v>1481101504054</v>
      </c>
      <c r="K491" s="10">
        <v>1315697653364</v>
      </c>
      <c r="L491" s="10"/>
      <c r="M491" s="10">
        <v>2146553443744</v>
      </c>
      <c r="N491" s="10">
        <v>15299884349</v>
      </c>
      <c r="O491" s="10">
        <v>8084343111</v>
      </c>
      <c r="P491" s="10">
        <v>9.4107773834982904</v>
      </c>
      <c r="Q491" s="10">
        <v>0</v>
      </c>
      <c r="R491" s="10" t="s">
        <v>238</v>
      </c>
      <c r="S491" s="10">
        <v>0.56691810855420866</v>
      </c>
      <c r="T491" s="10">
        <v>0.63818861507293922</v>
      </c>
      <c r="U491" s="10">
        <v>1.0357266867087911E-2</v>
      </c>
      <c r="V491" s="10">
        <v>3.3730465456172078</v>
      </c>
    </row>
    <row r="492" spans="1:22" x14ac:dyDescent="0.3">
      <c r="A492" s="10" t="s">
        <v>168</v>
      </c>
      <c r="B492" s="10">
        <v>2024</v>
      </c>
      <c r="C492" s="10">
        <v>-159463526986</v>
      </c>
      <c r="D492" s="10">
        <v>1491571691</v>
      </c>
      <c r="E492" s="10">
        <v>2337888865653</v>
      </c>
      <c r="F492" s="10">
        <v>1594068604564</v>
      </c>
      <c r="G492" s="10">
        <v>553955057903</v>
      </c>
      <c r="H492" s="10">
        <v>358755200137</v>
      </c>
      <c r="I492" s="10">
        <v>1783935027914</v>
      </c>
      <c r="J492" s="10">
        <v>1474928935928</v>
      </c>
      <c r="K492" s="10">
        <v>1235313404427</v>
      </c>
      <c r="L492" s="10"/>
      <c r="M492" s="10">
        <v>1859368093471</v>
      </c>
      <c r="N492" s="10">
        <v>-124746678571</v>
      </c>
      <c r="O492" s="10">
        <v>13245996894</v>
      </c>
      <c r="P492" s="10">
        <v>8.4459176128015052</v>
      </c>
      <c r="Q492" s="10">
        <v>0</v>
      </c>
      <c r="R492" s="10" t="s">
        <v>238</v>
      </c>
      <c r="S492" s="10">
        <v>0.52838842024339017</v>
      </c>
      <c r="T492" s="10">
        <v>0.63088068795606966</v>
      </c>
      <c r="U492" s="10">
        <v>-6.8208343573876409E-2</v>
      </c>
      <c r="V492" s="10">
        <v>3.2203605734138359</v>
      </c>
    </row>
    <row r="493" spans="1:22" x14ac:dyDescent="0.3">
      <c r="A493" s="10" t="s">
        <v>168</v>
      </c>
      <c r="B493" s="10">
        <v>2023</v>
      </c>
      <c r="C493" s="10">
        <v>44679576185</v>
      </c>
      <c r="D493" s="10">
        <v>606941110</v>
      </c>
      <c r="E493" s="10">
        <v>2391566509438</v>
      </c>
      <c r="F493" s="10">
        <v>1639341193231</v>
      </c>
      <c r="G493" s="10">
        <v>505779174136</v>
      </c>
      <c r="H493" s="10">
        <v>195898370114</v>
      </c>
      <c r="I493" s="10">
        <v>1885787956852</v>
      </c>
      <c r="J493" s="10">
        <v>1576733760866</v>
      </c>
      <c r="K493" s="10">
        <v>1443442823117</v>
      </c>
      <c r="L493" s="10"/>
      <c r="M493" s="10">
        <v>2050460062443</v>
      </c>
      <c r="N493" s="10">
        <v>38116433207</v>
      </c>
      <c r="O493" s="10">
        <v>16458852946</v>
      </c>
      <c r="P493" s="10">
        <v>10.1490546149814</v>
      </c>
      <c r="Q493" s="10">
        <v>0</v>
      </c>
      <c r="R493" s="10" t="s">
        <v>238</v>
      </c>
      <c r="S493" s="10">
        <v>0.6035553757006733</v>
      </c>
      <c r="T493" s="10">
        <v>0.6592891122382043</v>
      </c>
      <c r="U493" s="10">
        <v>1.8682138259035651E-2</v>
      </c>
      <c r="V493" s="10">
        <v>3.728480833702589</v>
      </c>
    </row>
    <row r="494" spans="1:22" x14ac:dyDescent="0.3">
      <c r="A494" s="10" t="s">
        <v>168</v>
      </c>
      <c r="B494" s="10">
        <v>2022</v>
      </c>
      <c r="C494" s="10">
        <v>28208348917</v>
      </c>
      <c r="D494" s="10">
        <v>405651238</v>
      </c>
      <c r="E494" s="10">
        <v>2380657918106</v>
      </c>
      <c r="F494" s="10">
        <v>1594565567872</v>
      </c>
      <c r="G494" s="10">
        <v>525870003344</v>
      </c>
      <c r="H494" s="10">
        <v>221011501094</v>
      </c>
      <c r="I494" s="10">
        <v>1854788106097</v>
      </c>
      <c r="J494" s="10">
        <v>1545671693111</v>
      </c>
      <c r="K494" s="10">
        <v>1373554066778</v>
      </c>
      <c r="L494" s="10"/>
      <c r="M494" s="10">
        <v>2044821803111</v>
      </c>
      <c r="N494" s="10">
        <v>18467723999</v>
      </c>
      <c r="O494" s="10">
        <v>3506760979</v>
      </c>
      <c r="P494" s="10">
        <v>9.6845438615161985</v>
      </c>
      <c r="Q494" s="10">
        <v>0</v>
      </c>
      <c r="R494" s="10" t="s">
        <v>238</v>
      </c>
      <c r="S494" s="10">
        <v>0.57696406372855535</v>
      </c>
      <c r="T494" s="10">
        <v>0.64926240824246728</v>
      </c>
      <c r="U494" s="10">
        <v>1.184897195958416E-2</v>
      </c>
      <c r="V494" s="10">
        <v>3.5270848200171678</v>
      </c>
    </row>
    <row r="495" spans="1:22" x14ac:dyDescent="0.3">
      <c r="A495" s="10" t="s">
        <v>169</v>
      </c>
      <c r="B495" s="10">
        <v>2025</v>
      </c>
      <c r="C495" s="10">
        <v>1668518</v>
      </c>
      <c r="D495" s="10">
        <v>64036</v>
      </c>
      <c r="E495" s="10">
        <v>341244924</v>
      </c>
      <c r="F495" s="10">
        <v>131360951</v>
      </c>
      <c r="G495" s="10">
        <v>29264211</v>
      </c>
      <c r="H495" s="10">
        <v>21551949</v>
      </c>
      <c r="I495" s="10">
        <v>311980713</v>
      </c>
      <c r="J495" s="10">
        <v>21254226</v>
      </c>
      <c r="K495" s="10">
        <v>109809002</v>
      </c>
      <c r="L495" s="10"/>
      <c r="M495" s="10">
        <v>188525304</v>
      </c>
      <c r="N495" s="10">
        <v>-1444716</v>
      </c>
      <c r="O495" s="10">
        <v>1295716</v>
      </c>
      <c r="P495" s="10">
        <v>13.540712176204661</v>
      </c>
      <c r="Q495" s="10">
        <v>0</v>
      </c>
      <c r="R495" s="10" t="s">
        <v>238</v>
      </c>
      <c r="S495" s="10">
        <v>0.32178940777445819</v>
      </c>
      <c r="T495" s="10">
        <v>6.2284372616777738E-2</v>
      </c>
      <c r="U495" s="10">
        <v>4.8895027666404208E-3</v>
      </c>
      <c r="V495" s="10">
        <v>10.66082775988732</v>
      </c>
    </row>
    <row r="496" spans="1:22" x14ac:dyDescent="0.3">
      <c r="A496" s="10" t="s">
        <v>169</v>
      </c>
      <c r="B496" s="10">
        <v>2024</v>
      </c>
      <c r="C496" s="10">
        <v>2950075</v>
      </c>
      <c r="D496" s="10">
        <v>44235</v>
      </c>
      <c r="E496" s="10">
        <v>337130272</v>
      </c>
      <c r="F496" s="10">
        <v>116826752</v>
      </c>
      <c r="G496" s="10">
        <v>23516394</v>
      </c>
      <c r="H496" s="10">
        <v>17947987</v>
      </c>
      <c r="I496" s="10">
        <v>313613878</v>
      </c>
      <c r="J496" s="10">
        <v>22957607</v>
      </c>
      <c r="K496" s="10">
        <v>98878765</v>
      </c>
      <c r="L496" s="10"/>
      <c r="M496" s="10">
        <v>187579309</v>
      </c>
      <c r="N496" s="10">
        <v>2941385</v>
      </c>
      <c r="O496" s="10">
        <v>2144547</v>
      </c>
      <c r="P496" s="10">
        <v>16.207584730098041</v>
      </c>
      <c r="Q496" s="10">
        <v>0</v>
      </c>
      <c r="R496" s="10" t="s">
        <v>238</v>
      </c>
      <c r="S496" s="10">
        <v>0.29329542082770899</v>
      </c>
      <c r="T496" s="10">
        <v>6.8097139019304684E-2</v>
      </c>
      <c r="U496" s="10">
        <v>8.7505491052432098E-3</v>
      </c>
      <c r="V496" s="10">
        <v>13.335968005979151</v>
      </c>
    </row>
    <row r="497" spans="1:22" x14ac:dyDescent="0.3">
      <c r="A497" s="10" t="s">
        <v>169</v>
      </c>
      <c r="B497" s="10">
        <v>2023</v>
      </c>
      <c r="C497" s="10">
        <v>3295078</v>
      </c>
      <c r="D497" s="10">
        <v>47758</v>
      </c>
      <c r="E497" s="10">
        <v>335379399</v>
      </c>
      <c r="F497" s="10">
        <v>112595361</v>
      </c>
      <c r="G497" s="10">
        <v>25009599</v>
      </c>
      <c r="H497" s="10">
        <v>19216813</v>
      </c>
      <c r="I497" s="10">
        <v>310369800</v>
      </c>
      <c r="J497" s="10">
        <v>19704000</v>
      </c>
      <c r="K497" s="10">
        <v>93378548</v>
      </c>
      <c r="L497" s="10"/>
      <c r="M497" s="10">
        <v>196072753</v>
      </c>
      <c r="N497" s="10">
        <v>3297472</v>
      </c>
      <c r="O497" s="10">
        <v>1673882</v>
      </c>
      <c r="P497" s="10">
        <v>15.114559919405529</v>
      </c>
      <c r="Q497" s="10">
        <v>0</v>
      </c>
      <c r="R497" s="10" t="s">
        <v>238</v>
      </c>
      <c r="S497" s="10">
        <v>0.2784266066384119</v>
      </c>
      <c r="T497" s="10">
        <v>5.8751372501565008E-2</v>
      </c>
      <c r="U497" s="10">
        <v>9.8249266646219975E-3</v>
      </c>
      <c r="V497" s="10">
        <v>12.41002704601541</v>
      </c>
    </row>
    <row r="498" spans="1:22" x14ac:dyDescent="0.3">
      <c r="A498" s="10" t="s">
        <v>169</v>
      </c>
      <c r="B498" s="10">
        <v>2022</v>
      </c>
      <c r="C498" s="10">
        <v>3322680</v>
      </c>
      <c r="D498" s="10">
        <v>52489</v>
      </c>
      <c r="E498" s="10">
        <v>334102307</v>
      </c>
      <c r="F498" s="10">
        <v>107764608</v>
      </c>
      <c r="G498" s="10">
        <v>27063161</v>
      </c>
      <c r="H498" s="10">
        <v>22611383</v>
      </c>
      <c r="I498" s="10">
        <v>307039146</v>
      </c>
      <c r="J498" s="10">
        <v>16404332</v>
      </c>
      <c r="K498" s="10">
        <v>85153225</v>
      </c>
      <c r="L498" s="10"/>
      <c r="M498" s="10">
        <v>225468149</v>
      </c>
      <c r="N498" s="10">
        <v>3415772</v>
      </c>
      <c r="O498" s="10">
        <v>2149536</v>
      </c>
      <c r="P498" s="10">
        <v>13.81139881896833</v>
      </c>
      <c r="Q498" s="10">
        <v>0</v>
      </c>
      <c r="R498" s="10" t="s">
        <v>238</v>
      </c>
      <c r="S498" s="10">
        <v>0.25487170610887161</v>
      </c>
      <c r="T498" s="10">
        <v>4.9099726809129753E-2</v>
      </c>
      <c r="U498" s="10">
        <v>9.9450974458551097E-3</v>
      </c>
      <c r="V498" s="10">
        <v>11.3452802501526</v>
      </c>
    </row>
    <row r="499" spans="1:22" x14ac:dyDescent="0.3">
      <c r="A499" s="10" t="s">
        <v>170</v>
      </c>
      <c r="B499" s="10">
        <v>2025</v>
      </c>
      <c r="C499" s="10">
        <v>323398000</v>
      </c>
      <c r="D499" s="10">
        <v>40126000</v>
      </c>
      <c r="E499" s="10">
        <v>3921983000</v>
      </c>
      <c r="F499" s="10">
        <v>630141000</v>
      </c>
      <c r="G499" s="10">
        <v>971996000</v>
      </c>
      <c r="H499" s="10">
        <v>494490000</v>
      </c>
      <c r="I499" s="10">
        <v>2949987000</v>
      </c>
      <c r="J499" s="10">
        <v>2179945000</v>
      </c>
      <c r="K499" s="10">
        <v>135651000</v>
      </c>
      <c r="L499" s="10"/>
      <c r="M499" s="10">
        <v>984727000</v>
      </c>
      <c r="N499" s="10">
        <v>275803000</v>
      </c>
      <c r="O499" s="10">
        <v>715835000</v>
      </c>
      <c r="P499" s="10">
        <v>5.779733560067716</v>
      </c>
      <c r="Q499" s="10">
        <v>0</v>
      </c>
      <c r="R499" s="10" t="s">
        <v>238</v>
      </c>
      <c r="S499" s="10">
        <v>3.4587350327627629E-2</v>
      </c>
      <c r="T499" s="10">
        <v>0.55582724351431401</v>
      </c>
      <c r="U499" s="10">
        <v>8.2457777098982832E-2</v>
      </c>
      <c r="V499" s="10">
        <v>3.034978539006334</v>
      </c>
    </row>
    <row r="500" spans="1:22" x14ac:dyDescent="0.3">
      <c r="A500" s="10" t="s">
        <v>170</v>
      </c>
      <c r="B500" s="10">
        <v>2024</v>
      </c>
      <c r="C500" s="10">
        <v>349957000</v>
      </c>
      <c r="D500" s="10">
        <v>44931000</v>
      </c>
      <c r="E500" s="10">
        <v>3856131000</v>
      </c>
      <c r="F500" s="10">
        <v>791565000</v>
      </c>
      <c r="G500" s="10">
        <v>1177341000</v>
      </c>
      <c r="H500" s="10">
        <v>604030000</v>
      </c>
      <c r="I500" s="10">
        <v>2678790000</v>
      </c>
      <c r="J500" s="10">
        <v>1918930000</v>
      </c>
      <c r="K500" s="10">
        <v>187535000</v>
      </c>
      <c r="L500" s="10"/>
      <c r="M500" s="10">
        <v>985145000</v>
      </c>
      <c r="N500" s="10">
        <v>297136000</v>
      </c>
      <c r="O500" s="10">
        <v>876910000</v>
      </c>
      <c r="P500" s="10">
        <v>4.9402242763137476</v>
      </c>
      <c r="Q500" s="10">
        <v>0</v>
      </c>
      <c r="R500" s="10" t="s">
        <v>238</v>
      </c>
      <c r="S500" s="10">
        <v>4.8632943227291808E-2</v>
      </c>
      <c r="T500" s="10">
        <v>0.49763091554721561</v>
      </c>
      <c r="U500" s="10">
        <v>9.0753400234587472E-2</v>
      </c>
      <c r="V500" s="10">
        <v>2.2752881280784409</v>
      </c>
    </row>
    <row r="501" spans="1:22" x14ac:dyDescent="0.3">
      <c r="A501" s="10" t="s">
        <v>170</v>
      </c>
      <c r="B501" s="10">
        <v>2023</v>
      </c>
      <c r="C501" s="10">
        <v>231899000</v>
      </c>
      <c r="D501" s="10">
        <v>47238000</v>
      </c>
      <c r="E501" s="10">
        <v>3609918000</v>
      </c>
      <c r="F501" s="10">
        <v>749494000</v>
      </c>
      <c r="G501" s="10">
        <v>1224350000</v>
      </c>
      <c r="H501" s="10">
        <v>606690000</v>
      </c>
      <c r="I501" s="10">
        <v>2385568000</v>
      </c>
      <c r="J501" s="10">
        <v>1636583000</v>
      </c>
      <c r="K501" s="10">
        <v>142804000</v>
      </c>
      <c r="L501" s="10"/>
      <c r="M501" s="10">
        <v>1073834000</v>
      </c>
      <c r="N501" s="10">
        <v>172014000</v>
      </c>
      <c r="O501" s="10">
        <v>984525000</v>
      </c>
      <c r="P501" s="10">
        <v>4.2149977325281096</v>
      </c>
      <c r="Q501" s="10">
        <v>0</v>
      </c>
      <c r="R501" s="10" t="s">
        <v>238</v>
      </c>
      <c r="S501" s="10">
        <v>3.9558793302230132E-2</v>
      </c>
      <c r="T501" s="10">
        <v>0.45335738928141861</v>
      </c>
      <c r="U501" s="10">
        <v>6.4239409316222698E-2</v>
      </c>
      <c r="V501" s="10">
        <v>1.9484363131457509</v>
      </c>
    </row>
    <row r="502" spans="1:22" x14ac:dyDescent="0.3">
      <c r="A502" s="10" t="s">
        <v>170</v>
      </c>
      <c r="B502" s="10">
        <v>2022</v>
      </c>
      <c r="C502" s="10">
        <v>512762000</v>
      </c>
      <c r="D502" s="10">
        <v>42513000</v>
      </c>
      <c r="E502" s="10">
        <v>3545180000</v>
      </c>
      <c r="F502" s="10">
        <v>850762000</v>
      </c>
      <c r="G502" s="10">
        <v>1326532000</v>
      </c>
      <c r="H502" s="10">
        <v>694306000</v>
      </c>
      <c r="I502" s="10">
        <v>2218648000</v>
      </c>
      <c r="J502" s="10">
        <v>1479845000</v>
      </c>
      <c r="K502" s="10">
        <v>156456000</v>
      </c>
      <c r="L502" s="10"/>
      <c r="M502" s="10">
        <v>1143593000</v>
      </c>
      <c r="N502" s="10">
        <v>463345000</v>
      </c>
      <c r="O502" s="10">
        <v>1030957000</v>
      </c>
      <c r="P502" s="10">
        <v>4.3784098731829948</v>
      </c>
      <c r="Q502" s="10">
        <v>0</v>
      </c>
      <c r="R502" s="10" t="s">
        <v>238</v>
      </c>
      <c r="S502" s="10">
        <v>4.4132032788180009E-2</v>
      </c>
      <c r="T502" s="10">
        <v>0.41742450312819102</v>
      </c>
      <c r="U502" s="10">
        <v>0.1446363795350307</v>
      </c>
      <c r="V502" s="10">
        <v>1.6725175118278339</v>
      </c>
    </row>
    <row r="503" spans="1:22" x14ac:dyDescent="0.3">
      <c r="A503" s="10" t="s">
        <v>171</v>
      </c>
      <c r="B503" s="10">
        <v>2025</v>
      </c>
      <c r="C503" s="10">
        <v>1436568076000</v>
      </c>
      <c r="D503" s="10">
        <v>44831659000</v>
      </c>
      <c r="E503" s="10">
        <v>6018032137000</v>
      </c>
      <c r="F503" s="10">
        <v>1588829853000</v>
      </c>
      <c r="G503" s="10">
        <v>2373123326000</v>
      </c>
      <c r="H503" s="10">
        <v>1425414334000</v>
      </c>
      <c r="I503" s="10">
        <v>3644864762000</v>
      </c>
      <c r="J503" s="10">
        <v>2196342314000</v>
      </c>
      <c r="K503" s="10">
        <v>163415519000</v>
      </c>
      <c r="L503" s="10"/>
      <c r="M503" s="10">
        <v>5421391584000</v>
      </c>
      <c r="N503" s="10">
        <v>1106606494000</v>
      </c>
      <c r="O503" s="10">
        <v>841596962000</v>
      </c>
      <c r="P503" s="10">
        <v>4.5847260439598276</v>
      </c>
      <c r="Q503" s="10">
        <v>0</v>
      </c>
      <c r="R503" s="10" t="s">
        <v>238</v>
      </c>
      <c r="S503" s="10">
        <v>2.715431145594761E-2</v>
      </c>
      <c r="T503" s="10">
        <v>0.36496021689490021</v>
      </c>
      <c r="U503" s="10">
        <v>0.2387106022860376</v>
      </c>
      <c r="V503" s="10">
        <v>1.535893529875489</v>
      </c>
    </row>
    <row r="504" spans="1:22" x14ac:dyDescent="0.3">
      <c r="A504" s="10" t="s">
        <v>171</v>
      </c>
      <c r="B504" s="10">
        <v>2024</v>
      </c>
      <c r="C504" s="10">
        <v>1124710232000</v>
      </c>
      <c r="D504" s="10">
        <v>66334481000</v>
      </c>
      <c r="E504" s="10">
        <v>5664445219000</v>
      </c>
      <c r="F504" s="10">
        <v>1766579819000</v>
      </c>
      <c r="G504" s="10">
        <v>2519627219000</v>
      </c>
      <c r="H504" s="10">
        <v>1572691567000</v>
      </c>
      <c r="I504" s="10">
        <v>3144775624000</v>
      </c>
      <c r="J504" s="10">
        <v>1697253176000</v>
      </c>
      <c r="K504" s="10">
        <v>193888252000</v>
      </c>
      <c r="L504" s="10"/>
      <c r="M504" s="10">
        <v>4211481582000</v>
      </c>
      <c r="N504" s="10">
        <v>825587405000</v>
      </c>
      <c r="O504" s="10">
        <v>1040814202000</v>
      </c>
      <c r="P504" s="10">
        <v>3.8461590121936542</v>
      </c>
      <c r="Q504" s="10">
        <v>0</v>
      </c>
      <c r="R504" s="10" t="s">
        <v>238</v>
      </c>
      <c r="S504" s="10">
        <v>3.422899233796968E-2</v>
      </c>
      <c r="T504" s="10">
        <v>0.29963272842801592</v>
      </c>
      <c r="U504" s="10">
        <v>0.1985561142382371</v>
      </c>
      <c r="V504" s="10">
        <v>1.2481114667621791</v>
      </c>
    </row>
    <row r="505" spans="1:22" x14ac:dyDescent="0.3">
      <c r="A505" s="10" t="s">
        <v>171</v>
      </c>
      <c r="B505" s="10">
        <v>2023</v>
      </c>
      <c r="C505" s="10">
        <v>726696147000</v>
      </c>
      <c r="D505" s="10">
        <v>105547134000</v>
      </c>
      <c r="E505" s="10">
        <v>5423799394000</v>
      </c>
      <c r="F505" s="10">
        <v>1613998990000</v>
      </c>
      <c r="G505" s="10">
        <v>2965522409000</v>
      </c>
      <c r="H505" s="10">
        <v>1689684412000</v>
      </c>
      <c r="I505" s="10">
        <v>2458241414000</v>
      </c>
      <c r="J505" s="10">
        <v>1011718966000</v>
      </c>
      <c r="K505" s="10">
        <v>-75685422000</v>
      </c>
      <c r="L505" s="10"/>
      <c r="M505" s="10">
        <v>4007082262000</v>
      </c>
      <c r="N505" s="10">
        <v>451789538000</v>
      </c>
      <c r="O505" s="10">
        <v>1492708103000</v>
      </c>
      <c r="P505" s="10">
        <v>2.2873103494869489</v>
      </c>
      <c r="Q505" s="10">
        <v>0</v>
      </c>
      <c r="R505" s="10" t="s">
        <v>239</v>
      </c>
      <c r="S505" s="10">
        <v>-1.395431808995847E-2</v>
      </c>
      <c r="T505" s="10">
        <v>0.18653325694884651</v>
      </c>
      <c r="U505" s="10">
        <v>0.13398285854817879</v>
      </c>
      <c r="V505" s="10">
        <v>0.82894042767626241</v>
      </c>
    </row>
    <row r="506" spans="1:22" x14ac:dyDescent="0.3">
      <c r="A506" s="10" t="s">
        <v>171</v>
      </c>
      <c r="B506" s="10">
        <v>2022</v>
      </c>
      <c r="C506" s="10">
        <v>846445938000</v>
      </c>
      <c r="D506" s="10">
        <v>140604938000</v>
      </c>
      <c r="E506" s="10">
        <v>5224551902000</v>
      </c>
      <c r="F506" s="10">
        <v>1756866967000</v>
      </c>
      <c r="G506" s="10">
        <v>3044544460000</v>
      </c>
      <c r="H506" s="10">
        <v>1521098794000</v>
      </c>
      <c r="I506" s="10">
        <v>2179976035000</v>
      </c>
      <c r="J506" s="10">
        <v>734453587000</v>
      </c>
      <c r="K506" s="10">
        <v>235768173000</v>
      </c>
      <c r="L506" s="10"/>
      <c r="M506" s="10">
        <v>3613176678000</v>
      </c>
      <c r="N506" s="10">
        <v>573973852000</v>
      </c>
      <c r="O506" s="10">
        <v>1829773417000</v>
      </c>
      <c r="P506" s="10">
        <v>2.594871502899526</v>
      </c>
      <c r="Q506" s="10">
        <v>0</v>
      </c>
      <c r="R506" s="10" t="s">
        <v>239</v>
      </c>
      <c r="S506" s="10">
        <v>4.5126965416832407E-2</v>
      </c>
      <c r="T506" s="10">
        <v>0.14057733577473799</v>
      </c>
      <c r="U506" s="10">
        <v>0.1620131168906512</v>
      </c>
      <c r="V506" s="10">
        <v>0.71602699965169825</v>
      </c>
    </row>
    <row r="507" spans="1:22" x14ac:dyDescent="0.3">
      <c r="A507" s="10" t="s">
        <v>172</v>
      </c>
      <c r="B507" s="10">
        <v>2025</v>
      </c>
      <c r="C507" s="10">
        <v>455386361687</v>
      </c>
      <c r="D507" s="10">
        <v>16614138658</v>
      </c>
      <c r="E507" s="10">
        <v>3519196159093</v>
      </c>
      <c r="F507" s="10">
        <v>1706914245281</v>
      </c>
      <c r="G507" s="10">
        <v>950709256988</v>
      </c>
      <c r="H507" s="10">
        <v>402048718063</v>
      </c>
      <c r="I507" s="10">
        <v>2568486902105</v>
      </c>
      <c r="J507" s="10">
        <v>2300401947566</v>
      </c>
      <c r="K507" s="10">
        <v>1304865527218</v>
      </c>
      <c r="L507" s="10"/>
      <c r="M507" s="10">
        <v>2354358428860</v>
      </c>
      <c r="N507" s="10">
        <v>351151543489</v>
      </c>
      <c r="O507" s="10">
        <v>204627038750</v>
      </c>
      <c r="P507" s="10">
        <v>8.2696314572972707</v>
      </c>
      <c r="Q507" s="10">
        <v>0</v>
      </c>
      <c r="R507" s="10" t="s">
        <v>238</v>
      </c>
      <c r="S507" s="10">
        <v>0.37078510779981699</v>
      </c>
      <c r="T507" s="10">
        <v>0.65367255576878125</v>
      </c>
      <c r="U507" s="10">
        <v>0.12940067592150539</v>
      </c>
      <c r="V507" s="10">
        <v>2.7016534058397408</v>
      </c>
    </row>
    <row r="508" spans="1:22" x14ac:dyDescent="0.3">
      <c r="A508" s="10" t="s">
        <v>172</v>
      </c>
      <c r="B508" s="10">
        <v>2024</v>
      </c>
      <c r="C508" s="10">
        <v>410858136703</v>
      </c>
      <c r="D508" s="10">
        <v>18848214718</v>
      </c>
      <c r="E508" s="10">
        <v>3451053901000</v>
      </c>
      <c r="F508" s="10">
        <v>1629576276567</v>
      </c>
      <c r="G508" s="10">
        <v>989206172452</v>
      </c>
      <c r="H508" s="10">
        <v>448729781768</v>
      </c>
      <c r="I508" s="10">
        <v>2461847728548</v>
      </c>
      <c r="J508" s="10">
        <v>2176290404077</v>
      </c>
      <c r="K508" s="10">
        <v>1180846494799</v>
      </c>
      <c r="L508" s="10"/>
      <c r="M508" s="10">
        <v>2311035384234</v>
      </c>
      <c r="N508" s="10">
        <v>314633432509</v>
      </c>
      <c r="O508" s="10">
        <v>214348797577</v>
      </c>
      <c r="P508" s="10">
        <v>7.7136245132571393</v>
      </c>
      <c r="Q508" s="10">
        <v>0</v>
      </c>
      <c r="R508" s="10" t="s">
        <v>238</v>
      </c>
      <c r="S508" s="10">
        <v>0.34216982077759789</v>
      </c>
      <c r="T508" s="10">
        <v>0.63061617306133178</v>
      </c>
      <c r="U508" s="10">
        <v>0.1190529468647091</v>
      </c>
      <c r="V508" s="10">
        <v>2.4887104398526771</v>
      </c>
    </row>
    <row r="509" spans="1:22" x14ac:dyDescent="0.3">
      <c r="A509" s="10" t="s">
        <v>172</v>
      </c>
      <c r="B509" s="10">
        <v>2023</v>
      </c>
      <c r="C509" s="10">
        <v>325971475629</v>
      </c>
      <c r="D509" s="10">
        <v>20623878627</v>
      </c>
      <c r="E509" s="10">
        <v>3333890799976</v>
      </c>
      <c r="F509" s="10">
        <v>1460881909344</v>
      </c>
      <c r="G509" s="10">
        <v>982493481408</v>
      </c>
      <c r="H509" s="10">
        <v>400851025764</v>
      </c>
      <c r="I509" s="10">
        <v>2351397318568</v>
      </c>
      <c r="J509" s="10">
        <v>2078376971568</v>
      </c>
      <c r="K509" s="10">
        <v>1060030883580</v>
      </c>
      <c r="L509" s="10"/>
      <c r="M509" s="10">
        <v>2125542963624</v>
      </c>
      <c r="N509" s="10">
        <v>242417754641</v>
      </c>
      <c r="O509" s="10">
        <v>245037441321</v>
      </c>
      <c r="P509" s="10">
        <v>7.2881137273034824</v>
      </c>
      <c r="Q509" s="10">
        <v>0</v>
      </c>
      <c r="R509" s="10" t="s">
        <v>238</v>
      </c>
      <c r="S509" s="10">
        <v>0.31795609009978099</v>
      </c>
      <c r="T509" s="10">
        <v>0.62340883258172752</v>
      </c>
      <c r="U509" s="10">
        <v>9.7775090783221399E-2</v>
      </c>
      <c r="V509" s="10">
        <v>2.3932955923516559</v>
      </c>
    </row>
    <row r="510" spans="1:22" x14ac:dyDescent="0.3">
      <c r="A510" s="10" t="s">
        <v>172</v>
      </c>
      <c r="B510" s="10">
        <v>2022</v>
      </c>
      <c r="C510" s="10">
        <v>416323363971</v>
      </c>
      <c r="D510" s="10">
        <v>20087004206</v>
      </c>
      <c r="E510" s="10">
        <v>3304972191991</v>
      </c>
      <c r="F510" s="10">
        <v>1528687046125</v>
      </c>
      <c r="G510" s="10">
        <v>1002210741085</v>
      </c>
      <c r="H510" s="10">
        <v>427991220891</v>
      </c>
      <c r="I510" s="10">
        <v>2302761450906</v>
      </c>
      <c r="J510" s="10">
        <v>2032039216927</v>
      </c>
      <c r="K510" s="10">
        <v>1100695825234</v>
      </c>
      <c r="L510" s="10"/>
      <c r="M510" s="10">
        <v>2086058728390</v>
      </c>
      <c r="N510" s="10">
        <v>313410762339</v>
      </c>
      <c r="O510" s="10">
        <v>258590995933</v>
      </c>
      <c r="P510" s="10">
        <v>7.4482226964289646</v>
      </c>
      <c r="Q510" s="10">
        <v>0</v>
      </c>
      <c r="R510" s="10" t="s">
        <v>238</v>
      </c>
      <c r="S510" s="10">
        <v>0.33304238622683008</v>
      </c>
      <c r="T510" s="10">
        <v>0.61484306035956315</v>
      </c>
      <c r="U510" s="10">
        <v>0.12596879482976711</v>
      </c>
      <c r="V510" s="10">
        <v>2.297681871193094</v>
      </c>
    </row>
    <row r="511" spans="1:22" x14ac:dyDescent="0.3">
      <c r="A511" s="10" t="s">
        <v>173</v>
      </c>
      <c r="B511" s="10">
        <v>2025</v>
      </c>
      <c r="C511" s="10">
        <v>1532609000</v>
      </c>
      <c r="D511" s="10">
        <v>238400000</v>
      </c>
      <c r="E511" s="10">
        <v>12322724000</v>
      </c>
      <c r="F511" s="10">
        <v>5433745000</v>
      </c>
      <c r="G511" s="10">
        <v>7665809000</v>
      </c>
      <c r="H511" s="10">
        <v>2184847000</v>
      </c>
      <c r="I511" s="10">
        <v>3729646000</v>
      </c>
      <c r="J511" s="10">
        <v>1708337000</v>
      </c>
      <c r="K511" s="10">
        <v>3248898000</v>
      </c>
      <c r="L511" s="10"/>
      <c r="M511" s="10">
        <v>7020007000</v>
      </c>
      <c r="N511" s="10">
        <v>1090091000</v>
      </c>
      <c r="O511" s="10">
        <v>5414230000</v>
      </c>
      <c r="P511" s="10">
        <v>3.528134326796355</v>
      </c>
      <c r="Q511" s="10">
        <v>0</v>
      </c>
      <c r="R511" s="10" t="s">
        <v>238</v>
      </c>
      <c r="S511" s="10">
        <v>0.26365095899250851</v>
      </c>
      <c r="T511" s="10">
        <v>0.1386330652216182</v>
      </c>
      <c r="U511" s="10">
        <v>0.1243725819064032</v>
      </c>
      <c r="V511" s="10">
        <v>0.48652999311618639</v>
      </c>
    </row>
    <row r="512" spans="1:22" x14ac:dyDescent="0.3">
      <c r="A512" s="10" t="s">
        <v>173</v>
      </c>
      <c r="B512" s="10">
        <v>2024</v>
      </c>
      <c r="C512" s="10">
        <v>44897000</v>
      </c>
      <c r="D512" s="10">
        <v>135836000</v>
      </c>
      <c r="E512" s="10">
        <v>5663616000</v>
      </c>
      <c r="F512" s="10">
        <v>2481809000</v>
      </c>
      <c r="G512" s="10">
        <v>2726157000</v>
      </c>
      <c r="H512" s="10">
        <v>821185000</v>
      </c>
      <c r="I512" s="10">
        <v>2638165000</v>
      </c>
      <c r="J512" s="10">
        <v>671846000</v>
      </c>
      <c r="K512" s="10">
        <v>1660624000</v>
      </c>
      <c r="L512" s="10"/>
      <c r="M512" s="10">
        <v>1785364000</v>
      </c>
      <c r="N512" s="10">
        <v>-68610000</v>
      </c>
      <c r="O512" s="10">
        <v>2000616000</v>
      </c>
      <c r="P512" s="10">
        <v>3.379549681582771</v>
      </c>
      <c r="Q512" s="10">
        <v>0</v>
      </c>
      <c r="R512" s="10" t="s">
        <v>238</v>
      </c>
      <c r="S512" s="10">
        <v>0.29320914412276539</v>
      </c>
      <c r="T512" s="10">
        <v>0.118624920898592</v>
      </c>
      <c r="U512" s="10">
        <v>7.9272676678644877E-3</v>
      </c>
      <c r="V512" s="10">
        <v>0.96772306217140103</v>
      </c>
    </row>
    <row r="513" spans="1:22" x14ac:dyDescent="0.3">
      <c r="A513" s="10" t="s">
        <v>173</v>
      </c>
      <c r="B513" s="10">
        <v>2023</v>
      </c>
      <c r="C513" s="10">
        <v>61069000</v>
      </c>
      <c r="D513" s="10">
        <v>115633000</v>
      </c>
      <c r="E513" s="10">
        <v>5614452000</v>
      </c>
      <c r="F513" s="10">
        <v>2837420000</v>
      </c>
      <c r="G513" s="10">
        <v>2620552000</v>
      </c>
      <c r="H513" s="10">
        <v>817322000</v>
      </c>
      <c r="I513" s="10">
        <v>2739132000</v>
      </c>
      <c r="J513" s="10">
        <v>771521000</v>
      </c>
      <c r="K513" s="10">
        <v>2020098000</v>
      </c>
      <c r="L513" s="10"/>
      <c r="M513" s="10">
        <v>2159932000</v>
      </c>
      <c r="N513" s="10">
        <v>-33576000</v>
      </c>
      <c r="O513" s="10">
        <v>1740701000</v>
      </c>
      <c r="P513" s="10">
        <v>3.978895236817598</v>
      </c>
      <c r="Q513" s="10">
        <v>0</v>
      </c>
      <c r="R513" s="10" t="s">
        <v>238</v>
      </c>
      <c r="S513" s="10">
        <v>0.35980323636215972</v>
      </c>
      <c r="T513" s="10">
        <v>0.13741697319702789</v>
      </c>
      <c r="U513" s="10">
        <v>1.0877107863777271E-2</v>
      </c>
      <c r="V513" s="10">
        <v>1.0452500083951779</v>
      </c>
    </row>
    <row r="514" spans="1:22" x14ac:dyDescent="0.3">
      <c r="A514" s="10" t="s">
        <v>173</v>
      </c>
      <c r="B514" s="10">
        <v>2022</v>
      </c>
      <c r="C514" s="10">
        <v>-105863000</v>
      </c>
      <c r="D514" s="10">
        <v>70612000</v>
      </c>
      <c r="E514" s="10">
        <v>4929871000</v>
      </c>
      <c r="F514" s="10">
        <v>2281544000</v>
      </c>
      <c r="G514" s="10">
        <v>2120765000</v>
      </c>
      <c r="H514" s="10">
        <v>607683000</v>
      </c>
      <c r="I514" s="10">
        <v>2805474000</v>
      </c>
      <c r="J514" s="10">
        <v>835097000</v>
      </c>
      <c r="K514" s="10">
        <v>1673861000</v>
      </c>
      <c r="L514" s="10"/>
      <c r="M514" s="10">
        <v>2384591000</v>
      </c>
      <c r="N514" s="10">
        <v>-149538000</v>
      </c>
      <c r="O514" s="10">
        <v>1471083000</v>
      </c>
      <c r="P514" s="10">
        <v>4.0242731968414436</v>
      </c>
      <c r="Q514" s="10">
        <v>0</v>
      </c>
      <c r="R514" s="10" t="s">
        <v>238</v>
      </c>
      <c r="S514" s="10">
        <v>0.33953444217911583</v>
      </c>
      <c r="T514" s="10">
        <v>0.16939530466415861</v>
      </c>
      <c r="U514" s="10">
        <v>-2.1473787042297861E-2</v>
      </c>
      <c r="V514" s="10">
        <v>1.3228594398719331</v>
      </c>
    </row>
    <row r="515" spans="1:22" x14ac:dyDescent="0.3">
      <c r="A515" s="10" t="s">
        <v>175</v>
      </c>
      <c r="B515" s="10">
        <v>2025</v>
      </c>
      <c r="C515" s="10">
        <v>86982000000</v>
      </c>
      <c r="D515" s="10">
        <v>115294000000</v>
      </c>
      <c r="E515" s="10">
        <v>5448479000000</v>
      </c>
      <c r="F515" s="10">
        <v>1982888000000</v>
      </c>
      <c r="G515" s="10">
        <v>2742964000000</v>
      </c>
      <c r="H515" s="10">
        <v>1793525000000</v>
      </c>
      <c r="I515" s="10">
        <v>2539187000000</v>
      </c>
      <c r="J515" s="10">
        <v>1092565000000</v>
      </c>
      <c r="K515" s="10">
        <v>189363000000</v>
      </c>
      <c r="L515" s="10"/>
      <c r="M515" s="10">
        <v>3741011000000</v>
      </c>
      <c r="N515" s="10">
        <v>-36829000000</v>
      </c>
      <c r="O515" s="10">
        <v>2068835000000</v>
      </c>
      <c r="P515" s="10">
        <v>1.9609866702472381</v>
      </c>
      <c r="Q515" s="10">
        <v>0</v>
      </c>
      <c r="R515" s="10" t="s">
        <v>239</v>
      </c>
      <c r="S515" s="10">
        <v>3.4755204158812031E-2</v>
      </c>
      <c r="T515" s="10">
        <v>0.20052660568206279</v>
      </c>
      <c r="U515" s="10">
        <v>1.5964455401222981E-2</v>
      </c>
      <c r="V515" s="10">
        <v>0.92570919632922632</v>
      </c>
    </row>
    <row r="516" spans="1:22" x14ac:dyDescent="0.3">
      <c r="A516" s="10" t="s">
        <v>175</v>
      </c>
      <c r="B516" s="10">
        <v>2024</v>
      </c>
      <c r="C516" s="10">
        <v>197784000000</v>
      </c>
      <c r="D516" s="10">
        <v>122306000000</v>
      </c>
      <c r="E516" s="10">
        <v>5344871000000</v>
      </c>
      <c r="F516" s="10">
        <v>1753904000000</v>
      </c>
      <c r="G516" s="10">
        <v>2669943000000</v>
      </c>
      <c r="H516" s="10">
        <v>1823797000000</v>
      </c>
      <c r="I516" s="10">
        <v>2495974000000</v>
      </c>
      <c r="J516" s="10">
        <v>1144434000000</v>
      </c>
      <c r="K516" s="10">
        <v>-69893000000</v>
      </c>
      <c r="L516" s="10"/>
      <c r="M516" s="10">
        <v>3423935000000</v>
      </c>
      <c r="N516" s="10">
        <v>32459000000</v>
      </c>
      <c r="O516" s="10">
        <v>1897748000000</v>
      </c>
      <c r="P516" s="10">
        <v>1.8424960742858481</v>
      </c>
      <c r="Q516" s="10">
        <v>0</v>
      </c>
      <c r="R516" s="10" t="s">
        <v>239</v>
      </c>
      <c r="S516" s="10">
        <v>-1.3076648622576671E-2</v>
      </c>
      <c r="T516" s="10">
        <v>0.21411817048531201</v>
      </c>
      <c r="U516" s="10">
        <v>3.7004447815485161E-2</v>
      </c>
      <c r="V516" s="10">
        <v>0.9348416801407371</v>
      </c>
    </row>
    <row r="517" spans="1:22" x14ac:dyDescent="0.3">
      <c r="A517" s="10" t="s">
        <v>175</v>
      </c>
      <c r="B517" s="10">
        <v>2023</v>
      </c>
      <c r="C517" s="10">
        <v>-69291000000</v>
      </c>
      <c r="D517" s="10">
        <v>140926000000</v>
      </c>
      <c r="E517" s="10">
        <v>5044856000000</v>
      </c>
      <c r="F517" s="10">
        <v>1484505000000</v>
      </c>
      <c r="G517" s="10">
        <v>2520439000000</v>
      </c>
      <c r="H517" s="10">
        <v>1559089000000</v>
      </c>
      <c r="I517" s="10">
        <v>2362910000000</v>
      </c>
      <c r="J517" s="10">
        <v>1111975000000</v>
      </c>
      <c r="K517" s="10">
        <v>-74584000000</v>
      </c>
      <c r="L517" s="10"/>
      <c r="M517" s="10">
        <v>2997464000000</v>
      </c>
      <c r="N517" s="10">
        <v>-243549000000</v>
      </c>
      <c r="O517" s="10">
        <v>1896447000000</v>
      </c>
      <c r="P517" s="10">
        <v>1.513652477129299</v>
      </c>
      <c r="Q517" s="10">
        <v>0</v>
      </c>
      <c r="R517" s="10" t="s">
        <v>239</v>
      </c>
      <c r="S517" s="10">
        <v>-1.4784168269619591E-2</v>
      </c>
      <c r="T517" s="10">
        <v>0.22041758971911191</v>
      </c>
      <c r="U517" s="10">
        <v>-1.373498074077833E-2</v>
      </c>
      <c r="V517" s="10">
        <v>0.93749938006831346</v>
      </c>
    </row>
    <row r="518" spans="1:22" x14ac:dyDescent="0.3">
      <c r="A518" s="10" t="s">
        <v>175</v>
      </c>
      <c r="B518" s="10">
        <v>2022</v>
      </c>
      <c r="C518" s="10">
        <v>225578000000</v>
      </c>
      <c r="D518" s="10">
        <v>57588000000</v>
      </c>
      <c r="E518" s="10">
        <v>5777073000000</v>
      </c>
      <c r="F518" s="10">
        <v>2006812000000</v>
      </c>
      <c r="G518" s="10">
        <v>2928515000000</v>
      </c>
      <c r="H518" s="10">
        <v>2020612000000</v>
      </c>
      <c r="I518" s="10">
        <v>2688806000000</v>
      </c>
      <c r="J518" s="10">
        <v>1370564000000</v>
      </c>
      <c r="K518" s="10">
        <v>-13800000000</v>
      </c>
      <c r="L518" s="10"/>
      <c r="M518" s="10">
        <v>3819385000000</v>
      </c>
      <c r="N518" s="10">
        <v>137038000000</v>
      </c>
      <c r="O518" s="10">
        <v>2149447000000</v>
      </c>
      <c r="P518" s="10">
        <v>1.9841889729466271</v>
      </c>
      <c r="Q518" s="10">
        <v>0</v>
      </c>
      <c r="R518" s="10" t="s">
        <v>239</v>
      </c>
      <c r="S518" s="10">
        <v>-2.388752920380269E-3</v>
      </c>
      <c r="T518" s="10">
        <v>0.23724193895420739</v>
      </c>
      <c r="U518" s="10">
        <v>3.904710915025654E-2</v>
      </c>
      <c r="V518" s="10">
        <v>0.918146569165601</v>
      </c>
    </row>
    <row r="519" spans="1:22" x14ac:dyDescent="0.3">
      <c r="A519" s="10" t="s">
        <v>176</v>
      </c>
      <c r="B519" s="10">
        <v>2025</v>
      </c>
      <c r="C519" s="10">
        <v>-822919000000</v>
      </c>
      <c r="D519" s="10">
        <v>13043000000</v>
      </c>
      <c r="E519" s="10">
        <v>7335705000000</v>
      </c>
      <c r="F519" s="10">
        <v>5378343000000</v>
      </c>
      <c r="G519" s="10">
        <v>2711246000000</v>
      </c>
      <c r="H519" s="10">
        <v>2492280000000</v>
      </c>
      <c r="I519" s="10">
        <v>4623354000000</v>
      </c>
      <c r="J519" s="10">
        <v>3068649000000</v>
      </c>
      <c r="K519" s="10">
        <v>2886063000000</v>
      </c>
      <c r="L519" s="10"/>
      <c r="M519" s="10">
        <v>7984383000000</v>
      </c>
      <c r="N519" s="10">
        <v>-1195128000000</v>
      </c>
      <c r="O519" s="10">
        <v>156397000000</v>
      </c>
      <c r="P519" s="10">
        <v>4.981256721011472</v>
      </c>
      <c r="Q519" s="10">
        <v>0</v>
      </c>
      <c r="R519" s="10" t="s">
        <v>238</v>
      </c>
      <c r="S519" s="10">
        <v>0.39342680764834459</v>
      </c>
      <c r="T519" s="10">
        <v>0.4183168488918243</v>
      </c>
      <c r="U519" s="10">
        <v>-0.1121799472579663</v>
      </c>
      <c r="V519" s="10">
        <v>1.7052506485947789</v>
      </c>
    </row>
    <row r="520" spans="1:22" x14ac:dyDescent="0.3">
      <c r="A520" s="10" t="s">
        <v>176</v>
      </c>
      <c r="B520" s="10">
        <v>2024</v>
      </c>
      <c r="C520" s="10">
        <v>479464000000</v>
      </c>
      <c r="D520" s="10">
        <v>17835000000</v>
      </c>
      <c r="E520" s="10">
        <v>8658345000000</v>
      </c>
      <c r="F520" s="10">
        <v>5732585000000</v>
      </c>
      <c r="G520" s="10">
        <v>2791175000000</v>
      </c>
      <c r="H520" s="10">
        <v>2537447000000</v>
      </c>
      <c r="I520" s="10">
        <v>5866170000000</v>
      </c>
      <c r="J520" s="10">
        <v>4311465000000</v>
      </c>
      <c r="K520" s="10">
        <v>3195138000000</v>
      </c>
      <c r="L520" s="10"/>
      <c r="M520" s="10">
        <v>9675468000000</v>
      </c>
      <c r="N520" s="10">
        <v>350405000000</v>
      </c>
      <c r="O520" s="10">
        <v>223395000000</v>
      </c>
      <c r="P520" s="10">
        <v>6.6230263070248316</v>
      </c>
      <c r="Q520" s="10">
        <v>0</v>
      </c>
      <c r="R520" s="10" t="s">
        <v>238</v>
      </c>
      <c r="S520" s="10">
        <v>0.36902410333614571</v>
      </c>
      <c r="T520" s="10">
        <v>0.49795486319845189</v>
      </c>
      <c r="U520" s="10">
        <v>5.5375940783140433E-2</v>
      </c>
      <c r="V520" s="10">
        <v>2.10168477433339</v>
      </c>
    </row>
    <row r="521" spans="1:22" x14ac:dyDescent="0.3">
      <c r="A521" s="10" t="s">
        <v>176</v>
      </c>
      <c r="B521" s="10">
        <v>2023</v>
      </c>
      <c r="C521" s="10">
        <v>594560000000</v>
      </c>
      <c r="D521" s="10">
        <v>20345000000</v>
      </c>
      <c r="E521" s="10">
        <v>8487854000000</v>
      </c>
      <c r="F521" s="10">
        <v>5606490000000</v>
      </c>
      <c r="G521" s="10">
        <v>2924204000000</v>
      </c>
      <c r="H521" s="10">
        <v>2543062000000</v>
      </c>
      <c r="I521" s="10">
        <v>5562686000000</v>
      </c>
      <c r="J521" s="10">
        <v>4024763000000</v>
      </c>
      <c r="K521" s="10">
        <v>3063428000000</v>
      </c>
      <c r="L521" s="10"/>
      <c r="M521" s="10">
        <v>10245160000000</v>
      </c>
      <c r="N521" s="10">
        <v>434574000000</v>
      </c>
      <c r="O521" s="10">
        <v>314867000000</v>
      </c>
      <c r="P521" s="10">
        <v>6.3815826765715791</v>
      </c>
      <c r="Q521" s="10">
        <v>0</v>
      </c>
      <c r="R521" s="10" t="s">
        <v>238</v>
      </c>
      <c r="S521" s="10">
        <v>0.36091902617552091</v>
      </c>
      <c r="T521" s="10">
        <v>0.47417910345771741</v>
      </c>
      <c r="U521" s="10">
        <v>7.0048330237537079E-2</v>
      </c>
      <c r="V521" s="10">
        <v>1.9022906746588131</v>
      </c>
    </row>
    <row r="522" spans="1:22" x14ac:dyDescent="0.3">
      <c r="A522" s="10" t="s">
        <v>176</v>
      </c>
      <c r="B522" s="10">
        <v>2022</v>
      </c>
      <c r="C522" s="10">
        <v>454574000000</v>
      </c>
      <c r="D522" s="10">
        <v>23491000000</v>
      </c>
      <c r="E522" s="10">
        <v>8382538000000</v>
      </c>
      <c r="F522" s="10">
        <v>5788393000000</v>
      </c>
      <c r="G522" s="10">
        <v>3218785000000</v>
      </c>
      <c r="H522" s="10">
        <v>2844445000000</v>
      </c>
      <c r="I522" s="10">
        <v>5162747000000</v>
      </c>
      <c r="J522" s="10">
        <v>3624824000000</v>
      </c>
      <c r="K522" s="10">
        <v>2943948000000</v>
      </c>
      <c r="L522" s="10"/>
      <c r="M522" s="10">
        <v>10317193000000</v>
      </c>
      <c r="N522" s="10">
        <v>313459000000</v>
      </c>
      <c r="O522" s="10">
        <v>302619000000</v>
      </c>
      <c r="P522" s="10">
        <v>5.7621366434180494</v>
      </c>
      <c r="Q522" s="10">
        <v>0</v>
      </c>
      <c r="R522" s="10" t="s">
        <v>238</v>
      </c>
      <c r="S522" s="10">
        <v>0.35120007806704839</v>
      </c>
      <c r="T522" s="10">
        <v>0.43242559711629103</v>
      </c>
      <c r="U522" s="10">
        <v>5.4228683484643908E-2</v>
      </c>
      <c r="V522" s="10">
        <v>1.6039427920783771</v>
      </c>
    </row>
    <row r="523" spans="1:22" x14ac:dyDescent="0.3">
      <c r="A523" s="10" t="s">
        <v>177</v>
      </c>
      <c r="B523" s="10">
        <v>2025</v>
      </c>
      <c r="C523" s="10">
        <v>-4003204909</v>
      </c>
      <c r="D523" s="10">
        <v>49083749</v>
      </c>
      <c r="E523" s="10">
        <v>55989856216</v>
      </c>
      <c r="F523" s="10">
        <v>8398972585</v>
      </c>
      <c r="G523" s="10">
        <v>4194568915</v>
      </c>
      <c r="H523" s="10">
        <v>3115780890</v>
      </c>
      <c r="I523" s="10">
        <v>51795286301</v>
      </c>
      <c r="J523" s="10">
        <v>-7042848819</v>
      </c>
      <c r="K523" s="10">
        <v>5283191695</v>
      </c>
      <c r="L523" s="10"/>
      <c r="M523" s="10">
        <v>21623836809</v>
      </c>
      <c r="N523" s="10">
        <v>-3430893669</v>
      </c>
      <c r="O523" s="10">
        <v>619255215</v>
      </c>
      <c r="P523" s="10">
        <v>12.69404755823042</v>
      </c>
      <c r="Q523" s="10">
        <v>0</v>
      </c>
      <c r="R523" s="10" t="s">
        <v>238</v>
      </c>
      <c r="S523" s="10">
        <v>9.4359801079293412E-2</v>
      </c>
      <c r="T523" s="10">
        <v>-0.12578794258427459</v>
      </c>
      <c r="U523" s="10">
        <v>-7.1498753159077055E-2</v>
      </c>
      <c r="V523" s="10">
        <v>12.34817864495618</v>
      </c>
    </row>
    <row r="524" spans="1:22" x14ac:dyDescent="0.3">
      <c r="A524" s="10" t="s">
        <v>177</v>
      </c>
      <c r="B524" s="10">
        <v>2024</v>
      </c>
      <c r="C524" s="10">
        <v>-4588286102</v>
      </c>
      <c r="D524" s="10">
        <v>19881441</v>
      </c>
      <c r="E524" s="10">
        <v>57611939195</v>
      </c>
      <c r="F524" s="10">
        <v>11219429580</v>
      </c>
      <c r="G524" s="10">
        <v>2381022564</v>
      </c>
      <c r="H524" s="10">
        <v>990563000</v>
      </c>
      <c r="I524" s="10">
        <v>55230915631</v>
      </c>
      <c r="J524" s="10">
        <v>-3607219489</v>
      </c>
      <c r="K524" s="10">
        <v>10228866580</v>
      </c>
      <c r="L524" s="10"/>
      <c r="M524" s="10">
        <v>3132558298</v>
      </c>
      <c r="N524" s="10">
        <v>-3672703469</v>
      </c>
      <c r="O524" s="10">
        <v>1138209738</v>
      </c>
      <c r="P524" s="10">
        <v>24.78152327463059</v>
      </c>
      <c r="Q524" s="10">
        <v>0</v>
      </c>
      <c r="R524" s="10" t="s">
        <v>238</v>
      </c>
      <c r="S524" s="10">
        <v>0.17754768756139591</v>
      </c>
      <c r="T524" s="10">
        <v>-6.2612360205244785E-2</v>
      </c>
      <c r="U524" s="10">
        <v>-7.9641236974682603E-2</v>
      </c>
      <c r="V524" s="10">
        <v>23.196300810444569</v>
      </c>
    </row>
    <row r="525" spans="1:22" x14ac:dyDescent="0.3">
      <c r="A525" s="10" t="s">
        <v>177</v>
      </c>
      <c r="B525" s="10">
        <v>2023</v>
      </c>
      <c r="C525" s="10">
        <v>266266151</v>
      </c>
      <c r="D525" s="10">
        <v>4816916</v>
      </c>
      <c r="E525" s="10">
        <v>60223841893</v>
      </c>
      <c r="F525" s="10">
        <v>28519958592</v>
      </c>
      <c r="G525" s="10">
        <v>1330629788</v>
      </c>
      <c r="H525" s="10">
        <v>1163189111</v>
      </c>
      <c r="I525" s="10">
        <v>58893211105</v>
      </c>
      <c r="J525" s="10">
        <v>59283545</v>
      </c>
      <c r="K525" s="10">
        <v>27356769481</v>
      </c>
      <c r="L525" s="10"/>
      <c r="M525" s="10">
        <v>8348193858</v>
      </c>
      <c r="N525" s="10">
        <v>166993282</v>
      </c>
      <c r="O525" s="10">
        <v>99007450</v>
      </c>
      <c r="P525" s="10">
        <v>49.485444194570967</v>
      </c>
      <c r="Q525" s="10">
        <v>0</v>
      </c>
      <c r="R525" s="10" t="s">
        <v>238</v>
      </c>
      <c r="S525" s="10">
        <v>0.45425148281979272</v>
      </c>
      <c r="T525" s="10">
        <v>9.843866338738298E-4</v>
      </c>
      <c r="U525" s="10">
        <v>4.421274741539678E-3</v>
      </c>
      <c r="V525" s="10">
        <v>44.259651810079568</v>
      </c>
    </row>
    <row r="526" spans="1:22" x14ac:dyDescent="0.3">
      <c r="A526" s="10" t="s">
        <v>177</v>
      </c>
      <c r="B526" s="10">
        <v>2022</v>
      </c>
      <c r="C526" s="10">
        <v>42383041</v>
      </c>
      <c r="D526" s="10">
        <v>0</v>
      </c>
      <c r="E526" s="10">
        <v>7205469247</v>
      </c>
      <c r="F526" s="10">
        <v>3351954656</v>
      </c>
      <c r="G526" s="10">
        <v>809192523</v>
      </c>
      <c r="H526" s="10">
        <v>697000633</v>
      </c>
      <c r="I526" s="10">
        <v>6396276724</v>
      </c>
      <c r="J526" s="10">
        <v>-103723276</v>
      </c>
      <c r="K526" s="10">
        <v>2654954023</v>
      </c>
      <c r="L526" s="10"/>
      <c r="M526" s="10">
        <v>3989577000</v>
      </c>
      <c r="N526" s="10">
        <v>-16531787</v>
      </c>
      <c r="O526" s="10">
        <v>0</v>
      </c>
      <c r="P526" s="10">
        <v>10.70946527233159</v>
      </c>
      <c r="Q526" s="10">
        <v>0</v>
      </c>
      <c r="R526" s="10" t="s">
        <v>238</v>
      </c>
      <c r="S526" s="10">
        <v>0.36846372276245448</v>
      </c>
      <c r="T526" s="10">
        <v>-1.439507580206317E-2</v>
      </c>
      <c r="U526" s="10">
        <v>5.8820653516280276E-3</v>
      </c>
      <c r="V526" s="10">
        <v>7.9045178275825467</v>
      </c>
    </row>
    <row r="527" spans="1:22" x14ac:dyDescent="0.3">
      <c r="A527" s="10" t="s">
        <v>178</v>
      </c>
      <c r="B527" s="10">
        <v>2025</v>
      </c>
      <c r="C527" s="10">
        <v>1747216000000</v>
      </c>
      <c r="D527" s="10">
        <v>128000000</v>
      </c>
      <c r="E527" s="10">
        <v>9253470000000</v>
      </c>
      <c r="F527" s="10">
        <v>5194830000000</v>
      </c>
      <c r="G527" s="10">
        <v>937010000000</v>
      </c>
      <c r="H527" s="10">
        <v>787848000000</v>
      </c>
      <c r="I527" s="10">
        <v>8220575000000</v>
      </c>
      <c r="J527" s="10">
        <v>7533270000000</v>
      </c>
      <c r="K527" s="10">
        <v>4406982000000</v>
      </c>
      <c r="L527" s="10"/>
      <c r="M527" s="10">
        <v>8767854000000</v>
      </c>
      <c r="N527" s="10">
        <v>1353297000000</v>
      </c>
      <c r="O527" s="10">
        <v>43524000000</v>
      </c>
      <c r="P527" s="10">
        <v>16.258896614583019</v>
      </c>
      <c r="Q527" s="10">
        <v>0</v>
      </c>
      <c r="R527" s="10" t="s">
        <v>238</v>
      </c>
      <c r="S527" s="10">
        <v>0.4762518276927466</v>
      </c>
      <c r="T527" s="10">
        <v>0.81410216924029577</v>
      </c>
      <c r="U527" s="10">
        <v>0.18881738418128549</v>
      </c>
      <c r="V527" s="10">
        <v>8.7731987919019012</v>
      </c>
    </row>
    <row r="528" spans="1:22" x14ac:dyDescent="0.3">
      <c r="A528" s="10" t="s">
        <v>178</v>
      </c>
      <c r="B528" s="10">
        <v>2024</v>
      </c>
      <c r="C528" s="10">
        <v>1507090000000</v>
      </c>
      <c r="D528" s="10">
        <v>127000000</v>
      </c>
      <c r="E528" s="10">
        <v>8461365000000</v>
      </c>
      <c r="F528" s="10">
        <v>4869748000000</v>
      </c>
      <c r="G528" s="10">
        <v>1034447000000</v>
      </c>
      <c r="H528" s="10">
        <v>902814000000</v>
      </c>
      <c r="I528" s="10">
        <v>7339230000000</v>
      </c>
      <c r="J528" s="10">
        <v>6647891000000</v>
      </c>
      <c r="K528" s="10">
        <v>3966934000000</v>
      </c>
      <c r="L528" s="10"/>
      <c r="M528" s="10">
        <v>8874202000000</v>
      </c>
      <c r="N528" s="10">
        <v>1136624000000</v>
      </c>
      <c r="O528" s="10">
        <v>37848000000</v>
      </c>
      <c r="P528" s="10">
        <v>14.283326362528589</v>
      </c>
      <c r="Q528" s="10">
        <v>0</v>
      </c>
      <c r="R528" s="10" t="s">
        <v>238</v>
      </c>
      <c r="S528" s="10">
        <v>0.46882908372348908</v>
      </c>
      <c r="T528" s="10">
        <v>0.78567595181155758</v>
      </c>
      <c r="U528" s="10">
        <v>0.17811428770653431</v>
      </c>
      <c r="V528" s="10">
        <v>7.0948342447703938</v>
      </c>
    </row>
    <row r="529" spans="1:22" x14ac:dyDescent="0.3">
      <c r="A529" s="10" t="s">
        <v>178</v>
      </c>
      <c r="B529" s="10">
        <v>2023</v>
      </c>
      <c r="C529" s="10">
        <v>1554133000000</v>
      </c>
      <c r="D529" s="10">
        <v>46848000000</v>
      </c>
      <c r="E529" s="10">
        <v>7523956000000</v>
      </c>
      <c r="F529" s="10">
        <v>4411475000000</v>
      </c>
      <c r="G529" s="10">
        <v>836988000000</v>
      </c>
      <c r="H529" s="10">
        <v>713393000000</v>
      </c>
      <c r="I529" s="10">
        <v>6600809000000</v>
      </c>
      <c r="J529" s="10">
        <v>5927160000000</v>
      </c>
      <c r="K529" s="10">
        <v>3698082000000</v>
      </c>
      <c r="L529" s="10"/>
      <c r="M529" s="10">
        <v>8302741000000</v>
      </c>
      <c r="N529" s="10">
        <v>1169212000000</v>
      </c>
      <c r="O529" s="10">
        <v>30901000000</v>
      </c>
      <c r="P529" s="10">
        <v>15.46119913030353</v>
      </c>
      <c r="Q529" s="10">
        <v>0</v>
      </c>
      <c r="R529" s="10" t="s">
        <v>238</v>
      </c>
      <c r="S529" s="10">
        <v>0.49150765900279048</v>
      </c>
      <c r="T529" s="10">
        <v>0.78777175198791705</v>
      </c>
      <c r="U529" s="10">
        <v>0.20655795966908899</v>
      </c>
      <c r="V529" s="10">
        <v>7.8863842731317533</v>
      </c>
    </row>
    <row r="530" spans="1:22" x14ac:dyDescent="0.3">
      <c r="A530" s="10" t="s">
        <v>178</v>
      </c>
      <c r="B530" s="10">
        <v>2022</v>
      </c>
      <c r="C530" s="10">
        <v>1408387000000</v>
      </c>
      <c r="D530" s="10">
        <v>119389000000</v>
      </c>
      <c r="E530" s="10">
        <v>7376375000000</v>
      </c>
      <c r="F530" s="10">
        <v>4618390000000</v>
      </c>
      <c r="G530" s="10">
        <v>1553696000000</v>
      </c>
      <c r="H530" s="10">
        <v>1456898000000</v>
      </c>
      <c r="I530" s="10">
        <v>5738735000000</v>
      </c>
      <c r="J530" s="10">
        <v>6853367000000</v>
      </c>
      <c r="K530" s="10">
        <v>3161492000000</v>
      </c>
      <c r="L530" s="10"/>
      <c r="M530" s="10">
        <v>7656252000000</v>
      </c>
      <c r="N530" s="10">
        <v>960786000000</v>
      </c>
      <c r="O530" s="10">
        <v>610824000000</v>
      </c>
      <c r="P530" s="10">
        <v>11.001798232224729</v>
      </c>
      <c r="Q530" s="10">
        <v>0</v>
      </c>
      <c r="R530" s="10" t="s">
        <v>238</v>
      </c>
      <c r="S530" s="10">
        <v>0.4285969734456288</v>
      </c>
      <c r="T530" s="10">
        <v>0.92909688024266657</v>
      </c>
      <c r="U530" s="10">
        <v>0.19093213129755471</v>
      </c>
      <c r="V530" s="10">
        <v>3.693602223343563</v>
      </c>
    </row>
    <row r="531" spans="1:22" x14ac:dyDescent="0.3">
      <c r="A531" s="10" t="s">
        <v>179</v>
      </c>
      <c r="B531" s="10">
        <v>2025</v>
      </c>
      <c r="C531" s="10">
        <v>46810123</v>
      </c>
      <c r="D531" s="10">
        <v>298270</v>
      </c>
      <c r="E531" s="10">
        <v>366945405</v>
      </c>
      <c r="F531" s="10">
        <v>302493440</v>
      </c>
      <c r="G531" s="10">
        <v>44036818</v>
      </c>
      <c r="H531" s="10">
        <v>39907227</v>
      </c>
      <c r="I531" s="10">
        <v>312023033</v>
      </c>
      <c r="J531" s="10">
        <v>238904303</v>
      </c>
      <c r="K531" s="10">
        <v>262586213</v>
      </c>
      <c r="L531" s="10"/>
      <c r="M531" s="10">
        <v>400557162</v>
      </c>
      <c r="N531" s="10">
        <v>36981518</v>
      </c>
      <c r="O531" s="10">
        <v>5933537</v>
      </c>
      <c r="P531" s="10">
        <v>15.11382940953065</v>
      </c>
      <c r="Q531" s="10">
        <v>0</v>
      </c>
      <c r="R531" s="10" t="s">
        <v>238</v>
      </c>
      <c r="S531" s="10">
        <v>0.71560022123727096</v>
      </c>
      <c r="T531" s="10">
        <v>0.65106225543279383</v>
      </c>
      <c r="U531" s="10">
        <v>0.12756699596769719</v>
      </c>
      <c r="V531" s="10">
        <v>7.0855036120003039</v>
      </c>
    </row>
    <row r="532" spans="1:22" x14ac:dyDescent="0.3">
      <c r="A532" s="10" t="s">
        <v>179</v>
      </c>
      <c r="B532" s="10">
        <v>2024</v>
      </c>
      <c r="C532" s="10">
        <v>26493163</v>
      </c>
      <c r="D532" s="10">
        <v>447254</v>
      </c>
      <c r="E532" s="10">
        <v>341447342</v>
      </c>
      <c r="F532" s="10">
        <v>282067204</v>
      </c>
      <c r="G532" s="10">
        <v>41076836</v>
      </c>
      <c r="H532" s="10">
        <v>36711960</v>
      </c>
      <c r="I532" s="10">
        <v>289540533</v>
      </c>
      <c r="J532" s="10">
        <v>217029233</v>
      </c>
      <c r="K532" s="10">
        <v>245355244</v>
      </c>
      <c r="L532" s="10"/>
      <c r="M532" s="10">
        <v>344678707</v>
      </c>
      <c r="N532" s="10">
        <v>20760999</v>
      </c>
      <c r="O532" s="10">
        <v>4910338</v>
      </c>
      <c r="P532" s="10">
        <v>14.708555475947669</v>
      </c>
      <c r="Q532" s="10">
        <v>0</v>
      </c>
      <c r="R532" s="10" t="s">
        <v>238</v>
      </c>
      <c r="S532" s="10">
        <v>0.71857418061259937</v>
      </c>
      <c r="T532" s="10">
        <v>0.6356155292607315</v>
      </c>
      <c r="U532" s="10">
        <v>7.7590772400858224E-2</v>
      </c>
      <c r="V532" s="10">
        <v>7.0487545097192976</v>
      </c>
    </row>
    <row r="533" spans="1:22" x14ac:dyDescent="0.3">
      <c r="A533" s="10" t="s">
        <v>179</v>
      </c>
      <c r="B533" s="10">
        <v>2023</v>
      </c>
      <c r="C533" s="10">
        <v>28379435</v>
      </c>
      <c r="D533" s="10">
        <v>522931</v>
      </c>
      <c r="E533" s="10">
        <v>335210659</v>
      </c>
      <c r="F533" s="10">
        <v>274188445</v>
      </c>
      <c r="G533" s="10">
        <v>44840780</v>
      </c>
      <c r="H533" s="10">
        <v>39626034</v>
      </c>
      <c r="I533" s="10">
        <v>278811029</v>
      </c>
      <c r="J533" s="10">
        <v>202846053</v>
      </c>
      <c r="K533" s="10">
        <v>234562411</v>
      </c>
      <c r="L533" s="10"/>
      <c r="M533" s="10">
        <v>339302689</v>
      </c>
      <c r="N533" s="10">
        <v>22434529</v>
      </c>
      <c r="O533" s="10">
        <v>6867027</v>
      </c>
      <c r="P533" s="10">
        <v>13.66067551655574</v>
      </c>
      <c r="Q533" s="10">
        <v>0</v>
      </c>
      <c r="R533" s="10" t="s">
        <v>238</v>
      </c>
      <c r="S533" s="10">
        <v>0.69974627805615219</v>
      </c>
      <c r="T533" s="10">
        <v>0.60513008030571014</v>
      </c>
      <c r="U533" s="10">
        <v>8.4661493416293782E-2</v>
      </c>
      <c r="V533" s="10">
        <v>6.2178006047174019</v>
      </c>
    </row>
    <row r="534" spans="1:22" x14ac:dyDescent="0.3">
      <c r="A534" s="10" t="s">
        <v>179</v>
      </c>
      <c r="B534" s="10">
        <v>2022</v>
      </c>
      <c r="C534" s="10">
        <v>48993015</v>
      </c>
      <c r="D534" s="10">
        <v>254563</v>
      </c>
      <c r="E534" s="10">
        <v>317577675</v>
      </c>
      <c r="F534" s="10">
        <v>260416258</v>
      </c>
      <c r="G534" s="10">
        <v>42624419</v>
      </c>
      <c r="H534" s="10">
        <v>39890730</v>
      </c>
      <c r="I534" s="10">
        <v>265442301</v>
      </c>
      <c r="J534" s="10">
        <v>189629229</v>
      </c>
      <c r="K534" s="10">
        <v>220525528</v>
      </c>
      <c r="L534" s="10"/>
      <c r="M534" s="10">
        <v>412076520</v>
      </c>
      <c r="N534" s="10">
        <v>38405095</v>
      </c>
      <c r="O534" s="10">
        <v>3980354</v>
      </c>
      <c r="P534" s="10">
        <v>14.07738314218164</v>
      </c>
      <c r="Q534" s="10">
        <v>0</v>
      </c>
      <c r="R534" s="10" t="s">
        <v>238</v>
      </c>
      <c r="S534" s="10">
        <v>0.69439871048870172</v>
      </c>
      <c r="T534" s="10">
        <v>0.59711133347140977</v>
      </c>
      <c r="U534" s="10">
        <v>0.1542709669374587</v>
      </c>
      <c r="V534" s="10">
        <v>6.2274702442278453</v>
      </c>
    </row>
    <row r="535" spans="1:22" x14ac:dyDescent="0.3">
      <c r="A535" s="10" t="s">
        <v>180</v>
      </c>
      <c r="B535" s="10">
        <v>2025</v>
      </c>
      <c r="C535" s="10">
        <v>11202332066</v>
      </c>
      <c r="D535" s="10">
        <v>44911967293</v>
      </c>
      <c r="E535" s="10">
        <v>1222469919462</v>
      </c>
      <c r="F535" s="10">
        <v>1013608928532</v>
      </c>
      <c r="G535" s="10">
        <v>660915258128</v>
      </c>
      <c r="H535" s="10">
        <v>588042415347</v>
      </c>
      <c r="I535" s="10">
        <v>561554661334</v>
      </c>
      <c r="J535" s="10">
        <v>49434083126</v>
      </c>
      <c r="K535" s="10">
        <v>425566513185</v>
      </c>
      <c r="L535" s="10"/>
      <c r="M535" s="10">
        <v>412952115079</v>
      </c>
      <c r="N535" s="10">
        <v>-33244917832</v>
      </c>
      <c r="O535" s="10">
        <v>580531284308</v>
      </c>
      <c r="P535" s="10">
        <v>3.3692214015280282</v>
      </c>
      <c r="Q535" s="10">
        <v>0</v>
      </c>
      <c r="R535" s="10" t="s">
        <v>238</v>
      </c>
      <c r="S535" s="10">
        <v>0.34812023298887279</v>
      </c>
      <c r="T535" s="10">
        <v>4.0437872817153303E-2</v>
      </c>
      <c r="U535" s="10">
        <v>9.163687292142177E-3</v>
      </c>
      <c r="V535" s="10">
        <v>0.84966212298467358</v>
      </c>
    </row>
    <row r="536" spans="1:22" x14ac:dyDescent="0.3">
      <c r="A536" s="10" t="s">
        <v>180</v>
      </c>
      <c r="B536" s="10">
        <v>2024</v>
      </c>
      <c r="C536" s="10">
        <v>71478899221</v>
      </c>
      <c r="D536" s="10">
        <v>42666997165</v>
      </c>
      <c r="E536" s="10">
        <v>1227823329650</v>
      </c>
      <c r="F536" s="10">
        <v>1062416990503</v>
      </c>
      <c r="G536" s="10">
        <v>600004356505</v>
      </c>
      <c r="H536" s="10">
        <v>500435774679</v>
      </c>
      <c r="I536" s="10">
        <v>627818973145</v>
      </c>
      <c r="J536" s="10">
        <v>115698394937</v>
      </c>
      <c r="K536" s="10">
        <v>561981215824</v>
      </c>
      <c r="L536" s="10"/>
      <c r="M536" s="10">
        <v>573313340870</v>
      </c>
      <c r="N536" s="10">
        <v>20815702465</v>
      </c>
      <c r="O536" s="10">
        <v>539187197136</v>
      </c>
      <c r="P536" s="10">
        <v>4.7996244065212323</v>
      </c>
      <c r="Q536" s="10">
        <v>0</v>
      </c>
      <c r="R536" s="10" t="s">
        <v>238</v>
      </c>
      <c r="S536" s="10">
        <v>0.45770527587563992</v>
      </c>
      <c r="T536" s="10">
        <v>9.4230490774255507E-2</v>
      </c>
      <c r="U536" s="10">
        <v>5.8215948088700661E-2</v>
      </c>
      <c r="V536" s="10">
        <v>1.046357357806565</v>
      </c>
    </row>
    <row r="537" spans="1:22" x14ac:dyDescent="0.3">
      <c r="A537" s="10" t="s">
        <v>180</v>
      </c>
      <c r="B537" s="10">
        <v>2023</v>
      </c>
      <c r="C537" s="10">
        <v>105521408486</v>
      </c>
      <c r="D537" s="10">
        <v>36877445217</v>
      </c>
      <c r="E537" s="10">
        <v>925062601258</v>
      </c>
      <c r="F537" s="10">
        <v>787210215999</v>
      </c>
      <c r="G537" s="10">
        <v>703309949514</v>
      </c>
      <c r="H537" s="10">
        <v>644812759580</v>
      </c>
      <c r="I537" s="10">
        <v>221752651744</v>
      </c>
      <c r="J537" s="10">
        <v>95252651744</v>
      </c>
      <c r="K537" s="10">
        <v>142397456419</v>
      </c>
      <c r="L537" s="10"/>
      <c r="M537" s="10">
        <v>684623623630</v>
      </c>
      <c r="N537" s="10">
        <v>53000809501</v>
      </c>
      <c r="O537" s="10">
        <v>559600350492</v>
      </c>
      <c r="P537" s="10">
        <v>2.4430879854278462</v>
      </c>
      <c r="Q537" s="10">
        <v>0</v>
      </c>
      <c r="R537" s="10" t="s">
        <v>239</v>
      </c>
      <c r="S537" s="10">
        <v>0.15393277841451219</v>
      </c>
      <c r="T537" s="10">
        <v>0.10296887109528061</v>
      </c>
      <c r="U537" s="10">
        <v>0.1140694784790787</v>
      </c>
      <c r="V537" s="10">
        <v>0.31529861321773578</v>
      </c>
    </row>
    <row r="538" spans="1:22" x14ac:dyDescent="0.3">
      <c r="A538" s="10" t="s">
        <v>180</v>
      </c>
      <c r="B538" s="10">
        <v>2022</v>
      </c>
      <c r="C538" s="10">
        <v>87373378066</v>
      </c>
      <c r="D538" s="10">
        <v>31353966466</v>
      </c>
      <c r="E538" s="10">
        <v>762962183292</v>
      </c>
      <c r="F538" s="10">
        <v>623096718702</v>
      </c>
      <c r="G538" s="10">
        <v>594667315162</v>
      </c>
      <c r="H538" s="10">
        <v>520999202954</v>
      </c>
      <c r="I538" s="10">
        <v>168294868130</v>
      </c>
      <c r="J538" s="10">
        <v>42294868130</v>
      </c>
      <c r="K538" s="10">
        <v>102097515748</v>
      </c>
      <c r="L538" s="10"/>
      <c r="M538" s="10">
        <v>419174026364</v>
      </c>
      <c r="N538" s="10">
        <v>42087750707</v>
      </c>
      <c r="O538" s="10">
        <v>477016678266</v>
      </c>
      <c r="P538" s="10">
        <v>2.1252818751490752</v>
      </c>
      <c r="Q538" s="10">
        <v>0</v>
      </c>
      <c r="R538" s="10" t="s">
        <v>239</v>
      </c>
      <c r="S538" s="10">
        <v>0.1338172690387793</v>
      </c>
      <c r="T538" s="10">
        <v>5.5435077984478498E-2</v>
      </c>
      <c r="U538" s="10">
        <v>0.1145186222585826</v>
      </c>
      <c r="V538" s="10">
        <v>0.28300675661676972</v>
      </c>
    </row>
    <row r="539" spans="1:22" x14ac:dyDescent="0.3">
      <c r="A539" s="10" t="s">
        <v>181</v>
      </c>
      <c r="B539" s="10">
        <v>2025</v>
      </c>
      <c r="C539" s="10">
        <v>4616468000000</v>
      </c>
      <c r="D539" s="10">
        <v>118188000000</v>
      </c>
      <c r="E539" s="10">
        <v>20017339000000</v>
      </c>
      <c r="F539" s="10">
        <v>10544623000000</v>
      </c>
      <c r="G539" s="10">
        <v>15542221000000</v>
      </c>
      <c r="H539" s="10">
        <v>14222619000000</v>
      </c>
      <c r="I539" s="10">
        <v>4475118000000</v>
      </c>
      <c r="J539" s="10">
        <v>4572603000000</v>
      </c>
      <c r="K539" s="10">
        <v>-3677996000000</v>
      </c>
      <c r="L539" s="10"/>
      <c r="M539" s="10">
        <v>31943461000000</v>
      </c>
      <c r="N539" s="10">
        <v>7641161000000</v>
      </c>
      <c r="O539" s="10">
        <v>644841000000</v>
      </c>
      <c r="P539" s="10">
        <v>1.391470246976743</v>
      </c>
      <c r="Q539" s="10">
        <v>0</v>
      </c>
      <c r="R539" s="10" t="s">
        <v>239</v>
      </c>
      <c r="S539" s="10">
        <v>-0.1837405061681775</v>
      </c>
      <c r="T539" s="10">
        <v>0.2284321107815579</v>
      </c>
      <c r="U539" s="10">
        <v>0.2306234609904943</v>
      </c>
      <c r="V539" s="10">
        <v>0.28793297946284507</v>
      </c>
    </row>
    <row r="540" spans="1:22" x14ac:dyDescent="0.3">
      <c r="A540" s="10" t="s">
        <v>181</v>
      </c>
      <c r="B540" s="10">
        <v>2023</v>
      </c>
      <c r="C540" s="10">
        <v>6307846000000</v>
      </c>
      <c r="D540" s="10">
        <v>105970000000</v>
      </c>
      <c r="E540" s="10">
        <v>16664086000000</v>
      </c>
      <c r="F540" s="10">
        <v>6191839000000</v>
      </c>
      <c r="G540" s="10">
        <v>13282848000000</v>
      </c>
      <c r="H540" s="10">
        <v>11223968000000</v>
      </c>
      <c r="I540" s="10">
        <v>3381238000000</v>
      </c>
      <c r="J540" s="10">
        <v>3193678000000</v>
      </c>
      <c r="K540" s="10">
        <v>-5032129000000</v>
      </c>
      <c r="L540" s="10"/>
      <c r="M540" s="10">
        <v>38611401000000</v>
      </c>
      <c r="N540" s="10">
        <v>4800940000000</v>
      </c>
      <c r="O540" s="10">
        <v>750783000000</v>
      </c>
      <c r="P540" s="10">
        <v>1.4548293677185771</v>
      </c>
      <c r="Q540" s="10">
        <v>0</v>
      </c>
      <c r="R540" s="10" t="s">
        <v>239</v>
      </c>
      <c r="S540" s="10">
        <v>-0.3019744977312287</v>
      </c>
      <c r="T540" s="10">
        <v>0.19165035514098999</v>
      </c>
      <c r="U540" s="10">
        <v>0.37852937148788118</v>
      </c>
      <c r="V540" s="10">
        <v>0.25455670350214049</v>
      </c>
    </row>
    <row r="541" spans="1:22" x14ac:dyDescent="0.3">
      <c r="A541" s="10" t="s">
        <v>181</v>
      </c>
      <c r="B541" s="10">
        <v>2022</v>
      </c>
      <c r="C541" s="10">
        <v>7079014000000</v>
      </c>
      <c r="D541" s="10">
        <v>85211000000</v>
      </c>
      <c r="E541" s="10">
        <v>18318114000000</v>
      </c>
      <c r="F541" s="10">
        <v>7567768000000</v>
      </c>
      <c r="G541" s="10">
        <v>14320858000000</v>
      </c>
      <c r="H541" s="10">
        <v>12442223000000</v>
      </c>
      <c r="I541" s="10">
        <v>3997256000000</v>
      </c>
      <c r="J541" s="10">
        <v>3809696000000</v>
      </c>
      <c r="K541" s="10">
        <v>-4874455000000</v>
      </c>
      <c r="L541" s="10"/>
      <c r="M541" s="10">
        <v>41218881000000</v>
      </c>
      <c r="N541" s="10">
        <v>5364761000000</v>
      </c>
      <c r="O541" s="10">
        <v>1284026000000</v>
      </c>
      <c r="P541" s="10">
        <v>1.822391876618058</v>
      </c>
      <c r="Q541" s="10">
        <v>0</v>
      </c>
      <c r="R541" s="10" t="s">
        <v>239</v>
      </c>
      <c r="S541" s="10">
        <v>-0.26610026556227351</v>
      </c>
      <c r="T541" s="10">
        <v>0.20797424887736801</v>
      </c>
      <c r="U541" s="10">
        <v>0.38644884511582361</v>
      </c>
      <c r="V541" s="10">
        <v>0.27912126494096928</v>
      </c>
    </row>
    <row r="542" spans="1:22" x14ac:dyDescent="0.3">
      <c r="A542" s="10" t="s">
        <v>182</v>
      </c>
      <c r="B542" s="10">
        <v>2025</v>
      </c>
      <c r="C542" s="10">
        <v>184922117464</v>
      </c>
      <c r="D542" s="10">
        <v>7266742140</v>
      </c>
      <c r="E542" s="10">
        <v>1337923666089</v>
      </c>
      <c r="F542" s="10">
        <v>722025119944</v>
      </c>
      <c r="G542" s="10">
        <v>245845046037</v>
      </c>
      <c r="H542" s="10">
        <v>148592544856</v>
      </c>
      <c r="I542" s="10">
        <v>1092078620052</v>
      </c>
      <c r="J542" s="10">
        <v>672343562359</v>
      </c>
      <c r="K542" s="10">
        <v>573432575088</v>
      </c>
      <c r="L542" s="10"/>
      <c r="M542" s="10">
        <v>1410667764627</v>
      </c>
      <c r="N542" s="10">
        <v>136739107559</v>
      </c>
      <c r="O542" s="10">
        <v>85074871565</v>
      </c>
      <c r="P542" s="10">
        <v>10.042907544072721</v>
      </c>
      <c r="Q542" s="10">
        <v>0</v>
      </c>
      <c r="R542" s="10" t="s">
        <v>238</v>
      </c>
      <c r="S542" s="10">
        <v>0.42859887273259029</v>
      </c>
      <c r="T542" s="10">
        <v>0.50252759510890888</v>
      </c>
      <c r="U542" s="10">
        <v>0.13821574589868929</v>
      </c>
      <c r="V542" s="10">
        <v>4.4421420632882747</v>
      </c>
    </row>
    <row r="543" spans="1:22" x14ac:dyDescent="0.3">
      <c r="A543" s="10" t="s">
        <v>182</v>
      </c>
      <c r="B543" s="10">
        <v>2024</v>
      </c>
      <c r="C543" s="10">
        <v>234776581167</v>
      </c>
      <c r="D543" s="10">
        <v>7783633987</v>
      </c>
      <c r="E543" s="10">
        <v>1284957443404</v>
      </c>
      <c r="F543" s="10">
        <v>665720837796</v>
      </c>
      <c r="G543" s="10">
        <v>261064980740</v>
      </c>
      <c r="H543" s="10">
        <v>161688873370</v>
      </c>
      <c r="I543" s="10">
        <v>1023892462664</v>
      </c>
      <c r="J543" s="10">
        <v>604684454800</v>
      </c>
      <c r="K543" s="10">
        <v>504031964426</v>
      </c>
      <c r="L543" s="10"/>
      <c r="M543" s="10">
        <v>1404132465162</v>
      </c>
      <c r="N543" s="10">
        <v>175945630508</v>
      </c>
      <c r="O543" s="10">
        <v>129399980192</v>
      </c>
      <c r="P543" s="10">
        <v>9.4532159392399411</v>
      </c>
      <c r="Q543" s="10">
        <v>0</v>
      </c>
      <c r="R543" s="10" t="s">
        <v>238</v>
      </c>
      <c r="S543" s="10">
        <v>0.39225576458840639</v>
      </c>
      <c r="T543" s="10">
        <v>0.47058714504826038</v>
      </c>
      <c r="U543" s="10">
        <v>0.18271156167246269</v>
      </c>
      <c r="V543" s="10">
        <v>3.921983177374968</v>
      </c>
    </row>
    <row r="544" spans="1:22" x14ac:dyDescent="0.3">
      <c r="A544" s="10" t="s">
        <v>182</v>
      </c>
      <c r="B544" s="10">
        <v>2023</v>
      </c>
      <c r="C544" s="10">
        <v>249350503611</v>
      </c>
      <c r="D544" s="10">
        <v>13593731218</v>
      </c>
      <c r="E544" s="10">
        <v>1148235338153</v>
      </c>
      <c r="F544" s="10">
        <v>599955067504</v>
      </c>
      <c r="G544" s="10">
        <v>229498076801</v>
      </c>
      <c r="H544" s="10">
        <v>158968054256</v>
      </c>
      <c r="I544" s="10">
        <v>918737261352</v>
      </c>
      <c r="J544" s="10">
        <v>502172824292</v>
      </c>
      <c r="K544" s="10">
        <v>440987013248</v>
      </c>
      <c r="L544" s="10"/>
      <c r="M544" s="10">
        <v>1362119699094</v>
      </c>
      <c r="N544" s="10">
        <v>178455165962</v>
      </c>
      <c r="O544" s="10">
        <v>70571636547</v>
      </c>
      <c r="P544" s="10">
        <v>9.6078697461696621</v>
      </c>
      <c r="Q544" s="10">
        <v>0</v>
      </c>
      <c r="R544" s="10" t="s">
        <v>238</v>
      </c>
      <c r="S544" s="10">
        <v>0.38405629803847702</v>
      </c>
      <c r="T544" s="10">
        <v>0.43734311913773072</v>
      </c>
      <c r="U544" s="10">
        <v>0.21715975403796059</v>
      </c>
      <c r="V544" s="10">
        <v>4.0032460147744331</v>
      </c>
    </row>
    <row r="545" spans="1:22" x14ac:dyDescent="0.3">
      <c r="A545" s="10" t="s">
        <v>182</v>
      </c>
      <c r="B545" s="10">
        <v>2022</v>
      </c>
      <c r="C545" s="10">
        <v>147723788385</v>
      </c>
      <c r="D545" s="10">
        <v>15327319856</v>
      </c>
      <c r="E545" s="10">
        <v>1150904222886</v>
      </c>
      <c r="F545" s="10">
        <v>631372396667</v>
      </c>
      <c r="G545" s="10">
        <v>349890773766</v>
      </c>
      <c r="H545" s="10">
        <v>245940888500</v>
      </c>
      <c r="I545" s="10">
        <v>801013449120</v>
      </c>
      <c r="J545" s="10">
        <v>387089658330</v>
      </c>
      <c r="K545" s="10">
        <v>385431508167</v>
      </c>
      <c r="L545" s="10"/>
      <c r="M545" s="10">
        <v>1045720530167</v>
      </c>
      <c r="N545" s="10">
        <v>97639053688</v>
      </c>
      <c r="O545" s="10">
        <v>141323700881</v>
      </c>
      <c r="P545" s="10">
        <v>6.5596939664008733</v>
      </c>
      <c r="Q545" s="10">
        <v>0</v>
      </c>
      <c r="R545" s="10" t="s">
        <v>238</v>
      </c>
      <c r="S545" s="10">
        <v>0.33489451207372789</v>
      </c>
      <c r="T545" s="10">
        <v>0.33633524895697792</v>
      </c>
      <c r="U545" s="10">
        <v>0.12835454544998429</v>
      </c>
      <c r="V545" s="10">
        <v>2.289324295403405</v>
      </c>
    </row>
    <row r="546" spans="1:22" x14ac:dyDescent="0.3">
      <c r="A546" s="10" t="s">
        <v>183</v>
      </c>
      <c r="B546" s="10">
        <v>2025</v>
      </c>
      <c r="C546" s="10">
        <v>20121000000</v>
      </c>
      <c r="D546" s="10">
        <v>16362000000</v>
      </c>
      <c r="E546" s="10">
        <v>1798212000000</v>
      </c>
      <c r="F546" s="10">
        <v>727542000000</v>
      </c>
      <c r="G546" s="10">
        <v>553024000000</v>
      </c>
      <c r="H546" s="10">
        <v>314045000000</v>
      </c>
      <c r="I546" s="10">
        <v>1035971000000</v>
      </c>
      <c r="J546" s="10">
        <v>-79796000000</v>
      </c>
      <c r="K546" s="10">
        <v>413497000000</v>
      </c>
      <c r="L546" s="10"/>
      <c r="M546" s="10">
        <v>1089237000000</v>
      </c>
      <c r="N546" s="10">
        <v>-11368000000</v>
      </c>
      <c r="O546" s="10">
        <v>219429000000</v>
      </c>
      <c r="P546" s="10">
        <v>3.4059434036090548</v>
      </c>
      <c r="Q546" s="10">
        <v>0</v>
      </c>
      <c r="R546" s="10" t="s">
        <v>238</v>
      </c>
      <c r="S546" s="10">
        <v>0.22994897153394589</v>
      </c>
      <c r="T546" s="10">
        <v>-4.4375190466974967E-2</v>
      </c>
      <c r="U546" s="10">
        <v>1.11894481851973E-2</v>
      </c>
      <c r="V546" s="10">
        <v>1.873283980442078</v>
      </c>
    </row>
    <row r="547" spans="1:22" x14ac:dyDescent="0.3">
      <c r="A547" s="10" t="s">
        <v>183</v>
      </c>
      <c r="B547" s="10">
        <v>2024</v>
      </c>
      <c r="C547" s="10">
        <v>21041000000</v>
      </c>
      <c r="D547" s="10">
        <v>7598000000</v>
      </c>
      <c r="E547" s="10">
        <v>1608602000000</v>
      </c>
      <c r="F547" s="10">
        <v>729976000000</v>
      </c>
      <c r="G547" s="10">
        <v>452676000000</v>
      </c>
      <c r="H547" s="10">
        <v>292405000000</v>
      </c>
      <c r="I547" s="10">
        <v>1052068000000</v>
      </c>
      <c r="J547" s="10">
        <v>-68428000000</v>
      </c>
      <c r="K547" s="10">
        <v>437571000000</v>
      </c>
      <c r="L547" s="10"/>
      <c r="M547" s="10">
        <v>1003658000000</v>
      </c>
      <c r="N547" s="10">
        <v>7567000000</v>
      </c>
      <c r="O547" s="10">
        <v>123870000000</v>
      </c>
      <c r="P547" s="10">
        <v>4.1739842051997789</v>
      </c>
      <c r="Q547" s="10">
        <v>0</v>
      </c>
      <c r="R547" s="10" t="s">
        <v>238</v>
      </c>
      <c r="S547" s="10">
        <v>0.27201943053657768</v>
      </c>
      <c r="T547" s="10">
        <v>-4.2538800772347667E-2</v>
      </c>
      <c r="U547" s="10">
        <v>1.308030202623147E-2</v>
      </c>
      <c r="V547" s="10">
        <v>2.3241081921727682</v>
      </c>
    </row>
    <row r="548" spans="1:22" x14ac:dyDescent="0.3">
      <c r="A548" s="10" t="s">
        <v>183</v>
      </c>
      <c r="B548" s="10">
        <v>2023</v>
      </c>
      <c r="C548" s="10">
        <v>53938000000</v>
      </c>
      <c r="D548" s="10">
        <v>11687000000</v>
      </c>
      <c r="E548" s="10">
        <v>1668360000000</v>
      </c>
      <c r="F548" s="10">
        <v>1033363000000</v>
      </c>
      <c r="G548" s="10">
        <v>520502000000</v>
      </c>
      <c r="H548" s="10">
        <v>208872000000</v>
      </c>
      <c r="I548" s="10">
        <v>1040955000000</v>
      </c>
      <c r="J548" s="10">
        <v>-75995000000</v>
      </c>
      <c r="K548" s="10">
        <v>824491000000</v>
      </c>
      <c r="L548" s="10"/>
      <c r="M548" s="10">
        <v>1061862000000</v>
      </c>
      <c r="N548" s="10">
        <v>5428000000</v>
      </c>
      <c r="O548" s="10">
        <v>50359000000</v>
      </c>
      <c r="P548" s="10">
        <v>5.4105658897451541</v>
      </c>
      <c r="Q548" s="10">
        <v>0</v>
      </c>
      <c r="R548" s="10" t="s">
        <v>238</v>
      </c>
      <c r="S548" s="10">
        <v>0.49419250041957369</v>
      </c>
      <c r="T548" s="10">
        <v>-4.5550720468004513E-2</v>
      </c>
      <c r="U548" s="10">
        <v>3.2329952767987717E-2</v>
      </c>
      <c r="V548" s="10">
        <v>1.999905860111969</v>
      </c>
    </row>
    <row r="549" spans="1:22" x14ac:dyDescent="0.3">
      <c r="A549" s="10" t="s">
        <v>184</v>
      </c>
      <c r="B549" s="10">
        <v>2025</v>
      </c>
      <c r="C549" s="10">
        <v>573853178185</v>
      </c>
      <c r="D549" s="10">
        <v>24926434176</v>
      </c>
      <c r="E549" s="10">
        <v>3205184440480</v>
      </c>
      <c r="F549" s="10">
        <v>2480476398924</v>
      </c>
      <c r="G549" s="10">
        <v>990311805079</v>
      </c>
      <c r="H549" s="10">
        <v>944297348715</v>
      </c>
      <c r="I549" s="10">
        <v>2212805162809</v>
      </c>
      <c r="J549" s="10">
        <v>1671054207182</v>
      </c>
      <c r="K549" s="10">
        <v>1536179050209</v>
      </c>
      <c r="L549" s="10"/>
      <c r="M549" s="10">
        <v>6381690511865</v>
      </c>
      <c r="N549" s="10">
        <v>419207525603</v>
      </c>
      <c r="O549" s="10">
        <v>339639862372</v>
      </c>
      <c r="P549" s="10">
        <v>8.3930241015573426</v>
      </c>
      <c r="Q549" s="10">
        <v>0</v>
      </c>
      <c r="R549" s="10" t="s">
        <v>238</v>
      </c>
      <c r="S549" s="10">
        <v>0.47927945450120357</v>
      </c>
      <c r="T549" s="10">
        <v>0.52135976515964466</v>
      </c>
      <c r="U549" s="10">
        <v>0.17903905027663911</v>
      </c>
      <c r="V549" s="10">
        <v>2.2344529788095162</v>
      </c>
    </row>
    <row r="550" spans="1:22" x14ac:dyDescent="0.3">
      <c r="A550" s="10" t="s">
        <v>184</v>
      </c>
      <c r="B550" s="10">
        <v>2024</v>
      </c>
      <c r="C550" s="10">
        <v>387067681487</v>
      </c>
      <c r="D550" s="10">
        <v>10332664178</v>
      </c>
      <c r="E550" s="10">
        <v>3026895275668</v>
      </c>
      <c r="F550" s="10">
        <v>2471135164297</v>
      </c>
      <c r="G550" s="10">
        <v>1110516776947</v>
      </c>
      <c r="H550" s="10">
        <v>1012974885010</v>
      </c>
      <c r="I550" s="10">
        <v>1914495423411</v>
      </c>
      <c r="J550" s="10">
        <v>1391458685876</v>
      </c>
      <c r="K550" s="10">
        <v>1458160279287</v>
      </c>
      <c r="L550" s="10"/>
      <c r="M550" s="10">
        <v>4750889829726</v>
      </c>
      <c r="N550" s="10">
        <v>298682227072</v>
      </c>
      <c r="O550" s="10">
        <v>424465009302</v>
      </c>
      <c r="P550" s="10">
        <v>7.328289807299246</v>
      </c>
      <c r="Q550" s="10">
        <v>0</v>
      </c>
      <c r="R550" s="10" t="s">
        <v>238</v>
      </c>
      <c r="S550" s="10">
        <v>0.48173463119407112</v>
      </c>
      <c r="T550" s="10">
        <v>0.45969832424047818</v>
      </c>
      <c r="U550" s="10">
        <v>0.12787613915766499</v>
      </c>
      <c r="V550" s="10">
        <v>1.723968032859688</v>
      </c>
    </row>
    <row r="551" spans="1:22" x14ac:dyDescent="0.3">
      <c r="A551" s="10" t="s">
        <v>184</v>
      </c>
      <c r="B551" s="10">
        <v>2023</v>
      </c>
      <c r="C551" s="10">
        <v>635753124776</v>
      </c>
      <c r="D551" s="10">
        <v>917322683</v>
      </c>
      <c r="E551" s="10">
        <v>2575756967645</v>
      </c>
      <c r="F551" s="10">
        <v>2214577722230</v>
      </c>
      <c r="G551" s="10">
        <v>728434659389</v>
      </c>
      <c r="H551" s="10">
        <v>718170426248</v>
      </c>
      <c r="I551" s="10">
        <v>1845248771903</v>
      </c>
      <c r="J551" s="10">
        <v>1322583803587</v>
      </c>
      <c r="K551" s="10">
        <v>1496407295982</v>
      </c>
      <c r="L551" s="10"/>
      <c r="M551" s="10">
        <v>4874784628824</v>
      </c>
      <c r="N551" s="10">
        <v>494312833186</v>
      </c>
      <c r="O551" s="10">
        <v>34343049371</v>
      </c>
      <c r="P551" s="10">
        <v>9.8034822257392307</v>
      </c>
      <c r="Q551" s="10">
        <v>0</v>
      </c>
      <c r="R551" s="10" t="s">
        <v>238</v>
      </c>
      <c r="S551" s="10">
        <v>0.58095826383424543</v>
      </c>
      <c r="T551" s="10">
        <v>0.51347383320726525</v>
      </c>
      <c r="U551" s="10">
        <v>0.2468218596559851</v>
      </c>
      <c r="V551" s="10">
        <v>2.5331699255644522</v>
      </c>
    </row>
    <row r="552" spans="1:22" x14ac:dyDescent="0.3">
      <c r="A552" s="10" t="s">
        <v>184</v>
      </c>
      <c r="B552" s="10">
        <v>2022</v>
      </c>
      <c r="C552" s="10">
        <v>320588178894</v>
      </c>
      <c r="D552" s="10">
        <v>1117127852</v>
      </c>
      <c r="E552" s="10">
        <v>2168793843296</v>
      </c>
      <c r="F552" s="10">
        <v>1876123954487</v>
      </c>
      <c r="G552" s="10">
        <v>667866337031</v>
      </c>
      <c r="H552" s="10">
        <v>661604830345</v>
      </c>
      <c r="I552" s="10">
        <v>1499049586750</v>
      </c>
      <c r="J552" s="10">
        <v>989955379124</v>
      </c>
      <c r="K552" s="10">
        <v>1214519124142</v>
      </c>
      <c r="L552" s="10"/>
      <c r="M552" s="10">
        <v>3704350294106</v>
      </c>
      <c r="N552" s="10">
        <v>249331695478</v>
      </c>
      <c r="O552" s="10">
        <v>7567742990</v>
      </c>
      <c r="P552" s="10">
        <v>8.5117281784297703</v>
      </c>
      <c r="Q552" s="10">
        <v>0</v>
      </c>
      <c r="R552" s="10" t="s">
        <v>238</v>
      </c>
      <c r="S552" s="10">
        <v>0.55999749717854619</v>
      </c>
      <c r="T552" s="10">
        <v>0.45645434773990617</v>
      </c>
      <c r="U552" s="10">
        <v>0.1478186503917725</v>
      </c>
      <c r="V552" s="10">
        <v>2.244535326355908</v>
      </c>
    </row>
    <row r="553" spans="1:22" x14ac:dyDescent="0.3">
      <c r="A553" s="10" t="s">
        <v>185</v>
      </c>
      <c r="B553" s="10">
        <v>2025</v>
      </c>
      <c r="C553" s="10">
        <v>59015097420</v>
      </c>
      <c r="D553" s="10">
        <v>7810135717</v>
      </c>
      <c r="E553" s="10">
        <v>452839418342</v>
      </c>
      <c r="F553" s="10">
        <v>244174609272</v>
      </c>
      <c r="G553" s="10">
        <v>114295615691</v>
      </c>
      <c r="H553" s="10">
        <v>95839100739</v>
      </c>
      <c r="I553" s="10">
        <v>337046869560</v>
      </c>
      <c r="J553" s="10">
        <v>118089435354</v>
      </c>
      <c r="K553" s="10">
        <v>148335508533</v>
      </c>
      <c r="L553" s="10"/>
      <c r="M553" s="10">
        <v>285763056947</v>
      </c>
      <c r="N553" s="10">
        <v>39522555676</v>
      </c>
      <c r="O553" s="10">
        <v>83620921436</v>
      </c>
      <c r="P553" s="10">
        <v>6.9710875184805143</v>
      </c>
      <c r="Q553" s="10">
        <v>0</v>
      </c>
      <c r="R553" s="10" t="s">
        <v>238</v>
      </c>
      <c r="S553" s="10">
        <v>0.32756757147181892</v>
      </c>
      <c r="T553" s="10">
        <v>0.2607755212352445</v>
      </c>
      <c r="U553" s="10">
        <v>0.13032235054994651</v>
      </c>
      <c r="V553" s="10">
        <v>2.9489046235265191</v>
      </c>
    </row>
    <row r="554" spans="1:22" x14ac:dyDescent="0.3">
      <c r="A554" s="10" t="s">
        <v>185</v>
      </c>
      <c r="B554" s="10">
        <v>2024</v>
      </c>
      <c r="C554" s="10">
        <v>68439162174</v>
      </c>
      <c r="D554" s="10">
        <v>9014157190</v>
      </c>
      <c r="E554" s="10">
        <v>451382917289</v>
      </c>
      <c r="F554" s="10">
        <v>269903051457</v>
      </c>
      <c r="G554" s="10">
        <v>144656760955</v>
      </c>
      <c r="H554" s="10">
        <v>119049160726</v>
      </c>
      <c r="I554" s="10">
        <v>305278597961</v>
      </c>
      <c r="J554" s="10">
        <v>88051879678</v>
      </c>
      <c r="K554" s="10">
        <v>150853890731</v>
      </c>
      <c r="L554" s="10"/>
      <c r="M554" s="10">
        <v>283831655701</v>
      </c>
      <c r="N554" s="10">
        <v>44788806221</v>
      </c>
      <c r="O554" s="10">
        <v>105164704725</v>
      </c>
      <c r="P554" s="10">
        <v>6.0630867243526048</v>
      </c>
      <c r="Q554" s="10">
        <v>0</v>
      </c>
      <c r="R554" s="10" t="s">
        <v>238</v>
      </c>
      <c r="S554" s="10">
        <v>0.33420381000908622</v>
      </c>
      <c r="T554" s="10">
        <v>0.1950713602695433</v>
      </c>
      <c r="U554" s="10">
        <v>0.15162107282447621</v>
      </c>
      <c r="V554" s="10">
        <v>2.110365225556007</v>
      </c>
    </row>
    <row r="555" spans="1:22" x14ac:dyDescent="0.3">
      <c r="A555" s="10" t="s">
        <v>185</v>
      </c>
      <c r="B555" s="10">
        <v>2023</v>
      </c>
      <c r="C555" s="10">
        <v>60528196590</v>
      </c>
      <c r="D555" s="10">
        <v>8081936254</v>
      </c>
      <c r="E555" s="10">
        <v>384456549911</v>
      </c>
      <c r="F555" s="10">
        <v>217466387369</v>
      </c>
      <c r="G555" s="10">
        <v>117676274871</v>
      </c>
      <c r="H555" s="10">
        <v>51573717336</v>
      </c>
      <c r="I555" s="10">
        <v>265449510339</v>
      </c>
      <c r="J555" s="10">
        <v>56411573457</v>
      </c>
      <c r="K555" s="10">
        <v>165892670033</v>
      </c>
      <c r="L555" s="10"/>
      <c r="M555" s="10">
        <v>253679069291</v>
      </c>
      <c r="N555" s="10">
        <v>39620952370</v>
      </c>
      <c r="O555" s="10">
        <v>81668327375</v>
      </c>
      <c r="P555" s="10">
        <v>6.7355106357271737</v>
      </c>
      <c r="Q555" s="10">
        <v>0</v>
      </c>
      <c r="R555" s="10" t="s">
        <v>238</v>
      </c>
      <c r="S555" s="10">
        <v>0.43149913838482767</v>
      </c>
      <c r="T555" s="10">
        <v>0.14673068639371351</v>
      </c>
      <c r="U555" s="10">
        <v>0.15743832847694239</v>
      </c>
      <c r="V555" s="10">
        <v>2.2557606503944241</v>
      </c>
    </row>
    <row r="556" spans="1:22" x14ac:dyDescent="0.3">
      <c r="A556" s="10" t="s">
        <v>185</v>
      </c>
      <c r="B556" s="10">
        <v>2022</v>
      </c>
      <c r="C556" s="10">
        <v>41204709893</v>
      </c>
      <c r="D556" s="10">
        <v>12318056211</v>
      </c>
      <c r="E556" s="10">
        <v>303342627861</v>
      </c>
      <c r="F556" s="10">
        <v>141663503264</v>
      </c>
      <c r="G556" s="10">
        <v>154773090976</v>
      </c>
      <c r="H556" s="10">
        <v>95614498297</v>
      </c>
      <c r="I556" s="10">
        <v>148060733540</v>
      </c>
      <c r="J556" s="10">
        <v>41119119168</v>
      </c>
      <c r="K556" s="10">
        <v>46049004967</v>
      </c>
      <c r="L556" s="10"/>
      <c r="M556" s="10">
        <v>189386467213</v>
      </c>
      <c r="N556" s="10">
        <v>21235396846</v>
      </c>
      <c r="O556" s="10">
        <v>131054189055</v>
      </c>
      <c r="P556" s="10">
        <v>3.355023860438513</v>
      </c>
      <c r="Q556" s="10">
        <v>0</v>
      </c>
      <c r="R556" s="10" t="s">
        <v>238</v>
      </c>
      <c r="S556" s="10">
        <v>0.15180525497425609</v>
      </c>
      <c r="T556" s="10">
        <v>0.13555338218683169</v>
      </c>
      <c r="U556" s="10">
        <v>0.13583554076640081</v>
      </c>
      <c r="V556" s="10">
        <v>0.9566309789791505</v>
      </c>
    </row>
    <row r="557" spans="1:22" x14ac:dyDescent="0.3">
      <c r="A557" s="10" t="s">
        <v>187</v>
      </c>
      <c r="B557" s="10">
        <v>2025</v>
      </c>
      <c r="C557" s="10">
        <v>346330510722</v>
      </c>
      <c r="D557" s="10">
        <v>241688861103</v>
      </c>
      <c r="E557" s="10">
        <v>8002654556862</v>
      </c>
      <c r="F557" s="10">
        <v>5296827380596</v>
      </c>
      <c r="G557" s="10">
        <v>3456869997892</v>
      </c>
      <c r="H557" s="10">
        <v>2869386204368</v>
      </c>
      <c r="I557" s="10">
        <v>4471622674443</v>
      </c>
      <c r="J557" s="10">
        <v>1419583676697</v>
      </c>
      <c r="K557" s="10">
        <v>2427441176228</v>
      </c>
      <c r="L557" s="10"/>
      <c r="M557" s="10">
        <v>2630090706713</v>
      </c>
      <c r="N557" s="10">
        <v>77680039237</v>
      </c>
      <c r="O557" s="10">
        <v>2933635244582</v>
      </c>
      <c r="P557" s="10">
        <v>4.2171750892538649</v>
      </c>
      <c r="Q557" s="10">
        <v>0</v>
      </c>
      <c r="R557" s="10" t="s">
        <v>238</v>
      </c>
      <c r="S557" s="10">
        <v>0.3033294963540008</v>
      </c>
      <c r="T557" s="10">
        <v>0.17738909840607281</v>
      </c>
      <c r="U557" s="10">
        <v>4.3276953698449173E-2</v>
      </c>
      <c r="V557" s="10">
        <v>1.293546670013566</v>
      </c>
    </row>
    <row r="558" spans="1:22" x14ac:dyDescent="0.3">
      <c r="A558" s="10" t="s">
        <v>187</v>
      </c>
      <c r="B558" s="10">
        <v>2024</v>
      </c>
      <c r="C558" s="10">
        <v>443361680936</v>
      </c>
      <c r="D558" s="10">
        <v>240970400494</v>
      </c>
      <c r="E558" s="10">
        <v>7840691438646</v>
      </c>
      <c r="F558" s="10">
        <v>4988913519372</v>
      </c>
      <c r="G558" s="10">
        <v>3363945755599</v>
      </c>
      <c r="H558" s="10">
        <v>2828831407740</v>
      </c>
      <c r="I558" s="10">
        <v>4392177325662</v>
      </c>
      <c r="J558" s="10">
        <v>1325000567640</v>
      </c>
      <c r="K558" s="10">
        <v>2160082111632</v>
      </c>
      <c r="L558" s="10"/>
      <c r="M558" s="10">
        <v>2791657523872</v>
      </c>
      <c r="N558" s="10">
        <v>161110243908</v>
      </c>
      <c r="O558" s="10">
        <v>2864355280894</v>
      </c>
      <c r="P558" s="10">
        <v>4.1091007920990972</v>
      </c>
      <c r="Q558" s="10">
        <v>0</v>
      </c>
      <c r="R558" s="10" t="s">
        <v>238</v>
      </c>
      <c r="S558" s="10">
        <v>0.27549638045761721</v>
      </c>
      <c r="T558" s="10">
        <v>0.16899027056583329</v>
      </c>
      <c r="U558" s="10">
        <v>5.6546247790177501E-2</v>
      </c>
      <c r="V558" s="10">
        <v>1.3056623515262089</v>
      </c>
    </row>
    <row r="559" spans="1:22" x14ac:dyDescent="0.3">
      <c r="A559" s="10" t="s">
        <v>187</v>
      </c>
      <c r="B559" s="10">
        <v>2023</v>
      </c>
      <c r="C559" s="10">
        <v>387061102436</v>
      </c>
      <c r="D559" s="10">
        <v>252053304854</v>
      </c>
      <c r="E559" s="10">
        <v>7662921147367</v>
      </c>
      <c r="F559" s="10">
        <v>4754603272806</v>
      </c>
      <c r="G559" s="10">
        <v>3351060580598</v>
      </c>
      <c r="H559" s="10">
        <v>2554032095944</v>
      </c>
      <c r="I559" s="10">
        <v>4227306921870</v>
      </c>
      <c r="J559" s="10">
        <v>1148023933477</v>
      </c>
      <c r="K559" s="10">
        <v>2200571176862</v>
      </c>
      <c r="L559" s="10"/>
      <c r="M559" s="10">
        <v>2186033911377</v>
      </c>
      <c r="N559" s="10">
        <v>97009870837</v>
      </c>
      <c r="O559" s="10">
        <v>3076543564152</v>
      </c>
      <c r="P559" s="10">
        <v>4.036232955488023</v>
      </c>
      <c r="Q559" s="10">
        <v>0</v>
      </c>
      <c r="R559" s="10" t="s">
        <v>238</v>
      </c>
      <c r="S559" s="10">
        <v>0.28717131946713592</v>
      </c>
      <c r="T559" s="10">
        <v>0.1498154439278635</v>
      </c>
      <c r="U559" s="10">
        <v>5.0510907654190758E-2</v>
      </c>
      <c r="V559" s="10">
        <v>1.261483288707252</v>
      </c>
    </row>
    <row r="560" spans="1:22" x14ac:dyDescent="0.3">
      <c r="A560" s="10" t="s">
        <v>187</v>
      </c>
      <c r="B560" s="10">
        <v>2022</v>
      </c>
      <c r="C560" s="10">
        <v>485106893126</v>
      </c>
      <c r="D560" s="10">
        <v>251276962749</v>
      </c>
      <c r="E560" s="10">
        <v>6956345266753</v>
      </c>
      <c r="F560" s="10">
        <v>4441755337832</v>
      </c>
      <c r="G560" s="10">
        <v>3195737865490</v>
      </c>
      <c r="H560" s="10">
        <v>1826133223912</v>
      </c>
      <c r="I560" s="10">
        <v>3750426758838</v>
      </c>
      <c r="J560" s="10">
        <v>1029733872011</v>
      </c>
      <c r="K560" s="10">
        <v>2615622113920</v>
      </c>
      <c r="L560" s="10"/>
      <c r="M560" s="10">
        <v>4526699532441</v>
      </c>
      <c r="N560" s="10">
        <v>177561573286</v>
      </c>
      <c r="O560" s="10">
        <v>2977580473731</v>
      </c>
      <c r="P560" s="10">
        <v>4.6500406851994303</v>
      </c>
      <c r="Q560" s="10">
        <v>0</v>
      </c>
      <c r="R560" s="10" t="s">
        <v>238</v>
      </c>
      <c r="S560" s="10">
        <v>0.37600521734035341</v>
      </c>
      <c r="T560" s="10">
        <v>0.1480279992616938</v>
      </c>
      <c r="U560" s="10">
        <v>6.9735884940114887E-2</v>
      </c>
      <c r="V560" s="10">
        <v>1.173571461958113</v>
      </c>
    </row>
    <row r="561" spans="1:22" x14ac:dyDescent="0.3">
      <c r="A561" s="10" t="s">
        <v>188</v>
      </c>
      <c r="B561" s="10">
        <v>2025</v>
      </c>
      <c r="C561" s="10">
        <v>39562097182</v>
      </c>
      <c r="D561" s="10">
        <v>19701240597</v>
      </c>
      <c r="E561" s="10">
        <v>6290468416823</v>
      </c>
      <c r="F561" s="10">
        <v>3167862534344</v>
      </c>
      <c r="G561" s="10">
        <v>2604456185536</v>
      </c>
      <c r="H561" s="10">
        <v>2429046692700</v>
      </c>
      <c r="I561" s="10">
        <v>3627761326942</v>
      </c>
      <c r="J561" s="10">
        <v>1395812501272</v>
      </c>
      <c r="K561" s="10">
        <v>738815841644</v>
      </c>
      <c r="L561" s="10"/>
      <c r="M561" s="10">
        <v>3585862255135</v>
      </c>
      <c r="N561" s="10">
        <v>40019501701</v>
      </c>
      <c r="O561" s="10">
        <v>212688009920</v>
      </c>
      <c r="P561" s="10">
        <v>2.9986586260288872</v>
      </c>
      <c r="Q561" s="10">
        <v>0</v>
      </c>
      <c r="R561" s="10" t="s">
        <v>238</v>
      </c>
      <c r="S561" s="10">
        <v>0.117450051838451</v>
      </c>
      <c r="T561" s="10">
        <v>0.22189325321769199</v>
      </c>
      <c r="U561" s="10">
        <v>6.289213228731356E-3</v>
      </c>
      <c r="V561" s="10">
        <v>1.392905492935141</v>
      </c>
    </row>
    <row r="562" spans="1:22" x14ac:dyDescent="0.3">
      <c r="A562" s="10" t="s">
        <v>188</v>
      </c>
      <c r="B562" s="10">
        <v>2024</v>
      </c>
      <c r="C562" s="10">
        <v>124264671940</v>
      </c>
      <c r="D562" s="10">
        <v>36783990555</v>
      </c>
      <c r="E562" s="10">
        <v>7194688328878</v>
      </c>
      <c r="F562" s="10">
        <v>3929811051041</v>
      </c>
      <c r="G562" s="10">
        <v>3507922583476</v>
      </c>
      <c r="H562" s="10">
        <v>3042007165746</v>
      </c>
      <c r="I562" s="10">
        <v>3592597196477</v>
      </c>
      <c r="J562" s="10">
        <v>1360648370807</v>
      </c>
      <c r="K562" s="10">
        <v>887803885295</v>
      </c>
      <c r="L562" s="10"/>
      <c r="M562" s="10">
        <v>4896024340364</v>
      </c>
      <c r="N562" s="10">
        <v>65004281962</v>
      </c>
      <c r="O562" s="10">
        <v>472820084523</v>
      </c>
      <c r="P562" s="10">
        <v>2.6174223435243928</v>
      </c>
      <c r="Q562" s="10">
        <v>0</v>
      </c>
      <c r="R562" s="10" t="s">
        <v>238</v>
      </c>
      <c r="S562" s="10">
        <v>0.1233971292031564</v>
      </c>
      <c r="T562" s="10">
        <v>0.1891184591479296</v>
      </c>
      <c r="U562" s="10">
        <v>1.7271724119198761E-2</v>
      </c>
      <c r="V562" s="10">
        <v>1.024138107665163</v>
      </c>
    </row>
    <row r="563" spans="1:22" x14ac:dyDescent="0.3">
      <c r="A563" s="10" t="s">
        <v>188</v>
      </c>
      <c r="B563" s="10">
        <v>2023</v>
      </c>
      <c r="C563" s="10">
        <v>105797296728</v>
      </c>
      <c r="D563" s="10">
        <v>62964280517</v>
      </c>
      <c r="E563" s="10">
        <v>7631670664176</v>
      </c>
      <c r="F563" s="10">
        <v>4384893375262</v>
      </c>
      <c r="G563" s="10">
        <v>4005560677656</v>
      </c>
      <c r="H563" s="10">
        <v>3727677856740</v>
      </c>
      <c r="I563" s="10">
        <v>3531121411666</v>
      </c>
      <c r="J563" s="10">
        <v>1299172585996</v>
      </c>
      <c r="K563" s="10">
        <v>657215518522</v>
      </c>
      <c r="L563" s="10"/>
      <c r="M563" s="10">
        <v>4203170642940</v>
      </c>
      <c r="N563" s="10">
        <v>34126442456</v>
      </c>
      <c r="O563" s="10">
        <v>384098570040</v>
      </c>
      <c r="P563" s="10">
        <v>2.1386820821643688</v>
      </c>
      <c r="Q563" s="10">
        <v>0</v>
      </c>
      <c r="R563" s="10" t="s">
        <v>239</v>
      </c>
      <c r="S563" s="10">
        <v>8.6116860572489115E-2</v>
      </c>
      <c r="T563" s="10">
        <v>0.17023436193263369</v>
      </c>
      <c r="U563" s="10">
        <v>1.386292744845837E-2</v>
      </c>
      <c r="V563" s="10">
        <v>0.88155484233791825</v>
      </c>
    </row>
    <row r="564" spans="1:22" x14ac:dyDescent="0.3">
      <c r="A564" s="10" t="s">
        <v>188</v>
      </c>
      <c r="B564" s="10">
        <v>2022</v>
      </c>
      <c r="C564" s="10">
        <v>335105046843</v>
      </c>
      <c r="D564" s="10">
        <v>85598954647</v>
      </c>
      <c r="E564" s="10">
        <v>9447528704261</v>
      </c>
      <c r="F564" s="10">
        <v>6149560721473</v>
      </c>
      <c r="G564" s="10">
        <v>5809708177850</v>
      </c>
      <c r="H564" s="10">
        <v>5472902652071</v>
      </c>
      <c r="I564" s="10">
        <v>3528497152040</v>
      </c>
      <c r="J564" s="10">
        <v>1296548326370</v>
      </c>
      <c r="K564" s="10">
        <v>676658069402</v>
      </c>
      <c r="L564" s="10"/>
      <c r="M564" s="10">
        <v>6003788032167</v>
      </c>
      <c r="N564" s="10">
        <v>162916060757</v>
      </c>
      <c r="O564" s="10">
        <v>1431898574766</v>
      </c>
      <c r="P564" s="10">
        <v>1.793308663752635</v>
      </c>
      <c r="Q564" s="10">
        <v>0</v>
      </c>
      <c r="R564" s="10" t="s">
        <v>239</v>
      </c>
      <c r="S564" s="10">
        <v>7.162275877466405E-2</v>
      </c>
      <c r="T564" s="10">
        <v>0.13723677026620029</v>
      </c>
      <c r="U564" s="10">
        <v>3.5470127409283417E-2</v>
      </c>
      <c r="V564" s="10">
        <v>0.60734498945965854</v>
      </c>
    </row>
    <row r="565" spans="1:22" x14ac:dyDescent="0.3">
      <c r="A565" s="10" t="s">
        <v>189</v>
      </c>
      <c r="B565" s="10">
        <v>2025</v>
      </c>
      <c r="C565" s="10">
        <v>7956444766</v>
      </c>
      <c r="D565" s="10">
        <v>2352146808</v>
      </c>
      <c r="E565" s="10">
        <v>263022631306</v>
      </c>
      <c r="F565" s="10">
        <v>158545055611</v>
      </c>
      <c r="G565" s="10">
        <v>133068799606</v>
      </c>
      <c r="H565" s="10">
        <v>78822140208</v>
      </c>
      <c r="I565" s="10">
        <v>129953831700</v>
      </c>
      <c r="J565" s="10">
        <v>18489927983</v>
      </c>
      <c r="K565" s="10">
        <v>79722915403</v>
      </c>
      <c r="L565" s="10"/>
      <c r="M565" s="10">
        <v>362403523127</v>
      </c>
      <c r="N565" s="10">
        <v>5501207273</v>
      </c>
      <c r="O565" s="10">
        <v>59678317492</v>
      </c>
      <c r="P565" s="10">
        <v>3.4462269960865402</v>
      </c>
      <c r="Q565" s="10">
        <v>0</v>
      </c>
      <c r="R565" s="10" t="s">
        <v>238</v>
      </c>
      <c r="S565" s="10">
        <v>0.30310287372287192</v>
      </c>
      <c r="T565" s="10">
        <v>7.0297859508100108E-2</v>
      </c>
      <c r="U565" s="10">
        <v>3.0250038662047628E-2</v>
      </c>
      <c r="V565" s="10">
        <v>0.97659129777060416</v>
      </c>
    </row>
    <row r="566" spans="1:22" x14ac:dyDescent="0.3">
      <c r="A566" s="10" t="s">
        <v>189</v>
      </c>
      <c r="B566" s="10">
        <v>2024</v>
      </c>
      <c r="C566" s="10">
        <v>-2551521137</v>
      </c>
      <c r="D566" s="10">
        <v>2275657108</v>
      </c>
      <c r="E566" s="10">
        <v>296772506421</v>
      </c>
      <c r="F566" s="10">
        <v>184934923959</v>
      </c>
      <c r="G566" s="10">
        <v>172624178369</v>
      </c>
      <c r="H566" s="10">
        <v>118470107579</v>
      </c>
      <c r="I566" s="10">
        <v>124148328052</v>
      </c>
      <c r="J566" s="10">
        <v>12988720710</v>
      </c>
      <c r="K566" s="10">
        <v>66464816380</v>
      </c>
      <c r="L566" s="10"/>
      <c r="M566" s="10">
        <v>343990085234</v>
      </c>
      <c r="N566" s="10">
        <v>-4332191474</v>
      </c>
      <c r="O566" s="10">
        <v>91198143484</v>
      </c>
      <c r="P566" s="10">
        <v>2.3092150818028392</v>
      </c>
      <c r="Q566" s="10">
        <v>0</v>
      </c>
      <c r="R566" s="10" t="s">
        <v>239</v>
      </c>
      <c r="S566" s="10">
        <v>0.22395880663457871</v>
      </c>
      <c r="T566" s="10">
        <v>4.3766590330892259E-2</v>
      </c>
      <c r="U566" s="10">
        <v>-8.5975657508530288E-3</v>
      </c>
      <c r="V566" s="10">
        <v>0.71918273109240571</v>
      </c>
    </row>
    <row r="567" spans="1:22" x14ac:dyDescent="0.3">
      <c r="A567" s="10" t="s">
        <v>189</v>
      </c>
      <c r="B567" s="10">
        <v>2023</v>
      </c>
      <c r="C567" s="10">
        <v>12941203453</v>
      </c>
      <c r="D567" s="10">
        <v>5074300226</v>
      </c>
      <c r="E567" s="10">
        <v>275628887613</v>
      </c>
      <c r="F567" s="10">
        <v>160866274648</v>
      </c>
      <c r="G567" s="10">
        <v>147217494838</v>
      </c>
      <c r="H567" s="10">
        <v>93418119151</v>
      </c>
      <c r="I567" s="10">
        <v>128411392775</v>
      </c>
      <c r="J567" s="10">
        <v>17320912184</v>
      </c>
      <c r="K567" s="10">
        <v>67448155497</v>
      </c>
      <c r="L567" s="10"/>
      <c r="M567" s="10">
        <v>346497653568</v>
      </c>
      <c r="N567" s="10">
        <v>8226972253</v>
      </c>
      <c r="O567" s="10">
        <v>70221054563</v>
      </c>
      <c r="P567" s="10">
        <v>3.0415206631287681</v>
      </c>
      <c r="Q567" s="10">
        <v>0</v>
      </c>
      <c r="R567" s="10" t="s">
        <v>238</v>
      </c>
      <c r="S567" s="10">
        <v>0.24470640969861401</v>
      </c>
      <c r="T567" s="10">
        <v>6.2841425418077482E-2</v>
      </c>
      <c r="U567" s="10">
        <v>4.6951549835989072E-2</v>
      </c>
      <c r="V567" s="10">
        <v>0.87225633690007787</v>
      </c>
    </row>
    <row r="568" spans="1:22" x14ac:dyDescent="0.3">
      <c r="A568" s="10" t="s">
        <v>189</v>
      </c>
      <c r="B568" s="10">
        <v>2022</v>
      </c>
      <c r="C568" s="10">
        <v>4741152239</v>
      </c>
      <c r="D568" s="10">
        <v>6666484035</v>
      </c>
      <c r="E568" s="10">
        <v>290500335235</v>
      </c>
      <c r="F568" s="10">
        <v>168799771471</v>
      </c>
      <c r="G568" s="10">
        <v>169857852787</v>
      </c>
      <c r="H568" s="10">
        <v>117202751263</v>
      </c>
      <c r="I568" s="10">
        <v>120642482448</v>
      </c>
      <c r="J568" s="10">
        <v>11788451911</v>
      </c>
      <c r="K568" s="10">
        <v>51597020208</v>
      </c>
      <c r="L568" s="10"/>
      <c r="M568" s="10">
        <v>377086228468</v>
      </c>
      <c r="N568" s="10">
        <v>-1411679112</v>
      </c>
      <c r="O568" s="10">
        <v>93450202864</v>
      </c>
      <c r="P568" s="10">
        <v>2.152883221675685</v>
      </c>
      <c r="Q568" s="10">
        <v>0</v>
      </c>
      <c r="R568" s="10" t="s">
        <v>239</v>
      </c>
      <c r="S568" s="10">
        <v>0.17761432242844269</v>
      </c>
      <c r="T568" s="10">
        <v>4.0579822055846308E-2</v>
      </c>
      <c r="U568" s="10">
        <v>1.6320642918241899E-2</v>
      </c>
      <c r="V568" s="10">
        <v>0.71025554879281583</v>
      </c>
    </row>
    <row r="569" spans="1:22" x14ac:dyDescent="0.3">
      <c r="A569" s="10" t="s">
        <v>190</v>
      </c>
      <c r="B569" s="10">
        <v>2025</v>
      </c>
      <c r="C569" s="10">
        <v>807775162995</v>
      </c>
      <c r="D569" s="10">
        <v>23932699555</v>
      </c>
      <c r="E569" s="10">
        <v>2896727114008</v>
      </c>
      <c r="F569" s="10">
        <v>1647368448864</v>
      </c>
      <c r="G569" s="10">
        <v>1337280604680</v>
      </c>
      <c r="H569" s="10">
        <v>518501155366</v>
      </c>
      <c r="I569" s="10">
        <v>1559282196919</v>
      </c>
      <c r="J569" s="10">
        <v>428489922866</v>
      </c>
      <c r="K569" s="10">
        <v>1128867293498</v>
      </c>
      <c r="L569" s="10"/>
      <c r="M569" s="10">
        <v>2935842711060</v>
      </c>
      <c r="N569" s="10">
        <v>613139706181</v>
      </c>
      <c r="O569" s="10">
        <v>774505603164</v>
      </c>
      <c r="P569" s="10">
        <v>6.1369219777797159</v>
      </c>
      <c r="Q569" s="10">
        <v>0</v>
      </c>
      <c r="R569" s="10" t="s">
        <v>238</v>
      </c>
      <c r="S569" s="10">
        <v>0.38970439708974342</v>
      </c>
      <c r="T569" s="10">
        <v>0.14792208792947989</v>
      </c>
      <c r="U569" s="10">
        <v>0.27885787345613572</v>
      </c>
      <c r="V569" s="10">
        <v>1.1660097300911081</v>
      </c>
    </row>
    <row r="570" spans="1:22" x14ac:dyDescent="0.3">
      <c r="A570" s="10" t="s">
        <v>190</v>
      </c>
      <c r="B570" s="10">
        <v>2024</v>
      </c>
      <c r="C570" s="10">
        <v>800491919756</v>
      </c>
      <c r="D570" s="10">
        <v>3258652748</v>
      </c>
      <c r="E570" s="10">
        <v>2673350670065</v>
      </c>
      <c r="F570" s="10">
        <v>1344942484426</v>
      </c>
      <c r="G570" s="10">
        <v>428424166864</v>
      </c>
      <c r="H570" s="10">
        <v>383175991693</v>
      </c>
      <c r="I570" s="10">
        <v>2244758625917</v>
      </c>
      <c r="J570" s="10">
        <v>1710640735917</v>
      </c>
      <c r="K570" s="10">
        <v>961766492733</v>
      </c>
      <c r="L570" s="10"/>
      <c r="M570" s="10">
        <v>3042762005598</v>
      </c>
      <c r="N570" s="10">
        <v>629100029284</v>
      </c>
      <c r="O570" s="10">
        <v>430582768</v>
      </c>
      <c r="P570" s="10">
        <v>11.959804907302519</v>
      </c>
      <c r="Q570" s="10">
        <v>0</v>
      </c>
      <c r="R570" s="10" t="s">
        <v>238</v>
      </c>
      <c r="S570" s="10">
        <v>0.35976069413655171</v>
      </c>
      <c r="T570" s="10">
        <v>0.63988639989209029</v>
      </c>
      <c r="U570" s="10">
        <v>0.29943393836040849</v>
      </c>
      <c r="V570" s="10">
        <v>5.2395704993681687</v>
      </c>
    </row>
    <row r="571" spans="1:22" x14ac:dyDescent="0.3">
      <c r="A571" s="10" t="s">
        <v>190</v>
      </c>
      <c r="B571" s="10">
        <v>2023</v>
      </c>
      <c r="C571" s="10">
        <v>719615607679</v>
      </c>
      <c r="D571" s="10">
        <v>6282700666</v>
      </c>
      <c r="E571" s="10">
        <v>2637079964329</v>
      </c>
      <c r="F571" s="10">
        <v>1373911396450</v>
      </c>
      <c r="G571" s="10">
        <v>534514160655</v>
      </c>
      <c r="H571" s="10">
        <v>461971371977</v>
      </c>
      <c r="I571" s="10">
        <v>2102413348946</v>
      </c>
      <c r="J571" s="10">
        <v>1648375748946</v>
      </c>
      <c r="K571" s="10">
        <v>911940024473</v>
      </c>
      <c r="L571" s="10"/>
      <c r="M571" s="10">
        <v>3134978416726</v>
      </c>
      <c r="N571" s="10">
        <v>559740335234</v>
      </c>
      <c r="O571" s="10">
        <v>77308639852</v>
      </c>
      <c r="P571" s="10">
        <v>10.27004956155006</v>
      </c>
      <c r="Q571" s="10">
        <v>0</v>
      </c>
      <c r="R571" s="10" t="s">
        <v>238</v>
      </c>
      <c r="S571" s="10">
        <v>0.34581432372493159</v>
      </c>
      <c r="T571" s="10">
        <v>0.62507613392202388</v>
      </c>
      <c r="U571" s="10">
        <v>0.27288349895074382</v>
      </c>
      <c r="V571" s="10">
        <v>3.9333164651235388</v>
      </c>
    </row>
    <row r="572" spans="1:22" x14ac:dyDescent="0.3">
      <c r="A572" s="10" t="s">
        <v>190</v>
      </c>
      <c r="B572" s="10">
        <v>2022</v>
      </c>
      <c r="C572" s="10">
        <v>529701509608</v>
      </c>
      <c r="D572" s="10">
        <v>8599443490</v>
      </c>
      <c r="E572" s="10">
        <v>2063139643989</v>
      </c>
      <c r="F572" s="10">
        <v>999339377082</v>
      </c>
      <c r="G572" s="10">
        <v>798939214220</v>
      </c>
      <c r="H572" s="10">
        <v>672291259440</v>
      </c>
      <c r="I572" s="10">
        <v>1264064589812</v>
      </c>
      <c r="J572" s="10">
        <v>1213229689812</v>
      </c>
      <c r="K572" s="10">
        <v>327048117642</v>
      </c>
      <c r="L572" s="10"/>
      <c r="M572" s="10">
        <v>2873062753230</v>
      </c>
      <c r="N572" s="10">
        <v>404319339430</v>
      </c>
      <c r="O572" s="10">
        <v>114612394439</v>
      </c>
      <c r="P572" s="10">
        <v>6.343548753737255</v>
      </c>
      <c r="Q572" s="10">
        <v>0</v>
      </c>
      <c r="R572" s="10" t="s">
        <v>238</v>
      </c>
      <c r="S572" s="10">
        <v>0.15851962255432461</v>
      </c>
      <c r="T572" s="10">
        <v>0.58805020462224633</v>
      </c>
      <c r="U572" s="10">
        <v>0.25674534981250358</v>
      </c>
      <c r="V572" s="10">
        <v>1.5821786780688929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55AAE-A063-4259-9188-36033B7C255A}">
  <dimension ref="A1:V132"/>
  <sheetViews>
    <sheetView topLeftCell="L1" workbookViewId="0">
      <selection activeCell="V132" sqref="S1:V132"/>
    </sheetView>
  </sheetViews>
  <sheetFormatPr defaultRowHeight="14.4" x14ac:dyDescent="0.3"/>
  <sheetData>
    <row r="1" spans="1:22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191</v>
      </c>
      <c r="Q1" s="11" t="s">
        <v>192</v>
      </c>
      <c r="R1" s="11" t="s">
        <v>211</v>
      </c>
      <c r="S1" s="11" t="s">
        <v>194</v>
      </c>
      <c r="T1" s="11" t="s">
        <v>195</v>
      </c>
      <c r="U1" s="11" t="s">
        <v>196</v>
      </c>
      <c r="V1" s="11" t="s">
        <v>210</v>
      </c>
    </row>
    <row r="2" spans="1:22" x14ac:dyDescent="0.3">
      <c r="A2" s="10" t="s">
        <v>17</v>
      </c>
      <c r="B2" s="10">
        <v>2025</v>
      </c>
      <c r="C2" s="10">
        <v>-2700087</v>
      </c>
      <c r="D2" s="10">
        <v>42520</v>
      </c>
      <c r="E2" s="10">
        <v>152564671</v>
      </c>
      <c r="F2" s="10">
        <v>55459154</v>
      </c>
      <c r="G2" s="10">
        <v>39905025</v>
      </c>
      <c r="H2" s="10">
        <v>35319303</v>
      </c>
      <c r="I2" s="10">
        <v>112663483</v>
      </c>
      <c r="J2" s="10">
        <v>-158648662</v>
      </c>
      <c r="K2" s="10">
        <v>20139851</v>
      </c>
      <c r="L2" s="10"/>
      <c r="M2" s="10">
        <v>144667786</v>
      </c>
      <c r="N2" s="10">
        <v>-3146238</v>
      </c>
      <c r="O2" s="10">
        <v>55146</v>
      </c>
      <c r="P2" s="10">
        <v>0.32149858282958288</v>
      </c>
      <c r="Q2" s="10">
        <v>1</v>
      </c>
      <c r="R2" s="10" t="s">
        <v>240</v>
      </c>
      <c r="S2" s="10">
        <v>0.1320086155463869</v>
      </c>
      <c r="T2" s="10">
        <v>-1.039878111754982</v>
      </c>
      <c r="U2" s="10">
        <v>-1.7697983303093811E-2</v>
      </c>
      <c r="V2" s="10">
        <v>2.823290625679348</v>
      </c>
    </row>
    <row r="3" spans="1:22" x14ac:dyDescent="0.3">
      <c r="A3" s="10" t="s">
        <v>17</v>
      </c>
      <c r="B3" s="10">
        <v>2024</v>
      </c>
      <c r="C3" s="10">
        <v>-10824729</v>
      </c>
      <c r="D3" s="10">
        <v>105918</v>
      </c>
      <c r="E3" s="10">
        <v>155447698</v>
      </c>
      <c r="F3" s="10">
        <v>54873539</v>
      </c>
      <c r="G3" s="10">
        <v>39354285</v>
      </c>
      <c r="H3" s="10">
        <v>34696733</v>
      </c>
      <c r="I3" s="10">
        <v>116106301</v>
      </c>
      <c r="J3" s="10">
        <v>-155502424</v>
      </c>
      <c r="K3" s="10">
        <v>20176806</v>
      </c>
      <c r="L3" s="10"/>
      <c r="M3" s="10">
        <v>109676008</v>
      </c>
      <c r="N3" s="10">
        <v>-10191062</v>
      </c>
      <c r="O3" s="10">
        <v>143292</v>
      </c>
      <c r="P3" s="10">
        <v>0.22017243006978759</v>
      </c>
      <c r="Q3" s="10">
        <v>1</v>
      </c>
      <c r="R3" s="10" t="s">
        <v>240</v>
      </c>
      <c r="S3" s="10">
        <v>0.12979803663609091</v>
      </c>
      <c r="T3" s="10">
        <v>-1.0003520541037541</v>
      </c>
      <c r="U3" s="10">
        <v>-6.9635826964771136E-2</v>
      </c>
      <c r="V3" s="10">
        <v>2.9502835841128858</v>
      </c>
    </row>
    <row r="4" spans="1:22" x14ac:dyDescent="0.3">
      <c r="A4" s="10" t="s">
        <v>19</v>
      </c>
      <c r="B4" s="10">
        <v>2025</v>
      </c>
      <c r="C4" s="10">
        <v>129669000000</v>
      </c>
      <c r="D4" s="10">
        <v>20793000000</v>
      </c>
      <c r="E4" s="10">
        <v>2089881000000</v>
      </c>
      <c r="F4" s="10">
        <v>584240000000</v>
      </c>
      <c r="G4" s="10">
        <v>945865000000</v>
      </c>
      <c r="H4" s="10">
        <v>720645000000</v>
      </c>
      <c r="I4" s="10">
        <v>1145390000000</v>
      </c>
      <c r="J4" s="10">
        <v>-2728564000000</v>
      </c>
      <c r="K4" s="10">
        <v>-136405000000</v>
      </c>
      <c r="L4" s="10"/>
      <c r="M4" s="10">
        <v>1957977000000</v>
      </c>
      <c r="N4" s="10">
        <v>89129000000</v>
      </c>
      <c r="O4" s="10">
        <v>237050000000</v>
      </c>
      <c r="P4" s="10">
        <v>-2.9960047521783402</v>
      </c>
      <c r="Q4" s="10">
        <v>1</v>
      </c>
      <c r="R4" s="10" t="s">
        <v>240</v>
      </c>
      <c r="S4" s="10">
        <v>-6.5269266527615694E-2</v>
      </c>
      <c r="T4" s="10">
        <v>-1.305607352763148</v>
      </c>
      <c r="U4" s="10">
        <v>6.2046116501370173E-2</v>
      </c>
      <c r="V4" s="10">
        <v>1.2109444793918791</v>
      </c>
    </row>
    <row r="5" spans="1:22" x14ac:dyDescent="0.3">
      <c r="A5" s="10" t="s">
        <v>19</v>
      </c>
      <c r="B5" s="10">
        <v>2024</v>
      </c>
      <c r="C5" s="10">
        <v>133754000000</v>
      </c>
      <c r="D5" s="10">
        <v>21986000000</v>
      </c>
      <c r="E5" s="10">
        <v>1964172000000</v>
      </c>
      <c r="F5" s="10">
        <v>620106000000</v>
      </c>
      <c r="G5" s="10">
        <v>918034000000</v>
      </c>
      <c r="H5" s="10">
        <v>584216000000</v>
      </c>
      <c r="I5" s="10">
        <v>1047516000000</v>
      </c>
      <c r="J5" s="10">
        <v>-2844687000000</v>
      </c>
      <c r="K5" s="10">
        <v>35890000000</v>
      </c>
      <c r="L5" s="10"/>
      <c r="M5" s="10">
        <v>1920620000000</v>
      </c>
      <c r="N5" s="10">
        <v>69472000000</v>
      </c>
      <c r="O5" s="10">
        <v>262449000000</v>
      </c>
      <c r="P5" s="10">
        <v>-2.9458469005696228</v>
      </c>
      <c r="Q5" s="10">
        <v>1</v>
      </c>
      <c r="R5" s="10" t="s">
        <v>240</v>
      </c>
      <c r="S5" s="10">
        <v>1.8272330529098268E-2</v>
      </c>
      <c r="T5" s="10">
        <v>-1.448288133625772</v>
      </c>
      <c r="U5" s="10">
        <v>6.8096887645277507E-2</v>
      </c>
      <c r="V5" s="10">
        <v>1.141042706479281</v>
      </c>
    </row>
    <row r="6" spans="1:22" x14ac:dyDescent="0.3">
      <c r="A6" s="10" t="s">
        <v>19</v>
      </c>
      <c r="B6" s="10">
        <v>2023</v>
      </c>
      <c r="C6" s="10">
        <v>78634000000</v>
      </c>
      <c r="D6" s="10">
        <v>27871000000</v>
      </c>
      <c r="E6" s="10">
        <v>1850004000000</v>
      </c>
      <c r="F6" s="10">
        <v>496669000000</v>
      </c>
      <c r="G6" s="10">
        <v>881806000000</v>
      </c>
      <c r="H6" s="10">
        <v>659907000000</v>
      </c>
      <c r="I6" s="10">
        <v>969551000000</v>
      </c>
      <c r="J6" s="10">
        <v>-2960347000000</v>
      </c>
      <c r="K6" s="10">
        <v>-163238000000</v>
      </c>
      <c r="L6" s="10"/>
      <c r="M6" s="10">
        <v>1704013000000</v>
      </c>
      <c r="N6" s="10">
        <v>18777000000</v>
      </c>
      <c r="O6" s="10">
        <v>236345000000</v>
      </c>
      <c r="P6" s="10">
        <v>-4.3553186751375046</v>
      </c>
      <c r="Q6" s="10">
        <v>1</v>
      </c>
      <c r="R6" s="10" t="s">
        <v>240</v>
      </c>
      <c r="S6" s="10">
        <v>-8.8236565974992492E-2</v>
      </c>
      <c r="T6" s="10">
        <v>-1.6001841077100369</v>
      </c>
      <c r="U6" s="10">
        <v>4.2504772962653051E-2</v>
      </c>
      <c r="V6" s="10">
        <v>1.099506013794417</v>
      </c>
    </row>
    <row r="7" spans="1:22" x14ac:dyDescent="0.3">
      <c r="A7" s="10" t="s">
        <v>19</v>
      </c>
      <c r="B7" s="10">
        <v>2022</v>
      </c>
      <c r="C7" s="10">
        <v>-27501000000</v>
      </c>
      <c r="D7" s="10">
        <v>28986000000</v>
      </c>
      <c r="E7" s="10">
        <v>1826350000000</v>
      </c>
      <c r="F7" s="10">
        <v>558960000000</v>
      </c>
      <c r="G7" s="10">
        <v>1048489000000</v>
      </c>
      <c r="H7" s="10">
        <v>827907000000</v>
      </c>
      <c r="I7" s="10">
        <v>779093000000</v>
      </c>
      <c r="J7" s="10">
        <v>-3009932000000</v>
      </c>
      <c r="K7" s="10">
        <v>-268947000000</v>
      </c>
      <c r="L7" s="10"/>
      <c r="M7" s="10">
        <v>1835284000000</v>
      </c>
      <c r="N7" s="10">
        <v>-62366000000</v>
      </c>
      <c r="O7" s="10">
        <v>308562000000</v>
      </c>
      <c r="P7" s="10">
        <v>-5.6596656132535532</v>
      </c>
      <c r="Q7" s="10">
        <v>1</v>
      </c>
      <c r="R7" s="10" t="s">
        <v>240</v>
      </c>
      <c r="S7" s="10">
        <v>-0.1472592876502313</v>
      </c>
      <c r="T7" s="10">
        <v>-1.648058696306842</v>
      </c>
      <c r="U7" s="10">
        <v>-1.505790237358666E-2</v>
      </c>
      <c r="V7" s="10">
        <v>0.74306263585025689</v>
      </c>
    </row>
    <row r="8" spans="1:22" x14ac:dyDescent="0.3">
      <c r="A8" s="10" t="s">
        <v>24</v>
      </c>
      <c r="B8" s="10">
        <v>2025</v>
      </c>
      <c r="C8" s="10">
        <v>-12875036879</v>
      </c>
      <c r="D8" s="10">
        <v>12102052561</v>
      </c>
      <c r="E8" s="10">
        <v>296571404929</v>
      </c>
      <c r="F8" s="10">
        <v>35915151956</v>
      </c>
      <c r="G8" s="10">
        <v>177942579957</v>
      </c>
      <c r="H8" s="10">
        <v>39107613198</v>
      </c>
      <c r="I8" s="10">
        <v>118628824972</v>
      </c>
      <c r="J8" s="10">
        <v>-121564117352</v>
      </c>
      <c r="K8" s="10">
        <v>-3192461242</v>
      </c>
      <c r="L8" s="10"/>
      <c r="M8" s="10">
        <v>246430143605</v>
      </c>
      <c r="N8" s="10">
        <v>-40968136595</v>
      </c>
      <c r="O8" s="10">
        <v>140789074580</v>
      </c>
      <c r="P8" s="10">
        <v>-0.99861638945564557</v>
      </c>
      <c r="Q8" s="10">
        <v>1</v>
      </c>
      <c r="R8" s="10" t="s">
        <v>240</v>
      </c>
      <c r="S8" s="10">
        <v>-1.07645618860803E-2</v>
      </c>
      <c r="T8" s="10">
        <v>-0.409898308911821</v>
      </c>
      <c r="U8" s="10">
        <v>-4.3412940914119208E-2</v>
      </c>
      <c r="V8" s="10">
        <v>0.66666913001186545</v>
      </c>
    </row>
    <row r="9" spans="1:22" x14ac:dyDescent="0.3">
      <c r="A9" s="10" t="s">
        <v>24</v>
      </c>
      <c r="B9" s="10">
        <v>2024</v>
      </c>
      <c r="C9" s="10">
        <v>-10050659680</v>
      </c>
      <c r="D9" s="10">
        <v>12664927763</v>
      </c>
      <c r="E9" s="10">
        <v>350160565915</v>
      </c>
      <c r="F9" s="10">
        <v>38490927187</v>
      </c>
      <c r="G9" s="10">
        <v>190381893443</v>
      </c>
      <c r="H9" s="10">
        <v>50093781413</v>
      </c>
      <c r="I9" s="10">
        <v>159778672472</v>
      </c>
      <c r="J9" s="10">
        <v>-80595980757</v>
      </c>
      <c r="K9" s="10">
        <v>-11602854226</v>
      </c>
      <c r="L9" s="10"/>
      <c r="M9" s="10">
        <v>196741616114</v>
      </c>
      <c r="N9" s="10">
        <v>-23050071071</v>
      </c>
      <c r="O9" s="10">
        <v>149888311058</v>
      </c>
      <c r="P9" s="10">
        <v>-0.2793886720743135</v>
      </c>
      <c r="Q9" s="10">
        <v>1</v>
      </c>
      <c r="R9" s="10" t="s">
        <v>240</v>
      </c>
      <c r="S9" s="10">
        <v>-3.313581069781725E-2</v>
      </c>
      <c r="T9" s="10">
        <v>-0.230168638625528</v>
      </c>
      <c r="U9" s="10">
        <v>-2.8703002731723239E-2</v>
      </c>
      <c r="V9" s="10">
        <v>0.83925351083787514</v>
      </c>
    </row>
    <row r="10" spans="1:22" x14ac:dyDescent="0.3">
      <c r="A10" s="10" t="s">
        <v>24</v>
      </c>
      <c r="B10" s="10">
        <v>2023</v>
      </c>
      <c r="C10" s="10">
        <v>-52735786024</v>
      </c>
      <c r="D10" s="10">
        <v>13503357764</v>
      </c>
      <c r="E10" s="10">
        <v>378135050642</v>
      </c>
      <c r="F10" s="10">
        <v>24214366203</v>
      </c>
      <c r="G10" s="10">
        <v>195395707177</v>
      </c>
      <c r="H10" s="10">
        <v>41923858695</v>
      </c>
      <c r="I10" s="10">
        <v>182739343465</v>
      </c>
      <c r="J10" s="10">
        <v>-57545909686</v>
      </c>
      <c r="K10" s="10">
        <v>-17709492492</v>
      </c>
      <c r="L10" s="10"/>
      <c r="M10" s="10">
        <v>219942382085</v>
      </c>
      <c r="N10" s="10">
        <v>-55959237094</v>
      </c>
      <c r="O10" s="10">
        <v>161852856289</v>
      </c>
      <c r="P10" s="10">
        <v>-0.75854962010376059</v>
      </c>
      <c r="Q10" s="10">
        <v>1</v>
      </c>
      <c r="R10" s="10" t="s">
        <v>240</v>
      </c>
      <c r="S10" s="10">
        <v>-4.6833776614817163E-2</v>
      </c>
      <c r="T10" s="10">
        <v>-0.15218348467908011</v>
      </c>
      <c r="U10" s="10">
        <v>-0.13946283459960901</v>
      </c>
      <c r="V10" s="10">
        <v>0.93522701243106032</v>
      </c>
    </row>
    <row r="11" spans="1:22" x14ac:dyDescent="0.3">
      <c r="A11" s="10" t="s">
        <v>27</v>
      </c>
      <c r="B11" s="10">
        <v>2025</v>
      </c>
      <c r="C11" s="10">
        <v>61793122824</v>
      </c>
      <c r="D11" s="10">
        <v>12304495571</v>
      </c>
      <c r="E11" s="10">
        <v>1126390266281</v>
      </c>
      <c r="F11" s="10">
        <v>207850488124</v>
      </c>
      <c r="G11" s="10">
        <v>933306281473</v>
      </c>
      <c r="H11" s="10">
        <v>422783944325</v>
      </c>
      <c r="I11" s="10">
        <v>193083984808</v>
      </c>
      <c r="J11" s="10">
        <v>-2295798622171</v>
      </c>
      <c r="K11" s="10">
        <v>-214933456201</v>
      </c>
      <c r="L11" s="10"/>
      <c r="M11" s="10">
        <v>112321565520</v>
      </c>
      <c r="N11" s="10">
        <v>71191038752</v>
      </c>
      <c r="O11" s="10">
        <v>640847825252</v>
      </c>
      <c r="P11" s="10">
        <v>-7.3103758430932224</v>
      </c>
      <c r="Q11" s="10">
        <v>1</v>
      </c>
      <c r="R11" s="10" t="s">
        <v>240</v>
      </c>
      <c r="S11" s="10">
        <v>-0.19081615194584839</v>
      </c>
      <c r="T11" s="10">
        <v>-2.0381911056023529</v>
      </c>
      <c r="U11" s="10">
        <v>5.4859425435219891E-2</v>
      </c>
      <c r="V11" s="10">
        <v>0.2068816942957496</v>
      </c>
    </row>
    <row r="12" spans="1:22" x14ac:dyDescent="0.3">
      <c r="A12" s="10" t="s">
        <v>27</v>
      </c>
      <c r="B12" s="10">
        <v>2024</v>
      </c>
      <c r="C12" s="10">
        <v>11531710</v>
      </c>
      <c r="D12" s="10">
        <v>10009344071</v>
      </c>
      <c r="E12" s="10">
        <v>1120332244899</v>
      </c>
      <c r="F12" s="10">
        <v>217373805479</v>
      </c>
      <c r="G12" s="10">
        <v>998450398730</v>
      </c>
      <c r="H12" s="10">
        <v>493621615287</v>
      </c>
      <c r="I12" s="10">
        <v>121881846169</v>
      </c>
      <c r="J12" s="10">
        <v>-2367000760810</v>
      </c>
      <c r="K12" s="10">
        <v>-276247809808</v>
      </c>
      <c r="L12" s="10"/>
      <c r="M12" s="10">
        <v>102996849573</v>
      </c>
      <c r="N12" s="10">
        <v>-8132123747</v>
      </c>
      <c r="O12" s="10">
        <v>608133595388</v>
      </c>
      <c r="P12" s="10">
        <v>-8.3769190541377831</v>
      </c>
      <c r="Q12" s="10">
        <v>1</v>
      </c>
      <c r="R12" s="10" t="s">
        <v>240</v>
      </c>
      <c r="S12" s="10">
        <v>-0.246576683895146</v>
      </c>
      <c r="T12" s="10">
        <v>-2.1127667900189642</v>
      </c>
      <c r="U12" s="10">
        <v>1.0293116218430011E-5</v>
      </c>
      <c r="V12" s="10">
        <v>0.122071007557341</v>
      </c>
    </row>
    <row r="13" spans="1:22" x14ac:dyDescent="0.3">
      <c r="A13" s="10" t="s">
        <v>27</v>
      </c>
      <c r="B13" s="10">
        <v>2023</v>
      </c>
      <c r="C13" s="10">
        <v>-13217138672</v>
      </c>
      <c r="D13" s="10">
        <v>24820372793</v>
      </c>
      <c r="E13" s="10">
        <v>1091535722180</v>
      </c>
      <c r="F13" s="10">
        <v>174182198896</v>
      </c>
      <c r="G13" s="10">
        <v>960975795439</v>
      </c>
      <c r="H13" s="10">
        <v>474170526029</v>
      </c>
      <c r="I13" s="10">
        <v>130559926741</v>
      </c>
      <c r="J13" s="10">
        <v>-2358322680238</v>
      </c>
      <c r="K13" s="10">
        <v>-299988327133</v>
      </c>
      <c r="L13" s="10"/>
      <c r="M13" s="10">
        <v>103137139854</v>
      </c>
      <c r="N13" s="10">
        <v>-35143440478</v>
      </c>
      <c r="O13" s="10">
        <v>581542899891</v>
      </c>
      <c r="P13" s="10">
        <v>-8.7850185769471771</v>
      </c>
      <c r="Q13" s="10">
        <v>1</v>
      </c>
      <c r="R13" s="10" t="s">
        <v>240</v>
      </c>
      <c r="S13" s="10">
        <v>-0.27483143339905308</v>
      </c>
      <c r="T13" s="10">
        <v>-2.1605547416515059</v>
      </c>
      <c r="U13" s="10">
        <v>-1.210875503515626E-2</v>
      </c>
      <c r="V13" s="10">
        <v>0.13586182644835151</v>
      </c>
    </row>
    <row r="14" spans="1:22" x14ac:dyDescent="0.3">
      <c r="A14" s="10" t="s">
        <v>27</v>
      </c>
      <c r="B14" s="10">
        <v>2022</v>
      </c>
      <c r="C14" s="10">
        <v>-68074754562</v>
      </c>
      <c r="D14" s="10">
        <v>31415814709</v>
      </c>
      <c r="E14" s="10">
        <v>1129483925972</v>
      </c>
      <c r="F14" s="10">
        <v>133670970030</v>
      </c>
      <c r="G14" s="10">
        <v>2511842509953</v>
      </c>
      <c r="H14" s="10">
        <v>1794855564629</v>
      </c>
      <c r="I14" s="10">
        <v>-1382358583981</v>
      </c>
      <c r="J14" s="10">
        <v>-2323062819164</v>
      </c>
      <c r="K14" s="10">
        <v>-1661184594599</v>
      </c>
      <c r="L14" s="10"/>
      <c r="M14" s="10">
        <v>92453939139</v>
      </c>
      <c r="N14" s="10">
        <v>-97329335486</v>
      </c>
      <c r="O14" s="10">
        <v>1119113998616</v>
      </c>
      <c r="P14" s="10">
        <v>-17.335965265849691</v>
      </c>
      <c r="Q14" s="10">
        <v>1</v>
      </c>
      <c r="R14" s="10" t="s">
        <v>240</v>
      </c>
      <c r="S14" s="10">
        <v>-1.4707465563703661</v>
      </c>
      <c r="T14" s="10">
        <v>-2.056747126493935</v>
      </c>
      <c r="U14" s="10">
        <v>-6.0270671407224238E-2</v>
      </c>
      <c r="V14" s="10">
        <v>-0.55033648746030095</v>
      </c>
    </row>
    <row r="15" spans="1:22" x14ac:dyDescent="0.3">
      <c r="A15" s="10" t="s">
        <v>31</v>
      </c>
      <c r="B15" s="10">
        <v>2025</v>
      </c>
      <c r="C15" s="10">
        <v>4323750292</v>
      </c>
      <c r="D15" s="10">
        <v>4302846011</v>
      </c>
      <c r="E15" s="10">
        <v>510502215857</v>
      </c>
      <c r="F15" s="10">
        <v>275411996343</v>
      </c>
      <c r="G15" s="10">
        <v>301706688574</v>
      </c>
      <c r="H15" s="10">
        <v>281015959754</v>
      </c>
      <c r="I15" s="10">
        <v>208795527283</v>
      </c>
      <c r="J15" s="10">
        <v>50718326409</v>
      </c>
      <c r="K15" s="10">
        <v>-5603963411</v>
      </c>
      <c r="L15" s="10"/>
      <c r="M15" s="10">
        <v>267063247239</v>
      </c>
      <c r="N15" s="10">
        <v>75417863</v>
      </c>
      <c r="O15" s="10">
        <v>42373250010</v>
      </c>
      <c r="P15" s="10">
        <v>1.035435300736713</v>
      </c>
      <c r="Q15" s="10">
        <v>1</v>
      </c>
      <c r="R15" s="10" t="s">
        <v>240</v>
      </c>
      <c r="S15" s="10">
        <v>-1.097735374486555E-2</v>
      </c>
      <c r="T15" s="10">
        <v>9.9349865355348482E-2</v>
      </c>
      <c r="U15" s="10">
        <v>8.4696014193426199E-3</v>
      </c>
      <c r="V15" s="10">
        <v>0.69204805591105889</v>
      </c>
    </row>
    <row r="16" spans="1:22" x14ac:dyDescent="0.3">
      <c r="A16" s="10" t="s">
        <v>31</v>
      </c>
      <c r="B16" s="10">
        <v>2022</v>
      </c>
      <c r="C16" s="10">
        <v>17066386425</v>
      </c>
      <c r="D16" s="10">
        <v>1442698795</v>
      </c>
      <c r="E16" s="10">
        <v>261840122827</v>
      </c>
      <c r="F16" s="10">
        <v>54948492204</v>
      </c>
      <c r="G16" s="10">
        <v>146865304059</v>
      </c>
      <c r="H16" s="10">
        <v>130711352348</v>
      </c>
      <c r="I16" s="10">
        <v>114974818768</v>
      </c>
      <c r="J16" s="10">
        <v>33280018013</v>
      </c>
      <c r="K16" s="10">
        <v>-75762860144</v>
      </c>
      <c r="L16" s="10"/>
      <c r="M16" s="10">
        <v>395627919197</v>
      </c>
      <c r="N16" s="10">
        <v>12459122288</v>
      </c>
      <c r="O16" s="10">
        <v>16608974093</v>
      </c>
      <c r="P16" s="10">
        <v>-0.2237713099871356</v>
      </c>
      <c r="Q16" s="10">
        <v>1</v>
      </c>
      <c r="R16" s="10" t="s">
        <v>240</v>
      </c>
      <c r="S16" s="10">
        <v>-0.28934778721463239</v>
      </c>
      <c r="T16" s="10">
        <v>0.1271005285732637</v>
      </c>
      <c r="U16" s="10">
        <v>6.5178652685997651E-2</v>
      </c>
      <c r="V16" s="10">
        <v>0.78285895708772246</v>
      </c>
    </row>
    <row r="17" spans="1:22" x14ac:dyDescent="0.3">
      <c r="A17" s="10" t="s">
        <v>33</v>
      </c>
      <c r="B17" s="10">
        <v>2025</v>
      </c>
      <c r="C17" s="10">
        <v>-10992938332</v>
      </c>
      <c r="D17" s="10">
        <v>23790856598</v>
      </c>
      <c r="E17" s="10">
        <v>684668570014</v>
      </c>
      <c r="F17" s="10">
        <v>538826985733</v>
      </c>
      <c r="G17" s="10">
        <v>663390970204</v>
      </c>
      <c r="H17" s="10">
        <v>655062187863</v>
      </c>
      <c r="I17" s="10">
        <v>21277599810</v>
      </c>
      <c r="J17" s="10">
        <v>-216881331857</v>
      </c>
      <c r="K17" s="10">
        <v>-116235202130</v>
      </c>
      <c r="L17" s="10"/>
      <c r="M17" s="10">
        <v>824216596902</v>
      </c>
      <c r="N17" s="10">
        <v>-36416684882</v>
      </c>
      <c r="O17" s="10">
        <v>411857483120</v>
      </c>
      <c r="P17" s="10">
        <v>-2.2205642549591178</v>
      </c>
      <c r="Q17" s="10">
        <v>1</v>
      </c>
      <c r="R17" s="10" t="s">
        <v>240</v>
      </c>
      <c r="S17" s="10">
        <v>-0.16976856718809691</v>
      </c>
      <c r="T17" s="10">
        <v>-0.31676834800897208</v>
      </c>
      <c r="U17" s="10">
        <v>-1.605585361071156E-2</v>
      </c>
      <c r="V17" s="10">
        <v>3.2073996731455223E-2</v>
      </c>
    </row>
    <row r="18" spans="1:22" x14ac:dyDescent="0.3">
      <c r="A18" s="10" t="s">
        <v>33</v>
      </c>
      <c r="B18" s="10">
        <v>2024</v>
      </c>
      <c r="C18" s="10">
        <v>-36842146005</v>
      </c>
      <c r="D18" s="10">
        <v>20408666617</v>
      </c>
      <c r="E18" s="10">
        <v>704587096783</v>
      </c>
      <c r="F18" s="10">
        <v>535857986014</v>
      </c>
      <c r="G18" s="10">
        <v>647423349628</v>
      </c>
      <c r="H18" s="10">
        <v>309268500222</v>
      </c>
      <c r="I18" s="10">
        <v>57163747155</v>
      </c>
      <c r="J18" s="10">
        <v>-180995184512</v>
      </c>
      <c r="K18" s="10">
        <v>226589485792</v>
      </c>
      <c r="L18" s="10"/>
      <c r="M18" s="10">
        <v>788262006240</v>
      </c>
      <c r="N18" s="10">
        <v>-56678118644</v>
      </c>
      <c r="O18" s="10">
        <v>94661947326</v>
      </c>
      <c r="P18" s="10">
        <v>1.0135369104702101</v>
      </c>
      <c r="Q18" s="10">
        <v>1</v>
      </c>
      <c r="R18" s="10" t="s">
        <v>240</v>
      </c>
      <c r="S18" s="10">
        <v>0.32159187533601041</v>
      </c>
      <c r="T18" s="10">
        <v>-0.25688120792785851</v>
      </c>
      <c r="U18" s="10">
        <v>-5.2288987654207232E-2</v>
      </c>
      <c r="V18" s="10">
        <v>8.8294231568641218E-2</v>
      </c>
    </row>
    <row r="19" spans="1:22" x14ac:dyDescent="0.3">
      <c r="A19" s="10" t="s">
        <v>33</v>
      </c>
      <c r="B19" s="10">
        <v>2022</v>
      </c>
      <c r="C19" s="10">
        <v>-119885596952</v>
      </c>
      <c r="D19" s="10">
        <v>11919685708</v>
      </c>
      <c r="E19" s="10">
        <v>731341359270</v>
      </c>
      <c r="F19" s="10">
        <v>537627993840</v>
      </c>
      <c r="G19" s="10">
        <v>621151862369</v>
      </c>
      <c r="H19" s="10">
        <v>290085800398</v>
      </c>
      <c r="I19" s="10">
        <v>110189496901</v>
      </c>
      <c r="J19" s="10">
        <v>-127969434766</v>
      </c>
      <c r="K19" s="10">
        <v>247542193442</v>
      </c>
      <c r="L19" s="10"/>
      <c r="M19" s="10">
        <v>1061799427322</v>
      </c>
      <c r="N19" s="10">
        <v>-103341187716</v>
      </c>
      <c r="O19" s="10">
        <v>422838939596</v>
      </c>
      <c r="P19" s="10">
        <v>0.73466193728338169</v>
      </c>
      <c r="Q19" s="10">
        <v>1</v>
      </c>
      <c r="R19" s="10" t="s">
        <v>240</v>
      </c>
      <c r="S19" s="10">
        <v>0.33847695102200731</v>
      </c>
      <c r="T19" s="10">
        <v>-0.17497907528945819</v>
      </c>
      <c r="U19" s="10">
        <v>-0.16392563531709151</v>
      </c>
      <c r="V19" s="10">
        <v>0.17739542224143101</v>
      </c>
    </row>
    <row r="20" spans="1:22" x14ac:dyDescent="0.3">
      <c r="A20" s="10" t="s">
        <v>34</v>
      </c>
      <c r="B20" s="10">
        <v>2025</v>
      </c>
      <c r="C20" s="10">
        <v>226558041605</v>
      </c>
      <c r="D20" s="10">
        <v>65628121117</v>
      </c>
      <c r="E20" s="10">
        <v>2364602590330</v>
      </c>
      <c r="F20" s="10">
        <v>1313973450334</v>
      </c>
      <c r="G20" s="10">
        <v>1973528364712</v>
      </c>
      <c r="H20" s="10">
        <v>1286287498454</v>
      </c>
      <c r="I20" s="10">
        <v>390116810728</v>
      </c>
      <c r="J20" s="10">
        <v>-259731541808</v>
      </c>
      <c r="K20" s="10">
        <v>27685951880</v>
      </c>
      <c r="L20" s="10"/>
      <c r="M20" s="10">
        <v>6474280326568</v>
      </c>
      <c r="N20" s="10">
        <v>129261911856</v>
      </c>
      <c r="O20" s="10">
        <v>1564108619235</v>
      </c>
      <c r="P20" s="10">
        <v>0.57014168333287674</v>
      </c>
      <c r="Q20" s="10">
        <v>1</v>
      </c>
      <c r="R20" s="10" t="s">
        <v>240</v>
      </c>
      <c r="S20" s="10">
        <v>1.170850103658907E-2</v>
      </c>
      <c r="T20" s="10">
        <v>-0.10984151961524841</v>
      </c>
      <c r="U20" s="10">
        <v>9.5812312196351751E-2</v>
      </c>
      <c r="V20" s="10">
        <v>0.19767479287531309</v>
      </c>
    </row>
    <row r="21" spans="1:22" x14ac:dyDescent="0.3">
      <c r="A21" s="10" t="s">
        <v>34</v>
      </c>
      <c r="B21" s="10">
        <v>2024</v>
      </c>
      <c r="C21" s="10">
        <v>176323793741</v>
      </c>
      <c r="D21" s="10">
        <v>32931524744</v>
      </c>
      <c r="E21" s="10">
        <v>2194978339108</v>
      </c>
      <c r="F21" s="10">
        <v>1340183785723</v>
      </c>
      <c r="G21" s="10">
        <v>1932991565333</v>
      </c>
      <c r="H21" s="10">
        <v>1341212254344</v>
      </c>
      <c r="I21" s="10">
        <v>260867246863</v>
      </c>
      <c r="J21" s="10">
        <v>-388981105673</v>
      </c>
      <c r="K21" s="10">
        <v>-1028468621</v>
      </c>
      <c r="L21" s="10"/>
      <c r="M21" s="10">
        <v>4930799547694</v>
      </c>
      <c r="N21" s="10">
        <v>102995767911</v>
      </c>
      <c r="O21" s="10">
        <v>779853742865</v>
      </c>
      <c r="P21" s="10">
        <v>0.100732494505478</v>
      </c>
      <c r="Q21" s="10">
        <v>1</v>
      </c>
      <c r="R21" s="10" t="s">
        <v>240</v>
      </c>
      <c r="S21" s="10">
        <v>-4.6855524843946811E-4</v>
      </c>
      <c r="T21" s="10">
        <v>-0.17721409762570819</v>
      </c>
      <c r="U21" s="10">
        <v>8.0330539303934467E-2</v>
      </c>
      <c r="V21" s="10">
        <v>0.13495519149772389</v>
      </c>
    </row>
    <row r="22" spans="1:22" x14ac:dyDescent="0.3">
      <c r="A22" s="10" t="s">
        <v>34</v>
      </c>
      <c r="B22" s="10">
        <v>2023</v>
      </c>
      <c r="C22" s="10">
        <v>69254831674</v>
      </c>
      <c r="D22" s="10">
        <v>179075576</v>
      </c>
      <c r="E22" s="10">
        <v>690330534107</v>
      </c>
      <c r="F22" s="10">
        <v>133101244776</v>
      </c>
      <c r="G22" s="10">
        <v>549791851137</v>
      </c>
      <c r="H22" s="10">
        <v>323061683055</v>
      </c>
      <c r="I22" s="10">
        <v>141109986407</v>
      </c>
      <c r="J22" s="10">
        <v>-492177767764</v>
      </c>
      <c r="K22" s="10">
        <v>-189960438279</v>
      </c>
      <c r="L22" s="10"/>
      <c r="M22" s="10">
        <v>611771423767</v>
      </c>
      <c r="N22" s="10">
        <v>57069005210</v>
      </c>
      <c r="O22" s="10">
        <v>892069358</v>
      </c>
      <c r="P22" s="10">
        <v>-3.185731520600882</v>
      </c>
      <c r="Q22" s="10">
        <v>1</v>
      </c>
      <c r="R22" s="10" t="s">
        <v>240</v>
      </c>
      <c r="S22" s="10">
        <v>-0.27517316545287918</v>
      </c>
      <c r="T22" s="10">
        <v>-0.71295958015340133</v>
      </c>
      <c r="U22" s="10">
        <v>0.1003212638762776</v>
      </c>
      <c r="V22" s="10">
        <v>0.25666074554429408</v>
      </c>
    </row>
    <row r="23" spans="1:22" x14ac:dyDescent="0.3">
      <c r="A23" s="10" t="s">
        <v>34</v>
      </c>
      <c r="B23" s="10">
        <v>2022</v>
      </c>
      <c r="C23" s="10">
        <v>-120691824856</v>
      </c>
      <c r="D23" s="10">
        <v>868956260</v>
      </c>
      <c r="E23" s="10">
        <v>615017828200</v>
      </c>
      <c r="F23" s="10">
        <v>39055344194</v>
      </c>
      <c r="G23" s="10">
        <v>881306165566</v>
      </c>
      <c r="H23" s="10">
        <v>299265301028</v>
      </c>
      <c r="I23" s="10">
        <v>-265646189868</v>
      </c>
      <c r="J23" s="10">
        <v>-548933944039</v>
      </c>
      <c r="K23" s="10">
        <v>-260209956834</v>
      </c>
      <c r="L23" s="10"/>
      <c r="M23" s="10">
        <v>39116821863</v>
      </c>
      <c r="N23" s="10">
        <v>-93605399937</v>
      </c>
      <c r="O23" s="10">
        <v>2742328355</v>
      </c>
      <c r="P23" s="10">
        <v>-7.3204394291351704</v>
      </c>
      <c r="Q23" s="10">
        <v>1</v>
      </c>
      <c r="R23" s="10" t="s">
        <v>240</v>
      </c>
      <c r="S23" s="10">
        <v>-0.42309335583907881</v>
      </c>
      <c r="T23" s="10">
        <v>-0.89254964469174713</v>
      </c>
      <c r="U23" s="10">
        <v>-0.19624118086012909</v>
      </c>
      <c r="V23" s="10">
        <v>-0.30142327405300112</v>
      </c>
    </row>
    <row r="24" spans="1:22" x14ac:dyDescent="0.3">
      <c r="A24" s="10" t="s">
        <v>40</v>
      </c>
      <c r="B24" s="10">
        <v>2025</v>
      </c>
      <c r="C24" s="10">
        <v>78466351000</v>
      </c>
      <c r="D24" s="10">
        <v>76574260000</v>
      </c>
      <c r="E24" s="10">
        <v>2248802550000</v>
      </c>
      <c r="F24" s="10">
        <v>390185150000</v>
      </c>
      <c r="G24" s="10">
        <v>1237898337000</v>
      </c>
      <c r="H24" s="10">
        <v>412885889000</v>
      </c>
      <c r="I24" s="10">
        <v>905628889000</v>
      </c>
      <c r="J24" s="10">
        <v>-302791313000</v>
      </c>
      <c r="K24" s="10">
        <v>-22700739000</v>
      </c>
      <c r="L24" s="10"/>
      <c r="M24" s="10">
        <v>1036093809000</v>
      </c>
      <c r="N24" s="10">
        <v>12566859000</v>
      </c>
      <c r="O24" s="10">
        <v>913787162000</v>
      </c>
      <c r="P24" s="10">
        <v>0.49747766751397232</v>
      </c>
      <c r="Q24" s="10">
        <v>1</v>
      </c>
      <c r="R24" s="10" t="s">
        <v>240</v>
      </c>
      <c r="S24" s="10">
        <v>-1.0094589673957811E-2</v>
      </c>
      <c r="T24" s="10">
        <v>-0.13464557526404439</v>
      </c>
      <c r="U24" s="10">
        <v>3.4892503568176761E-2</v>
      </c>
      <c r="V24" s="10">
        <v>0.73158583538835464</v>
      </c>
    </row>
    <row r="25" spans="1:22" x14ac:dyDescent="0.3">
      <c r="A25" s="10" t="s">
        <v>40</v>
      </c>
      <c r="B25" s="10">
        <v>2024</v>
      </c>
      <c r="C25" s="10">
        <v>9329476000</v>
      </c>
      <c r="D25" s="10">
        <v>68572071000</v>
      </c>
      <c r="E25" s="10">
        <v>2186369531000</v>
      </c>
      <c r="F25" s="10">
        <v>409337544000</v>
      </c>
      <c r="G25" s="10">
        <v>1199691446000</v>
      </c>
      <c r="H25" s="10">
        <v>347862455000</v>
      </c>
      <c r="I25" s="10">
        <v>883644782000</v>
      </c>
      <c r="J25" s="10">
        <v>-433683925000</v>
      </c>
      <c r="K25" s="10">
        <v>61475089000</v>
      </c>
      <c r="L25" s="10"/>
      <c r="M25" s="10">
        <v>1029528087000</v>
      </c>
      <c r="N25" s="10">
        <v>-20616390000</v>
      </c>
      <c r="O25" s="10">
        <v>865615041000</v>
      </c>
      <c r="P25" s="10">
        <v>0.33986620837225701</v>
      </c>
      <c r="Q25" s="10">
        <v>1</v>
      </c>
      <c r="R25" s="10" t="s">
        <v>240</v>
      </c>
      <c r="S25" s="10">
        <v>2.811742851716497E-2</v>
      </c>
      <c r="T25" s="10">
        <v>-0.19835801718369259</v>
      </c>
      <c r="U25" s="10">
        <v>4.2671084954851576E-3</v>
      </c>
      <c r="V25" s="10">
        <v>0.73656004212269766</v>
      </c>
    </row>
    <row r="26" spans="1:22" x14ac:dyDescent="0.3">
      <c r="A26" s="10" t="s">
        <v>40</v>
      </c>
      <c r="B26" s="10">
        <v>2023</v>
      </c>
      <c r="C26" s="10">
        <v>-32935699000</v>
      </c>
      <c r="D26" s="10">
        <v>67100179000</v>
      </c>
      <c r="E26" s="10">
        <v>1721496628000</v>
      </c>
      <c r="F26" s="10">
        <v>387211481000</v>
      </c>
      <c r="G26" s="10">
        <v>1078808156000</v>
      </c>
      <c r="H26" s="10">
        <v>367207775000</v>
      </c>
      <c r="I26" s="10">
        <v>587072642000</v>
      </c>
      <c r="J26" s="10">
        <v>-380620275000</v>
      </c>
      <c r="K26" s="10">
        <v>20003706000</v>
      </c>
      <c r="L26" s="10"/>
      <c r="M26" s="10">
        <v>1000204936000</v>
      </c>
      <c r="N26" s="10">
        <v>-83490475000</v>
      </c>
      <c r="O26" s="10">
        <v>790755929000</v>
      </c>
      <c r="P26" s="10">
        <v>-0.20172564584925559</v>
      </c>
      <c r="Q26" s="10">
        <v>1</v>
      </c>
      <c r="R26" s="10" t="s">
        <v>240</v>
      </c>
      <c r="S26" s="10">
        <v>1.161995073045243E-2</v>
      </c>
      <c r="T26" s="10">
        <v>-0.221098472578594</v>
      </c>
      <c r="U26" s="10">
        <v>-1.9132014820304369E-2</v>
      </c>
      <c r="V26" s="10">
        <v>0.54418632148346491</v>
      </c>
    </row>
    <row r="27" spans="1:22" x14ac:dyDescent="0.3">
      <c r="A27" s="10" t="s">
        <v>40</v>
      </c>
      <c r="B27" s="10">
        <v>2022</v>
      </c>
      <c r="C27" s="10">
        <v>-87817437000</v>
      </c>
      <c r="D27" s="10">
        <v>72937420000</v>
      </c>
      <c r="E27" s="10">
        <v>1869959662000</v>
      </c>
      <c r="F27" s="10">
        <v>395074953000</v>
      </c>
      <c r="G27" s="10">
        <v>1151060192000</v>
      </c>
      <c r="H27" s="10">
        <v>516955676000</v>
      </c>
      <c r="I27" s="10">
        <v>665911513000</v>
      </c>
      <c r="J27" s="10">
        <v>-351070391000</v>
      </c>
      <c r="K27" s="10">
        <v>-121880723000</v>
      </c>
      <c r="L27" s="10"/>
      <c r="M27" s="10">
        <v>1053041832000</v>
      </c>
      <c r="N27" s="10">
        <v>-134513060000</v>
      </c>
      <c r="O27" s="10">
        <v>798787564000</v>
      </c>
      <c r="P27" s="10">
        <v>-0.74774895658608365</v>
      </c>
      <c r="Q27" s="10">
        <v>1</v>
      </c>
      <c r="R27" s="10" t="s">
        <v>240</v>
      </c>
      <c r="S27" s="10">
        <v>-6.517826318758313E-2</v>
      </c>
      <c r="T27" s="10">
        <v>-0.18774222681601349</v>
      </c>
      <c r="U27" s="10">
        <v>-4.6962209284277058E-2</v>
      </c>
      <c r="V27" s="10">
        <v>0.57852014831905507</v>
      </c>
    </row>
    <row r="28" spans="1:22" x14ac:dyDescent="0.3">
      <c r="A28" s="10" t="s">
        <v>42</v>
      </c>
      <c r="B28" s="10">
        <v>2025</v>
      </c>
      <c r="C28" s="10">
        <v>-504362055149</v>
      </c>
      <c r="D28" s="10">
        <v>4115687674</v>
      </c>
      <c r="E28" s="10">
        <v>3509836103119</v>
      </c>
      <c r="F28" s="10">
        <v>48117560456</v>
      </c>
      <c r="G28" s="10">
        <v>3226158254931</v>
      </c>
      <c r="H28" s="10">
        <v>7750236355</v>
      </c>
      <c r="I28" s="10">
        <v>283677848188</v>
      </c>
      <c r="J28" s="10">
        <v>-1968359605561</v>
      </c>
      <c r="K28" s="10">
        <v>40367324101</v>
      </c>
      <c r="L28" s="10"/>
      <c r="M28" s="10">
        <v>72018586764</v>
      </c>
      <c r="N28" s="10">
        <v>-420421249800</v>
      </c>
      <c r="O28" s="10">
        <v>2862309860496</v>
      </c>
      <c r="P28" s="10">
        <v>-2.6261348172795591</v>
      </c>
      <c r="Q28" s="10">
        <v>1</v>
      </c>
      <c r="R28" s="10" t="s">
        <v>240</v>
      </c>
      <c r="S28" s="10">
        <v>1.150119917711478E-2</v>
      </c>
      <c r="T28" s="10">
        <v>-0.56081239913505543</v>
      </c>
      <c r="U28" s="10">
        <v>-0.1436996031526375</v>
      </c>
      <c r="V28" s="10">
        <v>8.7930543318640517E-2</v>
      </c>
    </row>
    <row r="29" spans="1:22" x14ac:dyDescent="0.3">
      <c r="A29" s="10" t="s">
        <v>42</v>
      </c>
      <c r="B29" s="10">
        <v>2024</v>
      </c>
      <c r="C29" s="10">
        <v>-473061853428</v>
      </c>
      <c r="D29" s="10">
        <v>35467723388</v>
      </c>
      <c r="E29" s="10">
        <v>3894062592724</v>
      </c>
      <c r="F29" s="10">
        <v>163880424870</v>
      </c>
      <c r="G29" s="10">
        <v>3431562216702</v>
      </c>
      <c r="H29" s="10">
        <v>69967087494</v>
      </c>
      <c r="I29" s="10">
        <v>462500376022</v>
      </c>
      <c r="J29" s="10">
        <v>-1580886296291</v>
      </c>
      <c r="K29" s="10">
        <v>93913337376</v>
      </c>
      <c r="L29" s="10"/>
      <c r="M29" s="10">
        <v>635627019063</v>
      </c>
      <c r="N29" s="10">
        <v>-719271050228</v>
      </c>
      <c r="O29" s="10">
        <v>2757087281288</v>
      </c>
      <c r="P29" s="10">
        <v>-1.840113280462333</v>
      </c>
      <c r="Q29" s="10">
        <v>1</v>
      </c>
      <c r="R29" s="10" t="s">
        <v>240</v>
      </c>
      <c r="S29" s="10">
        <v>2.4117059019923229E-2</v>
      </c>
      <c r="T29" s="10">
        <v>-0.40597351959489902</v>
      </c>
      <c r="U29" s="10">
        <v>-0.1214828581111945</v>
      </c>
      <c r="V29" s="10">
        <v>0.1347783740510172</v>
      </c>
    </row>
    <row r="30" spans="1:22" x14ac:dyDescent="0.3">
      <c r="A30" s="10" t="s">
        <v>42</v>
      </c>
      <c r="B30" s="10">
        <v>2023</v>
      </c>
      <c r="C30" s="10">
        <v>-22136429584</v>
      </c>
      <c r="D30" s="10">
        <v>91609229629</v>
      </c>
      <c r="E30" s="10">
        <v>4055750906771</v>
      </c>
      <c r="F30" s="10">
        <v>66421261314</v>
      </c>
      <c r="G30" s="10">
        <v>2948906288696</v>
      </c>
      <c r="H30" s="10">
        <v>23236357248</v>
      </c>
      <c r="I30" s="10">
        <v>1106844618075</v>
      </c>
      <c r="J30" s="10">
        <v>-882588075902</v>
      </c>
      <c r="K30" s="10">
        <v>43184904066</v>
      </c>
      <c r="L30" s="10"/>
      <c r="M30" s="10">
        <v>196668165620</v>
      </c>
      <c r="N30" s="10">
        <v>-114047785478</v>
      </c>
      <c r="O30" s="10">
        <v>2599789958872</v>
      </c>
      <c r="P30" s="10">
        <v>-0.28214209622125269</v>
      </c>
      <c r="Q30" s="10">
        <v>1</v>
      </c>
      <c r="R30" s="10" t="s">
        <v>240</v>
      </c>
      <c r="S30" s="10">
        <v>1.064781961680724E-2</v>
      </c>
      <c r="T30" s="10">
        <v>-0.21761397486924941</v>
      </c>
      <c r="U30" s="10">
        <v>-5.4580347986962529E-3</v>
      </c>
      <c r="V30" s="10">
        <v>0.37534072286998449</v>
      </c>
    </row>
    <row r="31" spans="1:22" x14ac:dyDescent="0.3">
      <c r="A31" s="10" t="s">
        <v>42</v>
      </c>
      <c r="B31" s="10">
        <v>2022</v>
      </c>
      <c r="C31" s="10">
        <v>-44029639643</v>
      </c>
      <c r="D31" s="10">
        <v>89339048080</v>
      </c>
      <c r="E31" s="10">
        <v>4142039803860</v>
      </c>
      <c r="F31" s="10">
        <v>66226572957</v>
      </c>
      <c r="G31" s="10">
        <v>2939127518441</v>
      </c>
      <c r="H31" s="10">
        <v>218111044961</v>
      </c>
      <c r="I31" s="10">
        <v>1202912285419</v>
      </c>
      <c r="J31" s="10">
        <v>-770838349389</v>
      </c>
      <c r="K31" s="10">
        <v>-151884472004</v>
      </c>
      <c r="L31" s="10"/>
      <c r="M31" s="10">
        <v>153501795074</v>
      </c>
      <c r="N31" s="10">
        <v>-133469253051</v>
      </c>
      <c r="O31" s="10">
        <v>2478574652960</v>
      </c>
      <c r="P31" s="10">
        <v>-0.48893253905399642</v>
      </c>
      <c r="Q31" s="10">
        <v>1</v>
      </c>
      <c r="R31" s="10" t="s">
        <v>240</v>
      </c>
      <c r="S31" s="10">
        <v>-3.6669003485301527E-2</v>
      </c>
      <c r="T31" s="10">
        <v>-0.18610114482015591</v>
      </c>
      <c r="U31" s="10">
        <v>-1.0629941219292109E-2</v>
      </c>
      <c r="V31" s="10">
        <v>0.40927529611136437</v>
      </c>
    </row>
    <row r="32" spans="1:22" x14ac:dyDescent="0.3">
      <c r="A32" s="10" t="s">
        <v>44</v>
      </c>
      <c r="B32" s="10">
        <v>2025</v>
      </c>
      <c r="C32" s="10">
        <v>1201124000000</v>
      </c>
      <c r="D32" s="10">
        <v>425283000000</v>
      </c>
      <c r="E32" s="10">
        <v>10176150000000</v>
      </c>
      <c r="F32" s="10">
        <v>1737162000000</v>
      </c>
      <c r="G32" s="10">
        <v>7349037000000</v>
      </c>
      <c r="H32" s="10">
        <v>2595297000000</v>
      </c>
      <c r="I32" s="10">
        <v>2788569000000</v>
      </c>
      <c r="J32" s="10">
        <v>-3707953000000</v>
      </c>
      <c r="K32" s="10">
        <v>-858135000000</v>
      </c>
      <c r="L32" s="10"/>
      <c r="M32" s="10">
        <v>5761296000000</v>
      </c>
      <c r="N32" s="10">
        <v>361720000000</v>
      </c>
      <c r="O32" s="10">
        <v>4529253000000</v>
      </c>
      <c r="P32" s="10">
        <v>-0.54945785461812924</v>
      </c>
      <c r="Q32" s="10">
        <v>1</v>
      </c>
      <c r="R32" s="10" t="s">
        <v>240</v>
      </c>
      <c r="S32" s="10">
        <v>-8.432806120192804E-2</v>
      </c>
      <c r="T32" s="10">
        <v>-0.36437680262181671</v>
      </c>
      <c r="U32" s="10">
        <v>0.11803324439989581</v>
      </c>
      <c r="V32" s="10">
        <v>0.37944685813937262</v>
      </c>
    </row>
    <row r="33" spans="1:22" x14ac:dyDescent="0.3">
      <c r="A33" s="10" t="s">
        <v>44</v>
      </c>
      <c r="B33" s="10">
        <v>2024</v>
      </c>
      <c r="C33" s="10">
        <v>945301000000</v>
      </c>
      <c r="D33" s="10">
        <v>479195000000</v>
      </c>
      <c r="E33" s="10">
        <v>9794380000000</v>
      </c>
      <c r="F33" s="10">
        <v>1420678000000</v>
      </c>
      <c r="G33" s="10">
        <v>7342291000000</v>
      </c>
      <c r="H33" s="10">
        <v>2328677000000</v>
      </c>
      <c r="I33" s="10">
        <v>2430932000000</v>
      </c>
      <c r="J33" s="10">
        <v>-4069673000000</v>
      </c>
      <c r="K33" s="10">
        <v>-907999000000</v>
      </c>
      <c r="L33" s="10"/>
      <c r="M33" s="10">
        <v>4302676000000</v>
      </c>
      <c r="N33" s="10">
        <v>260210000000</v>
      </c>
      <c r="O33" s="10">
        <v>4432018000000</v>
      </c>
      <c r="P33" s="10">
        <v>-0.9664991922131615</v>
      </c>
      <c r="Q33" s="10">
        <v>1</v>
      </c>
      <c r="R33" s="10" t="s">
        <v>240</v>
      </c>
      <c r="S33" s="10">
        <v>-9.2706123307447735E-2</v>
      </c>
      <c r="T33" s="10">
        <v>-0.4155110379625867</v>
      </c>
      <c r="U33" s="10">
        <v>9.6514633902299071E-2</v>
      </c>
      <c r="V33" s="10">
        <v>0.33108630535074141</v>
      </c>
    </row>
    <row r="34" spans="1:22" x14ac:dyDescent="0.3">
      <c r="A34" s="10" t="s">
        <v>44</v>
      </c>
      <c r="B34" s="10">
        <v>2023</v>
      </c>
      <c r="C34" s="10">
        <v>439985000000</v>
      </c>
      <c r="D34" s="10">
        <v>564138000000</v>
      </c>
      <c r="E34" s="10">
        <v>10183510000000</v>
      </c>
      <c r="F34" s="10">
        <v>1300009000000</v>
      </c>
      <c r="G34" s="10">
        <v>7991960000000</v>
      </c>
      <c r="H34" s="10">
        <v>3513085000000</v>
      </c>
      <c r="I34" s="10">
        <v>2182315000000</v>
      </c>
      <c r="J34" s="10">
        <v>-4329883000000</v>
      </c>
      <c r="K34" s="10">
        <v>-2213076000000</v>
      </c>
      <c r="L34" s="10"/>
      <c r="M34" s="10">
        <v>4204612000000</v>
      </c>
      <c r="N34" s="10">
        <v>177025000000</v>
      </c>
      <c r="O34" s="10">
        <v>5107998000000</v>
      </c>
      <c r="P34" s="10">
        <v>-2.2346629561985618</v>
      </c>
      <c r="Q34" s="10">
        <v>1</v>
      </c>
      <c r="R34" s="10" t="s">
        <v>240</v>
      </c>
      <c r="S34" s="10">
        <v>-0.21731956859668231</v>
      </c>
      <c r="T34" s="10">
        <v>-0.42518571690900292</v>
      </c>
      <c r="U34" s="10">
        <v>4.3205633421089587E-2</v>
      </c>
      <c r="V34" s="10">
        <v>0.27306380412314368</v>
      </c>
    </row>
    <row r="35" spans="1:22" x14ac:dyDescent="0.3">
      <c r="A35" s="10" t="s">
        <v>44</v>
      </c>
      <c r="B35" s="10">
        <v>2022</v>
      </c>
      <c r="C35" s="10">
        <v>466681000000</v>
      </c>
      <c r="D35" s="10">
        <v>581611000000</v>
      </c>
      <c r="E35" s="10">
        <v>12223568000000</v>
      </c>
      <c r="F35" s="10">
        <v>1883769000000</v>
      </c>
      <c r="G35" s="10">
        <v>10173925000000</v>
      </c>
      <c r="H35" s="10">
        <v>3394292000000</v>
      </c>
      <c r="I35" s="10">
        <v>2023353000000</v>
      </c>
      <c r="J35" s="10">
        <v>-4506908000000</v>
      </c>
      <c r="K35" s="10">
        <v>-1510523000000</v>
      </c>
      <c r="L35" s="10"/>
      <c r="M35" s="10">
        <v>4574124000000</v>
      </c>
      <c r="N35" s="10">
        <v>17478000000</v>
      </c>
      <c r="O35" s="10">
        <v>7059131000000</v>
      </c>
      <c r="P35" s="10">
        <v>-1.5472509507909109</v>
      </c>
      <c r="Q35" s="10">
        <v>1</v>
      </c>
      <c r="R35" s="10" t="s">
        <v>240</v>
      </c>
      <c r="S35" s="10">
        <v>-0.12357463876341181</v>
      </c>
      <c r="T35" s="10">
        <v>-0.36870642025307182</v>
      </c>
      <c r="U35" s="10">
        <v>3.8178787077553789E-2</v>
      </c>
      <c r="V35" s="10">
        <v>0.19887634320087871</v>
      </c>
    </row>
    <row r="36" spans="1:22" x14ac:dyDescent="0.3">
      <c r="A36" s="10" t="s">
        <v>51</v>
      </c>
      <c r="B36" s="10">
        <v>2025</v>
      </c>
      <c r="C36" s="10">
        <v>484211000000</v>
      </c>
      <c r="D36" s="10">
        <v>607913000000</v>
      </c>
      <c r="E36" s="10">
        <v>16520365000000</v>
      </c>
      <c r="F36" s="10">
        <v>3239582000000</v>
      </c>
      <c r="G36" s="10">
        <v>13599346000000</v>
      </c>
      <c r="H36" s="10">
        <v>6686404000000</v>
      </c>
      <c r="I36" s="10">
        <v>2597786000000</v>
      </c>
      <c r="J36" s="10">
        <v>-3778679000000</v>
      </c>
      <c r="K36" s="10">
        <v>-3446822000000</v>
      </c>
      <c r="L36" s="10"/>
      <c r="M36" s="10">
        <v>8976099000000</v>
      </c>
      <c r="N36" s="10">
        <v>-150260000000</v>
      </c>
      <c r="O36" s="10">
        <v>8901784000000</v>
      </c>
      <c r="P36" s="10">
        <v>-1.7168017873031021</v>
      </c>
      <c r="Q36" s="10">
        <v>1</v>
      </c>
      <c r="R36" s="10" t="s">
        <v>240</v>
      </c>
      <c r="S36" s="10">
        <v>-0.20864078971620781</v>
      </c>
      <c r="T36" s="10">
        <v>-0.22872854201465889</v>
      </c>
      <c r="U36" s="10">
        <v>2.9309945633767778E-2</v>
      </c>
      <c r="V36" s="10">
        <v>0.191022862422943</v>
      </c>
    </row>
    <row r="37" spans="1:22" x14ac:dyDescent="0.3">
      <c r="A37" s="10" t="s">
        <v>51</v>
      </c>
      <c r="B37" s="10">
        <v>2024</v>
      </c>
      <c r="C37" s="10">
        <v>119091000000</v>
      </c>
      <c r="D37" s="10">
        <v>666660000000</v>
      </c>
      <c r="E37" s="10">
        <v>17104348000000</v>
      </c>
      <c r="F37" s="10">
        <v>3449335000000</v>
      </c>
      <c r="G37" s="10">
        <v>13953221000000</v>
      </c>
      <c r="H37" s="10">
        <v>8792001000000</v>
      </c>
      <c r="I37" s="10">
        <v>2830001000000</v>
      </c>
      <c r="J37" s="10">
        <v>-3626884000000</v>
      </c>
      <c r="K37" s="10">
        <v>-5342666000000</v>
      </c>
      <c r="L37" s="10"/>
      <c r="M37" s="10">
        <v>8857280000000</v>
      </c>
      <c r="N37" s="10">
        <v>-716258000000</v>
      </c>
      <c r="O37" s="10">
        <v>8822646000000</v>
      </c>
      <c r="P37" s="10">
        <v>-2.4805779797026122</v>
      </c>
      <c r="Q37" s="10">
        <v>1</v>
      </c>
      <c r="R37" s="10" t="s">
        <v>240</v>
      </c>
      <c r="S37" s="10">
        <v>-0.31235718543612417</v>
      </c>
      <c r="T37" s="10">
        <v>-0.21204456317189049</v>
      </c>
      <c r="U37" s="10">
        <v>6.9626155875687282E-3</v>
      </c>
      <c r="V37" s="10">
        <v>0.20282062471453721</v>
      </c>
    </row>
    <row r="38" spans="1:22" x14ac:dyDescent="0.3">
      <c r="A38" s="10" t="s">
        <v>51</v>
      </c>
      <c r="B38" s="10">
        <v>2023</v>
      </c>
      <c r="C38" s="10">
        <v>1112016000000</v>
      </c>
      <c r="D38" s="10">
        <v>763423000000</v>
      </c>
      <c r="E38" s="10">
        <v>17955984000000</v>
      </c>
      <c r="F38" s="10">
        <v>3860089000000</v>
      </c>
      <c r="G38" s="10">
        <v>13974223000000</v>
      </c>
      <c r="H38" s="10">
        <v>7958465000000</v>
      </c>
      <c r="I38" s="10">
        <v>3639447000000</v>
      </c>
      <c r="J38" s="10">
        <v>-2915730000000</v>
      </c>
      <c r="K38" s="10">
        <v>-4098376000000</v>
      </c>
      <c r="L38" s="10"/>
      <c r="M38" s="10">
        <v>9612847000000</v>
      </c>
      <c r="N38" s="10">
        <v>154809000000</v>
      </c>
      <c r="O38" s="10">
        <v>9561616000000</v>
      </c>
      <c r="P38" s="10">
        <v>-1.337024974802254</v>
      </c>
      <c r="Q38" s="10">
        <v>1</v>
      </c>
      <c r="R38" s="10" t="s">
        <v>240</v>
      </c>
      <c r="S38" s="10">
        <v>-0.2282456923552616</v>
      </c>
      <c r="T38" s="10">
        <v>-0.16238207830882451</v>
      </c>
      <c r="U38" s="10">
        <v>6.1930106420232937E-2</v>
      </c>
      <c r="V38" s="10">
        <v>0.26044002589625198</v>
      </c>
    </row>
    <row r="39" spans="1:22" x14ac:dyDescent="0.3">
      <c r="A39" s="10" t="s">
        <v>51</v>
      </c>
      <c r="B39" s="10">
        <v>2022</v>
      </c>
      <c r="C39" s="10">
        <v>499010000000</v>
      </c>
      <c r="D39" s="10">
        <v>592419000000</v>
      </c>
      <c r="E39" s="10">
        <v>18133087000000</v>
      </c>
      <c r="F39" s="10">
        <v>3465423000000</v>
      </c>
      <c r="G39" s="10">
        <v>14292767000000</v>
      </c>
      <c r="H39" s="10">
        <v>8336437000000</v>
      </c>
      <c r="I39" s="10">
        <v>3480447000000</v>
      </c>
      <c r="J39" s="10">
        <v>-3068416000000</v>
      </c>
      <c r="K39" s="10">
        <v>-4871014000000</v>
      </c>
      <c r="L39" s="10"/>
      <c r="M39" s="10">
        <v>9687149000000</v>
      </c>
      <c r="N39" s="10">
        <v>-89361000000</v>
      </c>
      <c r="O39" s="10">
        <v>10515029000000</v>
      </c>
      <c r="P39" s="10">
        <v>-1.8732140308999861</v>
      </c>
      <c r="Q39" s="10">
        <v>1</v>
      </c>
      <c r="R39" s="10" t="s">
        <v>240</v>
      </c>
      <c r="S39" s="10">
        <v>-0.26862574475046641</v>
      </c>
      <c r="T39" s="10">
        <v>-0.16921641637742099</v>
      </c>
      <c r="U39" s="10">
        <v>2.7519307661183118E-2</v>
      </c>
      <c r="V39" s="10">
        <v>0.24351107101934849</v>
      </c>
    </row>
    <row r="40" spans="1:22" x14ac:dyDescent="0.3">
      <c r="A40" s="10" t="s">
        <v>54</v>
      </c>
      <c r="B40" s="10">
        <v>2025</v>
      </c>
      <c r="C40" s="10">
        <v>776808000000</v>
      </c>
      <c r="D40" s="10">
        <v>149752000000</v>
      </c>
      <c r="E40" s="10">
        <v>7217396000000</v>
      </c>
      <c r="F40" s="10">
        <v>3091050000000</v>
      </c>
      <c r="G40" s="10">
        <v>3426546000000</v>
      </c>
      <c r="H40" s="10">
        <v>2828200000000</v>
      </c>
      <c r="I40" s="10">
        <v>3788169000000</v>
      </c>
      <c r="J40" s="10">
        <v>-2580559000000</v>
      </c>
      <c r="K40" s="10">
        <v>262850000000</v>
      </c>
      <c r="L40" s="10"/>
      <c r="M40" s="10">
        <v>9947122000000</v>
      </c>
      <c r="N40" s="10">
        <v>423655000000</v>
      </c>
      <c r="O40" s="10">
        <v>1686603000000</v>
      </c>
      <c r="P40" s="10">
        <v>0.9573905823197939</v>
      </c>
      <c r="Q40" s="10">
        <v>1</v>
      </c>
      <c r="R40" s="10" t="s">
        <v>240</v>
      </c>
      <c r="S40" s="10">
        <v>3.6418952209356391E-2</v>
      </c>
      <c r="T40" s="10">
        <v>-0.35754709870429718</v>
      </c>
      <c r="U40" s="10">
        <v>0.10762995407207809</v>
      </c>
      <c r="V40" s="10">
        <v>1.105535720226724</v>
      </c>
    </row>
    <row r="41" spans="1:22" x14ac:dyDescent="0.3">
      <c r="A41" s="10" t="s">
        <v>54</v>
      </c>
      <c r="B41" s="10">
        <v>2024</v>
      </c>
      <c r="C41" s="10">
        <v>632535000000</v>
      </c>
      <c r="D41" s="10">
        <v>183548000000</v>
      </c>
      <c r="E41" s="10">
        <v>6706321000000</v>
      </c>
      <c r="F41" s="10">
        <v>2431199000000</v>
      </c>
      <c r="G41" s="10">
        <v>3137670000000</v>
      </c>
      <c r="H41" s="10">
        <v>2366954000000</v>
      </c>
      <c r="I41" s="10">
        <v>3566057000000</v>
      </c>
      <c r="J41" s="10">
        <v>-3000775000000</v>
      </c>
      <c r="K41" s="10">
        <v>64245000000</v>
      </c>
      <c r="L41" s="10"/>
      <c r="M41" s="10">
        <v>9280242000000</v>
      </c>
      <c r="N41" s="10">
        <v>319976000000</v>
      </c>
      <c r="O41" s="10">
        <v>1716558000000</v>
      </c>
      <c r="P41" s="10">
        <v>0.43132288324370899</v>
      </c>
      <c r="Q41" s="10">
        <v>1</v>
      </c>
      <c r="R41" s="10" t="s">
        <v>240</v>
      </c>
      <c r="S41" s="10">
        <v>9.5797681023619356E-3</v>
      </c>
      <c r="T41" s="10">
        <v>-0.4474547221941807</v>
      </c>
      <c r="U41" s="10">
        <v>9.431922510121421E-2</v>
      </c>
      <c r="V41" s="10">
        <v>1.1365302915857951</v>
      </c>
    </row>
    <row r="42" spans="1:22" x14ac:dyDescent="0.3">
      <c r="A42" s="10" t="s">
        <v>54</v>
      </c>
      <c r="B42" s="10">
        <v>2023</v>
      </c>
      <c r="C42" s="10">
        <v>720640000000</v>
      </c>
      <c r="D42" s="10">
        <v>198077000000</v>
      </c>
      <c r="E42" s="10">
        <v>6856338000000</v>
      </c>
      <c r="F42" s="10">
        <v>2374088000000</v>
      </c>
      <c r="G42" s="10">
        <v>3436635000000</v>
      </c>
      <c r="H42" s="10">
        <v>2228182000000</v>
      </c>
      <c r="I42" s="10">
        <v>3416679000000</v>
      </c>
      <c r="J42" s="10">
        <v>-3332147000000</v>
      </c>
      <c r="K42" s="10">
        <v>145906000000</v>
      </c>
      <c r="L42" s="10"/>
      <c r="M42" s="10">
        <v>9027276000000</v>
      </c>
      <c r="N42" s="10">
        <v>401468000000</v>
      </c>
      <c r="O42" s="10">
        <v>2153963000000</v>
      </c>
      <c r="P42" s="10">
        <v>0.30546852817634002</v>
      </c>
      <c r="Q42" s="10">
        <v>1</v>
      </c>
      <c r="R42" s="10" t="s">
        <v>240</v>
      </c>
      <c r="S42" s="10">
        <v>2.1280456126871228E-2</v>
      </c>
      <c r="T42" s="10">
        <v>-0.4859951478471452</v>
      </c>
      <c r="U42" s="10">
        <v>0.1051056701113627</v>
      </c>
      <c r="V42" s="10">
        <v>0.99419315696895361</v>
      </c>
    </row>
    <row r="43" spans="1:22" x14ac:dyDescent="0.3">
      <c r="A43" s="10" t="s">
        <v>54</v>
      </c>
      <c r="B43" s="10">
        <v>2022</v>
      </c>
      <c r="C43" s="10">
        <v>695128000000</v>
      </c>
      <c r="D43" s="10">
        <v>218449000000</v>
      </c>
      <c r="E43" s="10">
        <v>6833737000000</v>
      </c>
      <c r="F43" s="10">
        <v>2162539000000</v>
      </c>
      <c r="G43" s="10">
        <v>3651905000000</v>
      </c>
      <c r="H43" s="10">
        <v>1981666000000</v>
      </c>
      <c r="I43" s="10">
        <v>3179097000000</v>
      </c>
      <c r="J43" s="10">
        <v>-3748372000000</v>
      </c>
      <c r="K43" s="10">
        <v>180873000000</v>
      </c>
      <c r="L43" s="10"/>
      <c r="M43" s="10">
        <v>8242343000000</v>
      </c>
      <c r="N43" s="10">
        <v>373668000000</v>
      </c>
      <c r="O43" s="10">
        <v>2343063000000</v>
      </c>
      <c r="P43" s="10">
        <v>-1.6897902380116792E-2</v>
      </c>
      <c r="Q43" s="10">
        <v>1</v>
      </c>
      <c r="R43" s="10" t="s">
        <v>240</v>
      </c>
      <c r="S43" s="10">
        <v>2.6467655983834319E-2</v>
      </c>
      <c r="T43" s="10">
        <v>-0.54850984168691308</v>
      </c>
      <c r="U43" s="10">
        <v>0.1017200398552066</v>
      </c>
      <c r="V43" s="10">
        <v>0.87053113375074109</v>
      </c>
    </row>
    <row r="44" spans="1:22" x14ac:dyDescent="0.3">
      <c r="A44" s="10" t="s">
        <v>56</v>
      </c>
      <c r="B44" s="10">
        <v>2025</v>
      </c>
      <c r="C44" s="10">
        <v>-9454655170</v>
      </c>
      <c r="D44" s="10">
        <v>11479384428</v>
      </c>
      <c r="E44" s="10">
        <v>658635911790</v>
      </c>
      <c r="F44" s="10">
        <v>366872769872</v>
      </c>
      <c r="G44" s="10">
        <v>493940037449</v>
      </c>
      <c r="H44" s="10">
        <v>127940518474</v>
      </c>
      <c r="I44" s="10">
        <v>164750774388</v>
      </c>
      <c r="J44" s="10">
        <v>-590455632208</v>
      </c>
      <c r="K44" s="10">
        <v>238932251398</v>
      </c>
      <c r="L44" s="10"/>
      <c r="M44" s="10">
        <v>116839611251</v>
      </c>
      <c r="N44" s="10">
        <v>-23352375412</v>
      </c>
      <c r="O44" s="10">
        <v>312239069170</v>
      </c>
      <c r="P44" s="10">
        <v>-0.28901667494274158</v>
      </c>
      <c r="Q44" s="10">
        <v>1</v>
      </c>
      <c r="R44" s="10" t="s">
        <v>240</v>
      </c>
      <c r="S44" s="10">
        <v>0.36276833242913331</v>
      </c>
      <c r="T44" s="10">
        <v>-0.8964825962849432</v>
      </c>
      <c r="U44" s="10">
        <v>-1.435490382585535E-2</v>
      </c>
      <c r="V44" s="10">
        <v>0.33354407801981578</v>
      </c>
    </row>
    <row r="45" spans="1:22" x14ac:dyDescent="0.3">
      <c r="A45" s="10" t="s">
        <v>56</v>
      </c>
      <c r="B45" s="10">
        <v>2024</v>
      </c>
      <c r="C45" s="10">
        <v>-9375285682</v>
      </c>
      <c r="D45" s="10">
        <v>11186012368</v>
      </c>
      <c r="E45" s="10">
        <v>733392898825</v>
      </c>
      <c r="F45" s="10">
        <v>409698036537</v>
      </c>
      <c r="G45" s="10">
        <v>542710481747</v>
      </c>
      <c r="H45" s="10">
        <v>154008551863</v>
      </c>
      <c r="I45" s="10">
        <v>190725559866</v>
      </c>
      <c r="J45" s="10">
        <v>-592655211730</v>
      </c>
      <c r="K45" s="10">
        <v>255689484674</v>
      </c>
      <c r="L45" s="10"/>
      <c r="M45" s="10">
        <v>145529362070</v>
      </c>
      <c r="N45" s="10">
        <v>-19582504774</v>
      </c>
      <c r="O45" s="10">
        <v>323951956817</v>
      </c>
      <c r="P45" s="10">
        <v>-6.4236583262104074E-2</v>
      </c>
      <c r="Q45" s="10">
        <v>1</v>
      </c>
      <c r="R45" s="10" t="s">
        <v>240</v>
      </c>
      <c r="S45" s="10">
        <v>0.34863916065133849</v>
      </c>
      <c r="T45" s="10">
        <v>-0.80810055930391222</v>
      </c>
      <c r="U45" s="10">
        <v>-1.278344213179667E-2</v>
      </c>
      <c r="V45" s="10">
        <v>0.35143150221099317</v>
      </c>
    </row>
    <row r="46" spans="1:22" x14ac:dyDescent="0.3">
      <c r="A46" s="10" t="s">
        <v>56</v>
      </c>
      <c r="B46" s="10">
        <v>2023</v>
      </c>
      <c r="C46" s="10">
        <v>-294410580</v>
      </c>
      <c r="D46" s="10">
        <v>11925030444</v>
      </c>
      <c r="E46" s="10">
        <v>751633765958</v>
      </c>
      <c r="F46" s="10">
        <v>430751516292</v>
      </c>
      <c r="G46" s="10">
        <v>540348546178</v>
      </c>
      <c r="H46" s="10">
        <v>158611498728</v>
      </c>
      <c r="I46" s="10">
        <v>211321679804</v>
      </c>
      <c r="J46" s="10">
        <v>-572059091792</v>
      </c>
      <c r="K46" s="10">
        <v>272140017564</v>
      </c>
      <c r="L46" s="10"/>
      <c r="M46" s="10">
        <v>99239654190</v>
      </c>
      <c r="N46" s="10">
        <v>-9824796901</v>
      </c>
      <c r="O46" s="10">
        <v>322038458826</v>
      </c>
      <c r="P46" s="10">
        <v>0.30200477543111298</v>
      </c>
      <c r="Q46" s="10">
        <v>1</v>
      </c>
      <c r="R46" s="10" t="s">
        <v>240</v>
      </c>
      <c r="S46" s="10">
        <v>0.36206465154893902</v>
      </c>
      <c r="T46" s="10">
        <v>-0.76108753717693634</v>
      </c>
      <c r="U46" s="10">
        <v>-3.9169419115273112E-4</v>
      </c>
      <c r="V46" s="10">
        <v>0.39108401660136433</v>
      </c>
    </row>
    <row r="47" spans="1:22" x14ac:dyDescent="0.3">
      <c r="A47" s="10" t="s">
        <v>56</v>
      </c>
      <c r="B47" s="10">
        <v>2022</v>
      </c>
      <c r="C47" s="10">
        <v>-13051689260</v>
      </c>
      <c r="D47" s="10">
        <v>25283290358</v>
      </c>
      <c r="E47" s="10">
        <v>712262467657</v>
      </c>
      <c r="F47" s="10">
        <v>435146467918</v>
      </c>
      <c r="G47" s="10">
        <v>539457360678</v>
      </c>
      <c r="H47" s="10">
        <v>364143101148</v>
      </c>
      <c r="I47" s="10">
        <v>172838477865</v>
      </c>
      <c r="J47" s="10">
        <v>-566136613731</v>
      </c>
      <c r="K47" s="10">
        <v>71003366770</v>
      </c>
      <c r="L47" s="10"/>
      <c r="M47" s="10">
        <v>115113867868</v>
      </c>
      <c r="N47" s="10">
        <v>-33169322394</v>
      </c>
      <c r="O47" s="10">
        <v>335932032635</v>
      </c>
      <c r="P47" s="10">
        <v>-1.723966118796753</v>
      </c>
      <c r="Q47" s="10">
        <v>1</v>
      </c>
      <c r="R47" s="10" t="s">
        <v>240</v>
      </c>
      <c r="S47" s="10">
        <v>9.9687081650626397E-2</v>
      </c>
      <c r="T47" s="10">
        <v>-0.79484268712531836</v>
      </c>
      <c r="U47" s="10">
        <v>-1.8324269286480531E-2</v>
      </c>
      <c r="V47" s="10">
        <v>0.32039321448459501</v>
      </c>
    </row>
    <row r="48" spans="1:22" x14ac:dyDescent="0.3">
      <c r="A48" s="10" t="s">
        <v>60</v>
      </c>
      <c r="B48" s="10">
        <v>2025</v>
      </c>
      <c r="C48" s="10">
        <v>20175960525</v>
      </c>
      <c r="D48" s="10">
        <v>5319560191</v>
      </c>
      <c r="E48" s="10">
        <v>1167814680750</v>
      </c>
      <c r="F48" s="10">
        <v>460972467818</v>
      </c>
      <c r="G48" s="10">
        <v>800287218292</v>
      </c>
      <c r="H48" s="10">
        <v>176627476751</v>
      </c>
      <c r="I48" s="10">
        <v>367527462458</v>
      </c>
      <c r="J48" s="10">
        <v>-762794323390</v>
      </c>
      <c r="K48" s="10">
        <v>284344991067</v>
      </c>
      <c r="L48" s="10"/>
      <c r="M48" s="10">
        <v>1258918814869</v>
      </c>
      <c r="N48" s="10">
        <v>-27000769714</v>
      </c>
      <c r="O48" s="10">
        <v>610662242444</v>
      </c>
      <c r="P48" s="10">
        <v>6.6195547117306297E-2</v>
      </c>
      <c r="Q48" s="10">
        <v>1</v>
      </c>
      <c r="R48" s="10" t="s">
        <v>240</v>
      </c>
      <c r="S48" s="10">
        <v>0.24348468618701261</v>
      </c>
      <c r="T48" s="10">
        <v>-0.65318096780570889</v>
      </c>
      <c r="U48" s="10">
        <v>1.7276679988337269E-2</v>
      </c>
      <c r="V48" s="10">
        <v>0.45924444881475118</v>
      </c>
    </row>
    <row r="49" spans="1:22" x14ac:dyDescent="0.3">
      <c r="A49" s="10" t="s">
        <v>60</v>
      </c>
      <c r="B49" s="10">
        <v>2024</v>
      </c>
      <c r="C49" s="10">
        <v>11625645786</v>
      </c>
      <c r="D49" s="10">
        <v>3706328214</v>
      </c>
      <c r="E49" s="10">
        <v>1188312653146</v>
      </c>
      <c r="F49" s="10">
        <v>432597052882</v>
      </c>
      <c r="G49" s="10">
        <v>794158844802</v>
      </c>
      <c r="H49" s="10">
        <v>183566886291</v>
      </c>
      <c r="I49" s="10">
        <v>394153808344</v>
      </c>
      <c r="J49" s="10">
        <v>-735793553676</v>
      </c>
      <c r="K49" s="10">
        <v>249030166591</v>
      </c>
      <c r="L49" s="10"/>
      <c r="M49" s="10">
        <v>1098223293439</v>
      </c>
      <c r="N49" s="10">
        <v>-37052801791</v>
      </c>
      <c r="O49" s="10">
        <v>607974365040</v>
      </c>
      <c r="P49" s="10">
        <v>-5.6935466371788701E-2</v>
      </c>
      <c r="Q49" s="10">
        <v>1</v>
      </c>
      <c r="R49" s="10" t="s">
        <v>240</v>
      </c>
      <c r="S49" s="10">
        <v>0.2095661995449638</v>
      </c>
      <c r="T49" s="10">
        <v>-0.61919188668741543</v>
      </c>
      <c r="U49" s="10">
        <v>9.7833223901316445E-3</v>
      </c>
      <c r="V49" s="10">
        <v>0.49631608452622672</v>
      </c>
    </row>
    <row r="50" spans="1:22" x14ac:dyDescent="0.3">
      <c r="A50" s="10" t="s">
        <v>60</v>
      </c>
      <c r="B50" s="10">
        <v>2023</v>
      </c>
      <c r="C50" s="10">
        <v>-87035578529</v>
      </c>
      <c r="D50" s="10">
        <v>2445845904</v>
      </c>
      <c r="E50" s="10">
        <v>1200216788284</v>
      </c>
      <c r="F50" s="10">
        <v>367731806829</v>
      </c>
      <c r="G50" s="10">
        <v>769712292179</v>
      </c>
      <c r="H50" s="10">
        <v>177688543811</v>
      </c>
      <c r="I50" s="10">
        <v>430504496105</v>
      </c>
      <c r="J50" s="10">
        <v>-698740751885</v>
      </c>
      <c r="K50" s="10">
        <v>190043263018</v>
      </c>
      <c r="L50" s="10"/>
      <c r="M50" s="10">
        <v>920006985203</v>
      </c>
      <c r="N50" s="10">
        <v>-142298507164</v>
      </c>
      <c r="O50" s="10">
        <v>624335166440</v>
      </c>
      <c r="P50" s="10">
        <v>-0.75922750626117241</v>
      </c>
      <c r="Q50" s="10">
        <v>1</v>
      </c>
      <c r="R50" s="10" t="s">
        <v>240</v>
      </c>
      <c r="S50" s="10">
        <v>0.158340780493258</v>
      </c>
      <c r="T50" s="10">
        <v>-0.58217878528763023</v>
      </c>
      <c r="U50" s="10">
        <v>-7.2516548159135816E-2</v>
      </c>
      <c r="V50" s="10">
        <v>0.55930573082868773</v>
      </c>
    </row>
    <row r="51" spans="1:22" x14ac:dyDescent="0.3">
      <c r="A51" s="10" t="s">
        <v>60</v>
      </c>
      <c r="B51" s="10">
        <v>2022</v>
      </c>
      <c r="C51" s="10">
        <v>-48046486328</v>
      </c>
      <c r="D51" s="10">
        <v>11419671994</v>
      </c>
      <c r="E51" s="10">
        <v>1354777869012</v>
      </c>
      <c r="F51" s="10">
        <v>359860538712</v>
      </c>
      <c r="G51" s="10">
        <v>778536207332</v>
      </c>
      <c r="H51" s="10">
        <v>185703883035</v>
      </c>
      <c r="I51" s="10">
        <v>576241661680</v>
      </c>
      <c r="J51" s="10">
        <v>-556442244721</v>
      </c>
      <c r="K51" s="10">
        <v>174156655677</v>
      </c>
      <c r="L51" s="10"/>
      <c r="M51" s="10">
        <v>723804994492</v>
      </c>
      <c r="N51" s="10">
        <v>-45726829010</v>
      </c>
      <c r="O51" s="10">
        <v>628539277767</v>
      </c>
      <c r="P51" s="10">
        <v>4.3168785242204237E-2</v>
      </c>
      <c r="Q51" s="10">
        <v>1</v>
      </c>
      <c r="R51" s="10" t="s">
        <v>240</v>
      </c>
      <c r="S51" s="10">
        <v>0.1285499709291881</v>
      </c>
      <c r="T51" s="10">
        <v>-0.41072581524142932</v>
      </c>
      <c r="U51" s="10">
        <v>-3.5464475340919843E-2</v>
      </c>
      <c r="V51" s="10">
        <v>0.74016038849978205</v>
      </c>
    </row>
    <row r="52" spans="1:22" x14ac:dyDescent="0.3">
      <c r="A52" s="10" t="s">
        <v>66</v>
      </c>
      <c r="B52" s="10">
        <v>2023</v>
      </c>
      <c r="C52" s="10">
        <v>472189838933</v>
      </c>
      <c r="D52" s="10">
        <v>222338151815</v>
      </c>
      <c r="E52" s="10">
        <v>8634035445735</v>
      </c>
      <c r="F52" s="10">
        <v>1800278705459</v>
      </c>
      <c r="G52" s="10">
        <v>4570386466869</v>
      </c>
      <c r="H52" s="10">
        <v>2594224802654</v>
      </c>
      <c r="I52" s="10">
        <v>3867454617429</v>
      </c>
      <c r="J52" s="10">
        <v>-280398905485</v>
      </c>
      <c r="K52" s="10">
        <v>-793946097195</v>
      </c>
      <c r="L52" s="10"/>
      <c r="M52" s="10">
        <v>5062243740223</v>
      </c>
      <c r="N52" s="10">
        <v>153570962880</v>
      </c>
      <c r="O52" s="10">
        <v>3260274245263</v>
      </c>
      <c r="P52" s="10">
        <v>0.54692189246835254</v>
      </c>
      <c r="Q52" s="10">
        <v>1</v>
      </c>
      <c r="R52" s="10" t="s">
        <v>240</v>
      </c>
      <c r="S52" s="10">
        <v>-9.1955390058908057E-2</v>
      </c>
      <c r="T52" s="10">
        <v>-3.2475996565836447E-2</v>
      </c>
      <c r="U52" s="10">
        <v>5.4689356083921351E-2</v>
      </c>
      <c r="V52" s="10">
        <v>0.84619859730996616</v>
      </c>
    </row>
    <row r="53" spans="1:22" x14ac:dyDescent="0.3">
      <c r="A53" s="10" t="s">
        <v>67</v>
      </c>
      <c r="B53" s="10">
        <v>2025</v>
      </c>
      <c r="C53" s="10">
        <v>2759000</v>
      </c>
      <c r="D53" s="10">
        <v>51000</v>
      </c>
      <c r="E53" s="10">
        <v>171834000</v>
      </c>
      <c r="F53" s="10">
        <v>85171000</v>
      </c>
      <c r="G53" s="10">
        <v>69257000</v>
      </c>
      <c r="H53" s="10">
        <v>64146000</v>
      </c>
      <c r="I53" s="10">
        <v>102432000</v>
      </c>
      <c r="J53" s="10">
        <v>-107426000</v>
      </c>
      <c r="K53" s="10">
        <v>21025000</v>
      </c>
      <c r="L53" s="10"/>
      <c r="M53" s="10">
        <v>320670000</v>
      </c>
      <c r="N53" s="10">
        <v>4252000</v>
      </c>
      <c r="O53" s="10">
        <v>264000</v>
      </c>
      <c r="P53" s="10">
        <v>0.42545519006863608</v>
      </c>
      <c r="Q53" s="10">
        <v>1</v>
      </c>
      <c r="R53" s="10" t="s">
        <v>240</v>
      </c>
      <c r="S53" s="10">
        <v>0.1223564603047127</v>
      </c>
      <c r="T53" s="10">
        <v>-0.6251731322089924</v>
      </c>
      <c r="U53" s="10">
        <v>1.6056193768404389E-2</v>
      </c>
      <c r="V53" s="10">
        <v>1.4790129517593891</v>
      </c>
    </row>
    <row r="54" spans="1:22" x14ac:dyDescent="0.3">
      <c r="A54" s="10" t="s">
        <v>67</v>
      </c>
      <c r="B54" s="10">
        <v>2024</v>
      </c>
      <c r="C54" s="10">
        <v>-11113000</v>
      </c>
      <c r="D54" s="10">
        <v>61000</v>
      </c>
      <c r="E54" s="10">
        <v>161914000</v>
      </c>
      <c r="F54" s="10">
        <v>74767000</v>
      </c>
      <c r="G54" s="10">
        <v>63321000</v>
      </c>
      <c r="H54" s="10">
        <v>58417000</v>
      </c>
      <c r="I54" s="10">
        <v>98455000</v>
      </c>
      <c r="J54" s="10">
        <v>-111403000</v>
      </c>
      <c r="K54" s="10">
        <v>16350000</v>
      </c>
      <c r="L54" s="10"/>
      <c r="M54" s="10">
        <v>367977000</v>
      </c>
      <c r="N54" s="10">
        <v>-8282000</v>
      </c>
      <c r="O54" s="10">
        <v>387000</v>
      </c>
      <c r="P54" s="10">
        <v>-0.40920881848504198</v>
      </c>
      <c r="Q54" s="10">
        <v>1</v>
      </c>
      <c r="R54" s="10" t="s">
        <v>240</v>
      </c>
      <c r="S54" s="10">
        <v>0.10097953234433089</v>
      </c>
      <c r="T54" s="10">
        <v>-0.68803809429697249</v>
      </c>
      <c r="U54" s="10">
        <v>-6.8635201403214052E-2</v>
      </c>
      <c r="V54" s="10">
        <v>1.5548554192132149</v>
      </c>
    </row>
    <row r="55" spans="1:22" x14ac:dyDescent="0.3">
      <c r="A55" s="10" t="s">
        <v>67</v>
      </c>
      <c r="B55" s="10">
        <v>2023</v>
      </c>
      <c r="C55" s="10">
        <v>-1104000</v>
      </c>
      <c r="D55" s="10">
        <v>36000</v>
      </c>
      <c r="E55" s="10">
        <v>182670000</v>
      </c>
      <c r="F55" s="10">
        <v>94738000</v>
      </c>
      <c r="G55" s="10">
        <v>75681000</v>
      </c>
      <c r="H55" s="10">
        <v>69677000</v>
      </c>
      <c r="I55" s="10">
        <v>106839000</v>
      </c>
      <c r="J55" s="10">
        <v>-103019000</v>
      </c>
      <c r="K55" s="10">
        <v>25061000</v>
      </c>
      <c r="L55" s="10"/>
      <c r="M55" s="10">
        <v>376213000</v>
      </c>
      <c r="N55" s="10">
        <v>-399000</v>
      </c>
      <c r="O55" s="10">
        <v>485000</v>
      </c>
      <c r="P55" s="10">
        <v>0.50314050608681415</v>
      </c>
      <c r="Q55" s="10">
        <v>1</v>
      </c>
      <c r="R55" s="10" t="s">
        <v>240</v>
      </c>
      <c r="S55" s="10">
        <v>0.13719275195708111</v>
      </c>
      <c r="T55" s="10">
        <v>-0.5639623364537143</v>
      </c>
      <c r="U55" s="10">
        <v>-6.0436853342092298E-3</v>
      </c>
      <c r="V55" s="10">
        <v>1.4117017481270071</v>
      </c>
    </row>
    <row r="56" spans="1:22" x14ac:dyDescent="0.3">
      <c r="A56" s="10" t="s">
        <v>67</v>
      </c>
      <c r="B56" s="10">
        <v>2022</v>
      </c>
      <c r="C56" s="10">
        <v>3239000</v>
      </c>
      <c r="D56" s="10">
        <v>92000</v>
      </c>
      <c r="E56" s="10">
        <v>192224000</v>
      </c>
      <c r="F56" s="10">
        <v>119314000</v>
      </c>
      <c r="G56" s="10">
        <v>84735000</v>
      </c>
      <c r="H56" s="10">
        <v>78846000</v>
      </c>
      <c r="I56" s="10">
        <v>107338000</v>
      </c>
      <c r="J56" s="10">
        <v>-102520000</v>
      </c>
      <c r="K56" s="10">
        <v>40468000</v>
      </c>
      <c r="L56" s="10"/>
      <c r="M56" s="10">
        <v>473879000</v>
      </c>
      <c r="N56" s="10">
        <v>2892000</v>
      </c>
      <c r="O56" s="10">
        <v>245000</v>
      </c>
      <c r="P56" s="10">
        <v>1.0856893712808</v>
      </c>
      <c r="Q56" s="10">
        <v>1</v>
      </c>
      <c r="R56" s="10" t="s">
        <v>240</v>
      </c>
      <c r="S56" s="10">
        <v>0.21052522057599471</v>
      </c>
      <c r="T56" s="10">
        <v>-0.53333610787414687</v>
      </c>
      <c r="U56" s="10">
        <v>1.685013317795905E-2</v>
      </c>
      <c r="V56" s="10">
        <v>1.266749277158199</v>
      </c>
    </row>
    <row r="57" spans="1:22" x14ac:dyDescent="0.3">
      <c r="A57" s="10" t="s">
        <v>73</v>
      </c>
      <c r="B57" s="10">
        <v>2025</v>
      </c>
      <c r="C57" s="10">
        <v>60942673</v>
      </c>
      <c r="D57" s="10">
        <v>20210871</v>
      </c>
      <c r="E57" s="10">
        <v>812980121</v>
      </c>
      <c r="F57" s="10">
        <v>303892171</v>
      </c>
      <c r="G57" s="10">
        <v>698413061</v>
      </c>
      <c r="H57" s="10">
        <v>305224989</v>
      </c>
      <c r="I57" s="10">
        <v>114386092</v>
      </c>
      <c r="J57" s="10">
        <v>-523052882</v>
      </c>
      <c r="K57" s="10">
        <v>-1332818</v>
      </c>
      <c r="L57" s="10"/>
      <c r="M57" s="10">
        <v>491882794</v>
      </c>
      <c r="N57" s="10">
        <v>33949155</v>
      </c>
      <c r="O57" s="10">
        <v>384761285</v>
      </c>
      <c r="P57" s="10">
        <v>-1.4324502029848649</v>
      </c>
      <c r="Q57" s="10">
        <v>1</v>
      </c>
      <c r="R57" s="10" t="s">
        <v>240</v>
      </c>
      <c r="S57" s="10">
        <v>-1.639422620027384E-3</v>
      </c>
      <c r="T57" s="10">
        <v>-0.64337720995763437</v>
      </c>
      <c r="U57" s="10">
        <v>7.4962070321028182E-2</v>
      </c>
      <c r="V57" s="10">
        <v>0.1637800012448507</v>
      </c>
    </row>
    <row r="58" spans="1:22" x14ac:dyDescent="0.3">
      <c r="A58" s="10" t="s">
        <v>73</v>
      </c>
      <c r="B58" s="10">
        <v>2024</v>
      </c>
      <c r="C58" s="10">
        <v>44910579</v>
      </c>
      <c r="D58" s="10">
        <v>20166464</v>
      </c>
      <c r="E58" s="10">
        <v>424630203</v>
      </c>
      <c r="F58" s="10">
        <v>206103485</v>
      </c>
      <c r="G58" s="10">
        <v>682531506</v>
      </c>
      <c r="H58" s="10">
        <v>237508591</v>
      </c>
      <c r="I58" s="10">
        <v>-258067606</v>
      </c>
      <c r="J58" s="10">
        <v>-557002037</v>
      </c>
      <c r="K58" s="10">
        <v>-31405106</v>
      </c>
      <c r="L58" s="10"/>
      <c r="M58" s="10">
        <v>421223186</v>
      </c>
      <c r="N58" s="10">
        <v>26891116</v>
      </c>
      <c r="O58" s="10">
        <v>436493574</v>
      </c>
      <c r="P58" s="10">
        <v>-4.447698118883995</v>
      </c>
      <c r="Q58" s="10">
        <v>1</v>
      </c>
      <c r="R58" s="10" t="s">
        <v>240</v>
      </c>
      <c r="S58" s="10">
        <v>-7.395871932359932E-2</v>
      </c>
      <c r="T58" s="10">
        <v>-1.311734382210207</v>
      </c>
      <c r="U58" s="10">
        <v>0.1057639769444285</v>
      </c>
      <c r="V58" s="10">
        <v>-0.37810358017377738</v>
      </c>
    </row>
    <row r="59" spans="1:22" x14ac:dyDescent="0.3">
      <c r="A59" s="10" t="s">
        <v>73</v>
      </c>
      <c r="B59" s="10">
        <v>2023</v>
      </c>
      <c r="C59" s="10">
        <v>43349082</v>
      </c>
      <c r="D59" s="10">
        <v>23619058</v>
      </c>
      <c r="E59" s="10">
        <v>450021103</v>
      </c>
      <c r="F59" s="10">
        <v>246615548</v>
      </c>
      <c r="G59" s="10">
        <v>761183005</v>
      </c>
      <c r="H59" s="10">
        <v>279717345</v>
      </c>
      <c r="I59" s="10">
        <v>-311321415</v>
      </c>
      <c r="J59" s="10">
        <v>-583893153</v>
      </c>
      <c r="K59" s="10">
        <v>-33101797</v>
      </c>
      <c r="L59" s="10"/>
      <c r="M59" s="10">
        <v>373206984</v>
      </c>
      <c r="N59" s="10">
        <v>20276463</v>
      </c>
      <c r="O59" s="10">
        <v>452801733</v>
      </c>
      <c r="P59" s="10">
        <v>-4.4944418701026381</v>
      </c>
      <c r="Q59" s="10">
        <v>1</v>
      </c>
      <c r="R59" s="10" t="s">
        <v>240</v>
      </c>
      <c r="S59" s="10">
        <v>-7.3556099434741395E-2</v>
      </c>
      <c r="T59" s="10">
        <v>-1.2974794939783081</v>
      </c>
      <c r="U59" s="10">
        <v>9.6326776035656272E-2</v>
      </c>
      <c r="V59" s="10">
        <v>-0.40899680228672469</v>
      </c>
    </row>
    <row r="60" spans="1:22" x14ac:dyDescent="0.3">
      <c r="A60" s="10" t="s">
        <v>73</v>
      </c>
      <c r="B60" s="10">
        <v>2022</v>
      </c>
      <c r="C60" s="10">
        <v>27591093</v>
      </c>
      <c r="D60" s="10">
        <v>22087788</v>
      </c>
      <c r="E60" s="10">
        <v>390658710</v>
      </c>
      <c r="F60" s="10">
        <v>200965297</v>
      </c>
      <c r="G60" s="10">
        <v>721680030</v>
      </c>
      <c r="H60" s="10">
        <v>248830982</v>
      </c>
      <c r="I60" s="10">
        <v>-331362712</v>
      </c>
      <c r="J60" s="10">
        <v>-604169616</v>
      </c>
      <c r="K60" s="10">
        <v>-47865685</v>
      </c>
      <c r="L60" s="10"/>
      <c r="M60" s="10">
        <v>238703893</v>
      </c>
      <c r="N60" s="10">
        <v>3571764</v>
      </c>
      <c r="O60" s="10">
        <v>466836883</v>
      </c>
      <c r="P60" s="10">
        <v>-5.852988869506822</v>
      </c>
      <c r="Q60" s="10">
        <v>1</v>
      </c>
      <c r="R60" s="10" t="s">
        <v>240</v>
      </c>
      <c r="S60" s="10">
        <v>-0.1225255799365129</v>
      </c>
      <c r="T60" s="10">
        <v>-1.5465407542046099</v>
      </c>
      <c r="U60" s="10">
        <v>7.0627103130504881E-2</v>
      </c>
      <c r="V60" s="10">
        <v>-0.45915460900310628</v>
      </c>
    </row>
    <row r="61" spans="1:22" x14ac:dyDescent="0.3">
      <c r="A61" s="10" t="s">
        <v>75</v>
      </c>
      <c r="B61" s="10">
        <v>2025</v>
      </c>
      <c r="C61" s="10">
        <v>157409000000</v>
      </c>
      <c r="D61" s="10">
        <v>19726000000</v>
      </c>
      <c r="E61" s="10">
        <v>2191904000000</v>
      </c>
      <c r="F61" s="10">
        <v>292313000000</v>
      </c>
      <c r="G61" s="10">
        <v>960344000000</v>
      </c>
      <c r="H61" s="10">
        <v>509104000000</v>
      </c>
      <c r="I61" s="10">
        <v>1181917000000</v>
      </c>
      <c r="J61" s="10">
        <v>-750468000000</v>
      </c>
      <c r="K61" s="10">
        <v>-216791000000</v>
      </c>
      <c r="L61" s="10"/>
      <c r="M61" s="10">
        <v>872987000000</v>
      </c>
      <c r="N61" s="10">
        <v>105363000000</v>
      </c>
      <c r="O61" s="10">
        <v>375235000000</v>
      </c>
      <c r="P61" s="10">
        <v>9.8639194814325037E-3</v>
      </c>
      <c r="Q61" s="10">
        <v>1</v>
      </c>
      <c r="R61" s="10" t="s">
        <v>240</v>
      </c>
      <c r="S61" s="10">
        <v>-9.8905335270157824E-2</v>
      </c>
      <c r="T61" s="10">
        <v>-0.34238178314378731</v>
      </c>
      <c r="U61" s="10">
        <v>7.1813820313298388E-2</v>
      </c>
      <c r="V61" s="10">
        <v>1.2307225327590949</v>
      </c>
    </row>
    <row r="62" spans="1:22" x14ac:dyDescent="0.3">
      <c r="A62" s="10" t="s">
        <v>75</v>
      </c>
      <c r="B62" s="10">
        <v>2024</v>
      </c>
      <c r="C62" s="10">
        <v>115522000000</v>
      </c>
      <c r="D62" s="10">
        <v>34551000000</v>
      </c>
      <c r="E62" s="10">
        <v>2321244000000</v>
      </c>
      <c r="F62" s="10">
        <v>286221000000</v>
      </c>
      <c r="G62" s="10">
        <v>1089263000000</v>
      </c>
      <c r="H62" s="10">
        <v>510870000000</v>
      </c>
      <c r="I62" s="10">
        <v>1184174000000</v>
      </c>
      <c r="J62" s="10">
        <v>-1107731000000</v>
      </c>
      <c r="K62" s="10">
        <v>-224649000000</v>
      </c>
      <c r="L62" s="10"/>
      <c r="M62" s="10">
        <v>804647000000</v>
      </c>
      <c r="N62" s="10">
        <v>60542000000</v>
      </c>
      <c r="O62" s="10">
        <v>391652000000</v>
      </c>
      <c r="P62" s="10">
        <v>-0.71466683646687579</v>
      </c>
      <c r="Q62" s="10">
        <v>1</v>
      </c>
      <c r="R62" s="10" t="s">
        <v>240</v>
      </c>
      <c r="S62" s="10">
        <v>-9.6779571643480819E-2</v>
      </c>
      <c r="T62" s="10">
        <v>-0.4772143729827627</v>
      </c>
      <c r="U62" s="10">
        <v>4.9767279958505009E-2</v>
      </c>
      <c r="V62" s="10">
        <v>1.087133226778106</v>
      </c>
    </row>
    <row r="63" spans="1:22" x14ac:dyDescent="0.3">
      <c r="A63" s="10" t="s">
        <v>75</v>
      </c>
      <c r="B63" s="10">
        <v>2023</v>
      </c>
      <c r="C63" s="10">
        <v>44427000000</v>
      </c>
      <c r="D63" s="10">
        <v>32356000000</v>
      </c>
      <c r="E63" s="10">
        <v>2118200000000</v>
      </c>
      <c r="F63" s="10">
        <v>572320000000</v>
      </c>
      <c r="G63" s="10">
        <v>949928000000</v>
      </c>
      <c r="H63" s="10">
        <v>345365000000</v>
      </c>
      <c r="I63" s="10">
        <v>1122546000000</v>
      </c>
      <c r="J63" s="10">
        <v>-1169285000000</v>
      </c>
      <c r="K63" s="10">
        <v>226955000000</v>
      </c>
      <c r="L63" s="10"/>
      <c r="M63" s="10">
        <v>744266000000</v>
      </c>
      <c r="N63" s="10">
        <v>2141000000</v>
      </c>
      <c r="O63" s="10">
        <v>466633000000</v>
      </c>
      <c r="P63" s="10">
        <v>0.28504087501691372</v>
      </c>
      <c r="Q63" s="10">
        <v>1</v>
      </c>
      <c r="R63" s="10" t="s">
        <v>240</v>
      </c>
      <c r="S63" s="10">
        <v>0.10714521763761679</v>
      </c>
      <c r="T63" s="10">
        <v>-0.55201822301954495</v>
      </c>
      <c r="U63" s="10">
        <v>2.0973940137852889E-2</v>
      </c>
      <c r="V63" s="10">
        <v>1.181716930125231</v>
      </c>
    </row>
    <row r="64" spans="1:22" x14ac:dyDescent="0.3">
      <c r="A64" s="10" t="s">
        <v>75</v>
      </c>
      <c r="B64" s="10">
        <v>2022</v>
      </c>
      <c r="C64" s="10">
        <v>136889000000</v>
      </c>
      <c r="D64" s="10">
        <v>43632000000</v>
      </c>
      <c r="E64" s="10">
        <v>2045406000000</v>
      </c>
      <c r="F64" s="10">
        <v>456869000000</v>
      </c>
      <c r="G64" s="10">
        <v>892864000000</v>
      </c>
      <c r="H64" s="10">
        <v>455883000000</v>
      </c>
      <c r="I64" s="10">
        <v>1107139000000</v>
      </c>
      <c r="J64" s="10">
        <v>-1169606000000</v>
      </c>
      <c r="K64" s="10">
        <v>986000000</v>
      </c>
      <c r="L64" s="10"/>
      <c r="M64" s="10">
        <v>554721000000</v>
      </c>
      <c r="N64" s="10">
        <v>75634000000</v>
      </c>
      <c r="O64" s="10">
        <v>356743000000</v>
      </c>
      <c r="P64" s="10">
        <v>-0.10925187394787431</v>
      </c>
      <c r="Q64" s="10">
        <v>1</v>
      </c>
      <c r="R64" s="10" t="s">
        <v>240</v>
      </c>
      <c r="S64" s="10">
        <v>4.8205588523745409E-4</v>
      </c>
      <c r="T64" s="10">
        <v>-0.57182094899496727</v>
      </c>
      <c r="U64" s="10">
        <v>6.6925099466805124E-2</v>
      </c>
      <c r="V64" s="10">
        <v>1.2399861569063151</v>
      </c>
    </row>
    <row r="65" spans="1:22" x14ac:dyDescent="0.3">
      <c r="A65" s="10" t="s">
        <v>81</v>
      </c>
      <c r="B65" s="10">
        <v>2025</v>
      </c>
      <c r="C65" s="10">
        <v>-60010907396</v>
      </c>
      <c r="D65" s="10">
        <v>14195546157</v>
      </c>
      <c r="E65" s="10">
        <v>1082906567922</v>
      </c>
      <c r="F65" s="10">
        <v>107709231309</v>
      </c>
      <c r="G65" s="10">
        <v>472218842498</v>
      </c>
      <c r="H65" s="10">
        <v>241259040623</v>
      </c>
      <c r="I65" s="10">
        <v>617571279036</v>
      </c>
      <c r="J65" s="10">
        <v>-789958515127</v>
      </c>
      <c r="K65" s="10">
        <v>-133549809314</v>
      </c>
      <c r="L65" s="10"/>
      <c r="M65" s="10">
        <v>148972508003</v>
      </c>
      <c r="N65" s="10">
        <v>-64498805360</v>
      </c>
      <c r="O65" s="10">
        <v>202893349530</v>
      </c>
      <c r="P65" s="10">
        <v>-2.1863197014806079</v>
      </c>
      <c r="Q65" s="10">
        <v>1</v>
      </c>
      <c r="R65" s="10" t="s">
        <v>240</v>
      </c>
      <c r="S65" s="10">
        <v>-0.12332532950674591</v>
      </c>
      <c r="T65" s="10">
        <v>-0.72947984482434081</v>
      </c>
      <c r="U65" s="10">
        <v>-5.5416514382358513E-2</v>
      </c>
      <c r="V65" s="10">
        <v>1.3078073627242339</v>
      </c>
    </row>
    <row r="66" spans="1:22" x14ac:dyDescent="0.3">
      <c r="A66" s="10" t="s">
        <v>81</v>
      </c>
      <c r="B66" s="10">
        <v>2024</v>
      </c>
      <c r="C66" s="10">
        <v>-53171175166</v>
      </c>
      <c r="D66" s="10">
        <v>17413122177</v>
      </c>
      <c r="E66" s="10">
        <v>1116039407898</v>
      </c>
      <c r="F66" s="10">
        <v>104569224497</v>
      </c>
      <c r="G66" s="10">
        <v>436214177274</v>
      </c>
      <c r="H66" s="10">
        <v>242172168774</v>
      </c>
      <c r="I66" s="10">
        <v>683258823145</v>
      </c>
      <c r="J66" s="10">
        <v>-725459709767</v>
      </c>
      <c r="K66" s="10">
        <v>-137602944277</v>
      </c>
      <c r="L66" s="10"/>
      <c r="M66" s="10">
        <v>176801284046</v>
      </c>
      <c r="N66" s="10">
        <v>-62303104000</v>
      </c>
      <c r="O66" s="10">
        <v>205714347056</v>
      </c>
      <c r="P66" s="10">
        <v>-1.603424236291854</v>
      </c>
      <c r="Q66" s="10">
        <v>1</v>
      </c>
      <c r="R66" s="10" t="s">
        <v>240</v>
      </c>
      <c r="S66" s="10">
        <v>-0.12329577549252289</v>
      </c>
      <c r="T66" s="10">
        <v>-0.65003054966792273</v>
      </c>
      <c r="U66" s="10">
        <v>-4.764273984387795E-2</v>
      </c>
      <c r="V66" s="10">
        <v>1.5663379567689371</v>
      </c>
    </row>
    <row r="67" spans="1:22" x14ac:dyDescent="0.3">
      <c r="A67" s="10" t="s">
        <v>81</v>
      </c>
      <c r="B67" s="10">
        <v>2023</v>
      </c>
      <c r="C67" s="10">
        <v>22416968000</v>
      </c>
      <c r="D67" s="10">
        <v>4906857000</v>
      </c>
      <c r="E67" s="10">
        <v>1184309226000</v>
      </c>
      <c r="F67" s="10">
        <v>118684029000</v>
      </c>
      <c r="G67" s="10">
        <v>430136161000</v>
      </c>
      <c r="H67" s="10">
        <v>250847480000</v>
      </c>
      <c r="I67" s="10">
        <v>733837933000</v>
      </c>
      <c r="J67" s="10">
        <v>-663156603000</v>
      </c>
      <c r="K67" s="10">
        <v>-132163451000</v>
      </c>
      <c r="L67" s="10"/>
      <c r="M67" s="10">
        <v>208393296000</v>
      </c>
      <c r="N67" s="10">
        <v>9074153000</v>
      </c>
      <c r="O67" s="10">
        <v>222653341000</v>
      </c>
      <c r="P67" s="10">
        <v>-0.63894924921935736</v>
      </c>
      <c r="Q67" s="10">
        <v>1</v>
      </c>
      <c r="R67" s="10" t="s">
        <v>240</v>
      </c>
      <c r="S67" s="10">
        <v>-0.111595390881469</v>
      </c>
      <c r="T67" s="10">
        <v>-0.55995223919669102</v>
      </c>
      <c r="U67" s="10">
        <v>1.892830648268546E-2</v>
      </c>
      <c r="V67" s="10">
        <v>1.706059614457758</v>
      </c>
    </row>
    <row r="68" spans="1:22" x14ac:dyDescent="0.3">
      <c r="A68" s="10" t="s">
        <v>81</v>
      </c>
      <c r="B68" s="10">
        <v>2022</v>
      </c>
      <c r="C68" s="10">
        <v>-16682582000</v>
      </c>
      <c r="D68" s="10">
        <v>17344800000</v>
      </c>
      <c r="E68" s="10">
        <v>1212168912000</v>
      </c>
      <c r="F68" s="10">
        <v>141446706000</v>
      </c>
      <c r="G68" s="10">
        <v>464984177000</v>
      </c>
      <c r="H68" s="10">
        <v>406221489000</v>
      </c>
      <c r="I68" s="10">
        <v>724565180000</v>
      </c>
      <c r="J68" s="10">
        <v>-672230756000</v>
      </c>
      <c r="K68" s="10">
        <v>-264774783000</v>
      </c>
      <c r="L68" s="10"/>
      <c r="M68" s="10">
        <v>227978382000</v>
      </c>
      <c r="N68" s="10">
        <v>-37361338000</v>
      </c>
      <c r="O68" s="10">
        <v>269848472000</v>
      </c>
      <c r="P68" s="10">
        <v>-1.6971122076643279</v>
      </c>
      <c r="Q68" s="10">
        <v>1</v>
      </c>
      <c r="R68" s="10" t="s">
        <v>240</v>
      </c>
      <c r="S68" s="10">
        <v>-0.2184306002066484</v>
      </c>
      <c r="T68" s="10">
        <v>-0.55456855009658923</v>
      </c>
      <c r="U68" s="10">
        <v>-1.376258855910999E-2</v>
      </c>
      <c r="V68" s="10">
        <v>1.558257712498462</v>
      </c>
    </row>
    <row r="69" spans="1:22" x14ac:dyDescent="0.3">
      <c r="A69" s="10" t="s">
        <v>84</v>
      </c>
      <c r="B69" s="10">
        <v>2025</v>
      </c>
      <c r="C69" s="10">
        <v>-37915111414</v>
      </c>
      <c r="D69" s="10">
        <v>74019652803</v>
      </c>
      <c r="E69" s="10">
        <v>1198228261692</v>
      </c>
      <c r="F69" s="10">
        <v>782630639174</v>
      </c>
      <c r="G69" s="10">
        <v>1108260861956</v>
      </c>
      <c r="H69" s="10">
        <v>1025566489847</v>
      </c>
      <c r="I69" s="10">
        <v>89967399736</v>
      </c>
      <c r="J69" s="10">
        <v>-277259414013</v>
      </c>
      <c r="K69" s="10">
        <v>-242935850673</v>
      </c>
      <c r="L69" s="10"/>
      <c r="M69" s="10">
        <v>813265224722</v>
      </c>
      <c r="N69" s="10">
        <v>-108355048625</v>
      </c>
      <c r="O69" s="10">
        <v>739453592828</v>
      </c>
      <c r="P69" s="10">
        <v>-2.211748884879269</v>
      </c>
      <c r="Q69" s="10">
        <v>1</v>
      </c>
      <c r="R69" s="10" t="s">
        <v>240</v>
      </c>
      <c r="S69" s="10">
        <v>-0.2027458861051683</v>
      </c>
      <c r="T69" s="10">
        <v>-0.23139114881290329</v>
      </c>
      <c r="U69" s="10">
        <v>-3.1642644916804623E-2</v>
      </c>
      <c r="V69" s="10">
        <v>8.1178901849167595E-2</v>
      </c>
    </row>
    <row r="70" spans="1:22" x14ac:dyDescent="0.3">
      <c r="A70" s="10" t="s">
        <v>84</v>
      </c>
      <c r="B70" s="10">
        <v>2024</v>
      </c>
      <c r="C70" s="10">
        <v>-16488206276</v>
      </c>
      <c r="D70" s="10">
        <v>82969751274</v>
      </c>
      <c r="E70" s="10">
        <v>1241083094623</v>
      </c>
      <c r="F70" s="10">
        <v>838374529149</v>
      </c>
      <c r="G70" s="10">
        <v>1045017291687</v>
      </c>
      <c r="H70" s="10">
        <v>981036667563</v>
      </c>
      <c r="I70" s="10">
        <v>196065802936</v>
      </c>
      <c r="J70" s="10">
        <v>-163557632979</v>
      </c>
      <c r="K70" s="10">
        <v>-142662138414</v>
      </c>
      <c r="L70" s="10"/>
      <c r="M70" s="10">
        <v>1058875659035</v>
      </c>
      <c r="N70" s="10">
        <v>-98683418057</v>
      </c>
      <c r="O70" s="10">
        <v>727807676198</v>
      </c>
      <c r="P70" s="10">
        <v>-1.0759699156187781</v>
      </c>
      <c r="Q70" s="10">
        <v>1</v>
      </c>
      <c r="R70" s="10" t="s">
        <v>240</v>
      </c>
      <c r="S70" s="10">
        <v>-0.1149497072614111</v>
      </c>
      <c r="T70" s="10">
        <v>-0.13178620648981071</v>
      </c>
      <c r="U70" s="10">
        <v>-1.328533629008022E-2</v>
      </c>
      <c r="V70" s="10">
        <v>0.18761967337352439</v>
      </c>
    </row>
    <row r="71" spans="1:22" x14ac:dyDescent="0.3">
      <c r="A71" s="10" t="s">
        <v>84</v>
      </c>
      <c r="B71" s="10">
        <v>2023</v>
      </c>
      <c r="C71" s="10">
        <v>28606608848</v>
      </c>
      <c r="D71" s="10">
        <v>69932327830</v>
      </c>
      <c r="E71" s="10">
        <v>1476872833252</v>
      </c>
      <c r="F71" s="10">
        <v>1087226644853</v>
      </c>
      <c r="G71" s="10">
        <v>1202948785324</v>
      </c>
      <c r="H71" s="10">
        <v>1134459582927</v>
      </c>
      <c r="I71" s="10">
        <v>273924047928</v>
      </c>
      <c r="J71" s="10">
        <v>-68584358484</v>
      </c>
      <c r="K71" s="10">
        <v>-47232938074</v>
      </c>
      <c r="L71" s="10"/>
      <c r="M71" s="10">
        <v>1263343722079</v>
      </c>
      <c r="N71" s="10">
        <v>-57836592852</v>
      </c>
      <c r="O71" s="10">
        <v>797787961359</v>
      </c>
      <c r="P71" s="10">
        <v>8.0695676524295823E-3</v>
      </c>
      <c r="Q71" s="10">
        <v>1</v>
      </c>
      <c r="R71" s="10" t="s">
        <v>240</v>
      </c>
      <c r="S71" s="10">
        <v>-3.1981723145381058E-2</v>
      </c>
      <c r="T71" s="10">
        <v>-4.6438905869086021E-2</v>
      </c>
      <c r="U71" s="10">
        <v>1.936971701551966E-2</v>
      </c>
      <c r="V71" s="10">
        <v>0.22771048216672149</v>
      </c>
    </row>
    <row r="72" spans="1:22" x14ac:dyDescent="0.3">
      <c r="A72" s="10" t="s">
        <v>84</v>
      </c>
      <c r="B72" s="10">
        <v>2022</v>
      </c>
      <c r="C72" s="10">
        <v>-38333897486</v>
      </c>
      <c r="D72" s="10">
        <v>59737861542</v>
      </c>
      <c r="E72" s="10">
        <v>1554795974228</v>
      </c>
      <c r="F72" s="10">
        <v>1195742475346</v>
      </c>
      <c r="G72" s="10">
        <v>1257313269665</v>
      </c>
      <c r="H72" s="10">
        <v>1193566677089</v>
      </c>
      <c r="I72" s="10">
        <v>297482704563</v>
      </c>
      <c r="J72" s="10">
        <v>-9043486400</v>
      </c>
      <c r="K72" s="10">
        <v>2175798257</v>
      </c>
      <c r="L72" s="10"/>
      <c r="M72" s="10">
        <v>1439149115038</v>
      </c>
      <c r="N72" s="10">
        <v>-113952927004</v>
      </c>
      <c r="O72" s="10">
        <v>835168314280</v>
      </c>
      <c r="P72" s="10">
        <v>7.2966963037381455E-2</v>
      </c>
      <c r="Q72" s="10">
        <v>1</v>
      </c>
      <c r="R72" s="10" t="s">
        <v>240</v>
      </c>
      <c r="S72" s="10">
        <v>1.3994107864090299E-3</v>
      </c>
      <c r="T72" s="10">
        <v>-5.8165100436990431E-3</v>
      </c>
      <c r="U72" s="10">
        <v>-2.4655259031677038E-2</v>
      </c>
      <c r="V72" s="10">
        <v>0.2366018968703493</v>
      </c>
    </row>
    <row r="73" spans="1:22" x14ac:dyDescent="0.3">
      <c r="A73" s="10" t="s">
        <v>93</v>
      </c>
      <c r="B73" s="10">
        <v>2025</v>
      </c>
      <c r="C73" s="10">
        <v>164188904430</v>
      </c>
      <c r="D73" s="10">
        <v>173571719242</v>
      </c>
      <c r="E73" s="10">
        <v>3960661246766</v>
      </c>
      <c r="F73" s="10">
        <v>567560235020</v>
      </c>
      <c r="G73" s="10">
        <v>2608694563073</v>
      </c>
      <c r="H73" s="10">
        <v>561027667838</v>
      </c>
      <c r="I73" s="10">
        <v>1344802304047</v>
      </c>
      <c r="J73" s="10">
        <v>-1867369654257</v>
      </c>
      <c r="K73" s="10">
        <v>6532567182</v>
      </c>
      <c r="L73" s="10"/>
      <c r="M73" s="10">
        <v>1741937139009</v>
      </c>
      <c r="N73" s="10">
        <v>-29868955194</v>
      </c>
      <c r="O73" s="10">
        <v>999440057555</v>
      </c>
      <c r="P73" s="10">
        <v>-0.70634235322303018</v>
      </c>
      <c r="Q73" s="10">
        <v>1</v>
      </c>
      <c r="R73" s="10" t="s">
        <v>240</v>
      </c>
      <c r="S73" s="10">
        <v>1.649362764193489E-3</v>
      </c>
      <c r="T73" s="10">
        <v>-0.47147926518122801</v>
      </c>
      <c r="U73" s="10">
        <v>4.1454922347642129E-2</v>
      </c>
      <c r="V73" s="10">
        <v>0.5155077651033414</v>
      </c>
    </row>
    <row r="74" spans="1:22" x14ac:dyDescent="0.3">
      <c r="A74" s="10" t="s">
        <v>93</v>
      </c>
      <c r="B74" s="10">
        <v>2024</v>
      </c>
      <c r="C74" s="10">
        <v>-9344344955</v>
      </c>
      <c r="D74" s="10">
        <v>190252028409</v>
      </c>
      <c r="E74" s="10">
        <v>3867576733424</v>
      </c>
      <c r="F74" s="10">
        <v>516714544081</v>
      </c>
      <c r="G74" s="10">
        <v>2501593394303</v>
      </c>
      <c r="H74" s="10">
        <v>533367481762</v>
      </c>
      <c r="I74" s="10">
        <v>1358406941395</v>
      </c>
      <c r="J74" s="10">
        <v>-1837500699063</v>
      </c>
      <c r="K74" s="10">
        <v>-16652937681</v>
      </c>
      <c r="L74" s="10"/>
      <c r="M74" s="10">
        <v>1070773284944</v>
      </c>
      <c r="N74" s="10">
        <v>-193042953159</v>
      </c>
      <c r="O74" s="10">
        <v>996092626516</v>
      </c>
      <c r="P74" s="10">
        <v>-1.0231530508379789</v>
      </c>
      <c r="Q74" s="10">
        <v>1</v>
      </c>
      <c r="R74" s="10" t="s">
        <v>240</v>
      </c>
      <c r="S74" s="10">
        <v>-4.3057808102638486E-3</v>
      </c>
      <c r="T74" s="10">
        <v>-0.4751038765910261</v>
      </c>
      <c r="U74" s="10">
        <v>-2.4160722848095549E-3</v>
      </c>
      <c r="V74" s="10">
        <v>0.5430166806838258</v>
      </c>
    </row>
    <row r="75" spans="1:22" x14ac:dyDescent="0.3">
      <c r="A75" s="10" t="s">
        <v>93</v>
      </c>
      <c r="B75" s="10">
        <v>2023</v>
      </c>
      <c r="C75" s="10">
        <v>-54739219293</v>
      </c>
      <c r="D75" s="10">
        <v>246417317594</v>
      </c>
      <c r="E75" s="10">
        <v>3656226625457</v>
      </c>
      <c r="F75" s="10">
        <v>271712439754</v>
      </c>
      <c r="G75" s="10">
        <v>2674644786344</v>
      </c>
      <c r="H75" s="10">
        <v>600966231776</v>
      </c>
      <c r="I75" s="10">
        <v>973327156328</v>
      </c>
      <c r="J75" s="10">
        <v>-1644457745904</v>
      </c>
      <c r="K75" s="10">
        <v>-329253792022</v>
      </c>
      <c r="L75" s="10"/>
      <c r="M75" s="10">
        <v>896151775102</v>
      </c>
      <c r="N75" s="10">
        <v>-302478451258</v>
      </c>
      <c r="O75" s="10">
        <v>1964621860776</v>
      </c>
      <c r="P75" s="10">
        <v>-1.7754983763581651</v>
      </c>
      <c r="Q75" s="10">
        <v>1</v>
      </c>
      <c r="R75" s="10" t="s">
        <v>240</v>
      </c>
      <c r="S75" s="10">
        <v>-9.0052894897029487E-2</v>
      </c>
      <c r="T75" s="10">
        <v>-0.44976909649260471</v>
      </c>
      <c r="U75" s="10">
        <v>-1.497150611832165E-2</v>
      </c>
      <c r="V75" s="10">
        <v>0.3639089427117726</v>
      </c>
    </row>
    <row r="76" spans="1:22" x14ac:dyDescent="0.3">
      <c r="A76" s="10" t="s">
        <v>93</v>
      </c>
      <c r="B76" s="10">
        <v>2022</v>
      </c>
      <c r="C76" s="10">
        <v>-51888583742</v>
      </c>
      <c r="D76" s="10">
        <v>228731808998</v>
      </c>
      <c r="E76" s="10">
        <v>3589642467446</v>
      </c>
      <c r="F76" s="10">
        <v>262493584472</v>
      </c>
      <c r="G76" s="10">
        <v>3471237598677</v>
      </c>
      <c r="H76" s="10">
        <v>655779238220</v>
      </c>
      <c r="I76" s="10">
        <v>108773596885</v>
      </c>
      <c r="J76" s="10">
        <v>-1341979294646</v>
      </c>
      <c r="K76" s="10">
        <v>-393285653748</v>
      </c>
      <c r="L76" s="10"/>
      <c r="M76" s="10">
        <v>971541518082</v>
      </c>
      <c r="N76" s="10">
        <v>-300206074060</v>
      </c>
      <c r="O76" s="10">
        <v>2236030686131</v>
      </c>
      <c r="P76" s="10">
        <v>-2.0017006284486141</v>
      </c>
      <c r="Q76" s="10">
        <v>1</v>
      </c>
      <c r="R76" s="10" t="s">
        <v>240</v>
      </c>
      <c r="S76" s="10">
        <v>-0.10956123271736851</v>
      </c>
      <c r="T76" s="10">
        <v>-0.37384762042911951</v>
      </c>
      <c r="U76" s="10">
        <v>-1.4455084096137929E-2</v>
      </c>
      <c r="V76" s="10">
        <v>3.1335681811713811E-2</v>
      </c>
    </row>
    <row r="77" spans="1:22" x14ac:dyDescent="0.3">
      <c r="A77" s="10" t="s">
        <v>95</v>
      </c>
      <c r="B77" s="10">
        <v>2024</v>
      </c>
      <c r="C77" s="10">
        <v>39271177477</v>
      </c>
      <c r="D77" s="10">
        <v>19030126671</v>
      </c>
      <c r="E77" s="10">
        <v>522597302666</v>
      </c>
      <c r="F77" s="10">
        <v>319581242183</v>
      </c>
      <c r="G77" s="10">
        <v>404078499348</v>
      </c>
      <c r="H77" s="10">
        <v>327378643438</v>
      </c>
      <c r="I77" s="10">
        <v>118552487634</v>
      </c>
      <c r="J77" s="10">
        <v>13593755956</v>
      </c>
      <c r="K77" s="10">
        <v>-7797401255</v>
      </c>
      <c r="L77" s="10"/>
      <c r="M77" s="10">
        <v>788428762579</v>
      </c>
      <c r="N77" s="10">
        <v>12916207375</v>
      </c>
      <c r="O77" s="10">
        <v>213475023112</v>
      </c>
      <c r="P77" s="10">
        <v>0.79996189454602096</v>
      </c>
      <c r="Q77" s="10">
        <v>1</v>
      </c>
      <c r="R77" s="10" t="s">
        <v>240</v>
      </c>
      <c r="S77" s="10">
        <v>-1.492047742156725E-2</v>
      </c>
      <c r="T77" s="10">
        <v>2.6011913736738088E-2</v>
      </c>
      <c r="U77" s="10">
        <v>7.5146154173893268E-2</v>
      </c>
      <c r="V77" s="10">
        <v>0.29338974438206961</v>
      </c>
    </row>
    <row r="78" spans="1:22" x14ac:dyDescent="0.3">
      <c r="A78" s="10" t="s">
        <v>95</v>
      </c>
      <c r="B78" s="10">
        <v>2023</v>
      </c>
      <c r="C78" s="10">
        <v>29304939312</v>
      </c>
      <c r="D78" s="10">
        <v>22696486689</v>
      </c>
      <c r="E78" s="10">
        <v>514046461344</v>
      </c>
      <c r="F78" s="10">
        <v>287383790333</v>
      </c>
      <c r="G78" s="10">
        <v>407366435727</v>
      </c>
      <c r="H78" s="10">
        <v>313352436106</v>
      </c>
      <c r="I78" s="10">
        <v>106839092413</v>
      </c>
      <c r="J78" s="10">
        <v>677548581</v>
      </c>
      <c r="K78" s="10">
        <v>-25968645773</v>
      </c>
      <c r="L78" s="10"/>
      <c r="M78" s="10">
        <v>838941159796</v>
      </c>
      <c r="N78" s="10">
        <v>2395122475</v>
      </c>
      <c r="O78" s="10">
        <v>256544658548</v>
      </c>
      <c r="P78" s="10">
        <v>0.33137549763539581</v>
      </c>
      <c r="Q78" s="10">
        <v>1</v>
      </c>
      <c r="R78" s="10" t="s">
        <v>240</v>
      </c>
      <c r="S78" s="10">
        <v>-5.0518090728810167E-2</v>
      </c>
      <c r="T78" s="10">
        <v>1.3180687582762759E-3</v>
      </c>
      <c r="U78" s="10">
        <v>5.700834752442567E-2</v>
      </c>
      <c r="V78" s="10">
        <v>0.26226778409549462</v>
      </c>
    </row>
    <row r="79" spans="1:22" x14ac:dyDescent="0.3">
      <c r="A79" s="10" t="s">
        <v>100</v>
      </c>
      <c r="B79" s="10">
        <v>2025</v>
      </c>
      <c r="C79" s="10">
        <v>287693156944</v>
      </c>
      <c r="D79" s="10">
        <v>129338795090</v>
      </c>
      <c r="E79" s="10">
        <v>4468524262954</v>
      </c>
      <c r="F79" s="10">
        <v>1580518372551</v>
      </c>
      <c r="G79" s="10">
        <v>2722182256543</v>
      </c>
      <c r="H79" s="10">
        <v>2375935036049</v>
      </c>
      <c r="I79" s="10">
        <v>1741269262906</v>
      </c>
      <c r="J79" s="10">
        <v>474571956724</v>
      </c>
      <c r="K79" s="10">
        <v>-795416663498</v>
      </c>
      <c r="L79" s="10"/>
      <c r="M79" s="10">
        <v>4421550007302</v>
      </c>
      <c r="N79" s="10">
        <v>123697661048</v>
      </c>
      <c r="O79" s="10">
        <v>1561313508145</v>
      </c>
      <c r="P79" s="10">
        <v>0.28280458558026561</v>
      </c>
      <c r="Q79" s="10">
        <v>1</v>
      </c>
      <c r="R79" s="10" t="s">
        <v>240</v>
      </c>
      <c r="S79" s="10">
        <v>-0.17800432910085071</v>
      </c>
      <c r="T79" s="10">
        <v>0.10620328520053179</v>
      </c>
      <c r="U79" s="10">
        <v>6.4382140504215396E-2</v>
      </c>
      <c r="V79" s="10">
        <v>0.63965932432360439</v>
      </c>
    </row>
    <row r="80" spans="1:22" x14ac:dyDescent="0.3">
      <c r="A80" s="10" t="s">
        <v>100</v>
      </c>
      <c r="B80" s="10">
        <v>2024</v>
      </c>
      <c r="C80" s="10">
        <v>250945844291</v>
      </c>
      <c r="D80" s="10">
        <v>144097906234</v>
      </c>
      <c r="E80" s="10">
        <v>4501385830768</v>
      </c>
      <c r="F80" s="10">
        <v>1627935460419</v>
      </c>
      <c r="G80" s="10">
        <v>2851025198999</v>
      </c>
      <c r="H80" s="10">
        <v>2244858924455</v>
      </c>
      <c r="I80" s="10">
        <v>1646076831981</v>
      </c>
      <c r="J80" s="10">
        <v>397535137594</v>
      </c>
      <c r="K80" s="10">
        <v>-616923464036</v>
      </c>
      <c r="L80" s="10"/>
      <c r="M80" s="10">
        <v>4367489499567</v>
      </c>
      <c r="N80" s="10">
        <v>86599307623</v>
      </c>
      <c r="O80" s="10">
        <v>1783130507445</v>
      </c>
      <c r="P80" s="10">
        <v>0.36970472713736968</v>
      </c>
      <c r="Q80" s="10">
        <v>1</v>
      </c>
      <c r="R80" s="10" t="s">
        <v>240</v>
      </c>
      <c r="S80" s="10">
        <v>-0.13705189628917991</v>
      </c>
      <c r="T80" s="10">
        <v>8.8313944313939186E-2</v>
      </c>
      <c r="U80" s="10">
        <v>5.5748574711309541E-2</v>
      </c>
      <c r="V80" s="10">
        <v>0.57736312978185544</v>
      </c>
    </row>
    <row r="81" spans="1:22" x14ac:dyDescent="0.3">
      <c r="A81" s="10" t="s">
        <v>100</v>
      </c>
      <c r="B81" s="10">
        <v>2023</v>
      </c>
      <c r="C81" s="10">
        <v>282277232190</v>
      </c>
      <c r="D81" s="10">
        <v>168624187573</v>
      </c>
      <c r="E81" s="10">
        <v>4646378817802</v>
      </c>
      <c r="F81" s="10">
        <v>1735117266203</v>
      </c>
      <c r="G81" s="10">
        <v>3027648359660</v>
      </c>
      <c r="H81" s="10">
        <v>2102124921210</v>
      </c>
      <c r="I81" s="10">
        <v>1544964992431</v>
      </c>
      <c r="J81" s="10">
        <v>320589006573</v>
      </c>
      <c r="K81" s="10">
        <v>-367007655007</v>
      </c>
      <c r="L81" s="10"/>
      <c r="M81" s="10">
        <v>4136181747640</v>
      </c>
      <c r="N81" s="10">
        <v>70463044564</v>
      </c>
      <c r="O81" s="10">
        <v>1875327735349</v>
      </c>
      <c r="P81" s="10">
        <v>0.65082544590574365</v>
      </c>
      <c r="Q81" s="10">
        <v>1</v>
      </c>
      <c r="R81" s="10" t="s">
        <v>240</v>
      </c>
      <c r="S81" s="10">
        <v>-7.898788914947219E-2</v>
      </c>
      <c r="T81" s="10">
        <v>6.8997604186878753E-2</v>
      </c>
      <c r="U81" s="10">
        <v>6.0752091738299777E-2</v>
      </c>
      <c r="V81" s="10">
        <v>0.51028547866255414</v>
      </c>
    </row>
    <row r="82" spans="1:22" x14ac:dyDescent="0.3">
      <c r="A82" s="10" t="s">
        <v>100</v>
      </c>
      <c r="B82" s="10">
        <v>2022</v>
      </c>
      <c r="C82" s="10">
        <v>-746358478269</v>
      </c>
      <c r="D82" s="10">
        <v>170735440804</v>
      </c>
      <c r="E82" s="10">
        <v>4676372045095</v>
      </c>
      <c r="F82" s="10">
        <v>1688505201652</v>
      </c>
      <c r="G82" s="10">
        <v>3142551744669</v>
      </c>
      <c r="H82" s="10">
        <v>1935669493305</v>
      </c>
      <c r="I82" s="10">
        <v>1465534906972</v>
      </c>
      <c r="J82" s="10">
        <v>179331856511</v>
      </c>
      <c r="K82" s="10">
        <v>-247164291653</v>
      </c>
      <c r="L82" s="10"/>
      <c r="M82" s="10">
        <v>3631451490321</v>
      </c>
      <c r="N82" s="10">
        <v>-957025786473</v>
      </c>
      <c r="O82" s="10">
        <v>2313051121124</v>
      </c>
      <c r="P82" s="10">
        <v>-0.80456135874738099</v>
      </c>
      <c r="Q82" s="10">
        <v>1</v>
      </c>
      <c r="R82" s="10" t="s">
        <v>240</v>
      </c>
      <c r="S82" s="10">
        <v>-5.2853855354012769E-2</v>
      </c>
      <c r="T82" s="10">
        <v>3.8348500671391061E-2</v>
      </c>
      <c r="U82" s="10">
        <v>-0.15960203146194241</v>
      </c>
      <c r="V82" s="10">
        <v>0.46635187772424808</v>
      </c>
    </row>
    <row r="83" spans="1:22" x14ac:dyDescent="0.3">
      <c r="A83" s="10" t="s">
        <v>103</v>
      </c>
      <c r="B83" s="10">
        <v>2025</v>
      </c>
      <c r="C83" s="10">
        <v>615468000</v>
      </c>
      <c r="D83" s="10">
        <v>154885000</v>
      </c>
      <c r="E83" s="10">
        <v>2765813000</v>
      </c>
      <c r="F83" s="10">
        <v>585870000</v>
      </c>
      <c r="G83" s="10">
        <v>2040304000</v>
      </c>
      <c r="H83" s="10">
        <v>800529000</v>
      </c>
      <c r="I83" s="10">
        <v>673929000</v>
      </c>
      <c r="J83" s="10">
        <v>-2157337000</v>
      </c>
      <c r="K83" s="10">
        <v>-214659000</v>
      </c>
      <c r="L83" s="10"/>
      <c r="M83" s="10">
        <v>959839000</v>
      </c>
      <c r="N83" s="10">
        <v>325459000</v>
      </c>
      <c r="O83" s="10">
        <v>1090777000</v>
      </c>
      <c r="P83" s="10">
        <v>-1.209730250178187</v>
      </c>
      <c r="Q83" s="10">
        <v>1</v>
      </c>
      <c r="R83" s="10" t="s">
        <v>240</v>
      </c>
      <c r="S83" s="10">
        <v>-7.7611537728689534E-2</v>
      </c>
      <c r="T83" s="10">
        <v>-0.78000103405400145</v>
      </c>
      <c r="U83" s="10">
        <v>0.22252697488948089</v>
      </c>
      <c r="V83" s="10">
        <v>0.33030813055309399</v>
      </c>
    </row>
    <row r="84" spans="1:22" x14ac:dyDescent="0.3">
      <c r="A84" s="10" t="s">
        <v>103</v>
      </c>
      <c r="B84" s="10">
        <v>2024</v>
      </c>
      <c r="C84" s="10">
        <v>11029000</v>
      </c>
      <c r="D84" s="10">
        <v>150109000</v>
      </c>
      <c r="E84" s="10">
        <v>2894616000</v>
      </c>
      <c r="F84" s="10">
        <v>641541000</v>
      </c>
      <c r="G84" s="10">
        <v>2459433000</v>
      </c>
      <c r="H84" s="10">
        <v>2214770000</v>
      </c>
      <c r="I84" s="10">
        <v>392964000</v>
      </c>
      <c r="J84" s="10">
        <v>-2473291000</v>
      </c>
      <c r="K84" s="10">
        <v>-1573229000</v>
      </c>
      <c r="L84" s="10"/>
      <c r="M84" s="10">
        <v>954597000</v>
      </c>
      <c r="N84" s="10">
        <v>-154712000</v>
      </c>
      <c r="O84" s="10">
        <v>1567850000</v>
      </c>
      <c r="P84" s="10">
        <v>-6.1574918346608456</v>
      </c>
      <c r="Q84" s="10">
        <v>1</v>
      </c>
      <c r="R84" s="10" t="s">
        <v>240</v>
      </c>
      <c r="S84" s="10">
        <v>-0.54350179782050534</v>
      </c>
      <c r="T84" s="10">
        <v>-0.85444528738872449</v>
      </c>
      <c r="U84" s="10">
        <v>3.8101772393989391E-3</v>
      </c>
      <c r="V84" s="10">
        <v>0.15977829036204691</v>
      </c>
    </row>
    <row r="85" spans="1:22" x14ac:dyDescent="0.3">
      <c r="A85" s="10" t="s">
        <v>103</v>
      </c>
      <c r="B85" s="10">
        <v>2023</v>
      </c>
      <c r="C85" s="10">
        <v>20983000</v>
      </c>
      <c r="D85" s="10">
        <v>123739000</v>
      </c>
      <c r="E85" s="10">
        <v>2849189000</v>
      </c>
      <c r="F85" s="10">
        <v>671351000</v>
      </c>
      <c r="G85" s="10">
        <v>2352388000</v>
      </c>
      <c r="H85" s="10">
        <v>2161904000</v>
      </c>
      <c r="I85" s="10">
        <v>527828000</v>
      </c>
      <c r="J85" s="10">
        <v>-2325913000</v>
      </c>
      <c r="K85" s="10">
        <v>-1490553000</v>
      </c>
      <c r="L85" s="10"/>
      <c r="M85" s="10">
        <v>1453968000</v>
      </c>
      <c r="N85" s="10">
        <v>-130210000</v>
      </c>
      <c r="O85" s="10">
        <v>1556973000</v>
      </c>
      <c r="P85" s="10">
        <v>-5.8080503830779469</v>
      </c>
      <c r="Q85" s="10">
        <v>1</v>
      </c>
      <c r="R85" s="10" t="s">
        <v>240</v>
      </c>
      <c r="S85" s="10">
        <v>-0.52314992090731782</v>
      </c>
      <c r="T85" s="10">
        <v>-0.81634212402195849</v>
      </c>
      <c r="U85" s="10">
        <v>7.3645518075494461E-3</v>
      </c>
      <c r="V85" s="10">
        <v>0.22437965165610441</v>
      </c>
    </row>
    <row r="86" spans="1:22" x14ac:dyDescent="0.3">
      <c r="A86" s="10" t="s">
        <v>103</v>
      </c>
      <c r="B86" s="10">
        <v>2022</v>
      </c>
      <c r="C86" s="10">
        <v>377752000</v>
      </c>
      <c r="D86" s="10">
        <v>165500000</v>
      </c>
      <c r="E86" s="10">
        <v>3162434000</v>
      </c>
      <c r="F86" s="10">
        <v>1072512000</v>
      </c>
      <c r="G86" s="10">
        <v>2609848000</v>
      </c>
      <c r="H86" s="10">
        <v>2399612000</v>
      </c>
      <c r="I86" s="10">
        <v>594365000</v>
      </c>
      <c r="J86" s="10">
        <v>-2188660000</v>
      </c>
      <c r="K86" s="10">
        <v>-1327100000</v>
      </c>
      <c r="L86" s="10"/>
      <c r="M86" s="10">
        <v>2238533000</v>
      </c>
      <c r="N86" s="10">
        <v>19474000</v>
      </c>
      <c r="O86" s="10">
        <v>1847177000</v>
      </c>
      <c r="P86" s="10">
        <v>-3.9672268493464191</v>
      </c>
      <c r="Q86" s="10">
        <v>1</v>
      </c>
      <c r="R86" s="10" t="s">
        <v>240</v>
      </c>
      <c r="S86" s="10">
        <v>-0.41964512144759392</v>
      </c>
      <c r="T86" s="10">
        <v>-0.69208084658841895</v>
      </c>
      <c r="U86" s="10">
        <v>0.11944976559194601</v>
      </c>
      <c r="V86" s="10">
        <v>0.22773931661920541</v>
      </c>
    </row>
    <row r="87" spans="1:22" x14ac:dyDescent="0.3">
      <c r="A87" s="10" t="s">
        <v>111</v>
      </c>
      <c r="B87" s="10">
        <v>2025</v>
      </c>
      <c r="C87" s="10">
        <v>28244068050</v>
      </c>
      <c r="D87" s="10">
        <v>104754675151</v>
      </c>
      <c r="E87" s="10">
        <v>2725486093336</v>
      </c>
      <c r="F87" s="10">
        <v>945605568807</v>
      </c>
      <c r="G87" s="10">
        <v>2316890776580</v>
      </c>
      <c r="H87" s="10">
        <v>1708329416322</v>
      </c>
      <c r="I87" s="10">
        <v>346851037049</v>
      </c>
      <c r="J87" s="10">
        <v>-132378227998</v>
      </c>
      <c r="K87" s="10">
        <v>-762723847515</v>
      </c>
      <c r="L87" s="10"/>
      <c r="M87" s="10">
        <v>6332064741801</v>
      </c>
      <c r="N87" s="10">
        <v>-48260994016</v>
      </c>
      <c r="O87" s="10">
        <v>2096055267761</v>
      </c>
      <c r="P87" s="10">
        <v>-1.7673179038733531</v>
      </c>
      <c r="Q87" s="10">
        <v>1</v>
      </c>
      <c r="R87" s="10" t="s">
        <v>240</v>
      </c>
      <c r="S87" s="10">
        <v>-0.27984873941566307</v>
      </c>
      <c r="T87" s="10">
        <v>-4.8570502091965839E-2</v>
      </c>
      <c r="U87" s="10">
        <v>1.036294704238583E-2</v>
      </c>
      <c r="V87" s="10">
        <v>0.14970538989368859</v>
      </c>
    </row>
    <row r="88" spans="1:22" x14ac:dyDescent="0.3">
      <c r="A88" s="10" t="s">
        <v>111</v>
      </c>
      <c r="B88" s="10">
        <v>2024</v>
      </c>
      <c r="C88" s="10">
        <v>90332164633</v>
      </c>
      <c r="D88" s="10">
        <v>109691401202</v>
      </c>
      <c r="E88" s="10">
        <v>3073741392825</v>
      </c>
      <c r="F88" s="10">
        <v>1055604862961</v>
      </c>
      <c r="G88" s="10">
        <v>2568849352080</v>
      </c>
      <c r="H88" s="10">
        <v>1804281034857</v>
      </c>
      <c r="I88" s="10">
        <v>442462440391</v>
      </c>
      <c r="J88" s="10">
        <v>-85160621155</v>
      </c>
      <c r="K88" s="10">
        <v>-748676171896</v>
      </c>
      <c r="L88" s="10"/>
      <c r="M88" s="10">
        <v>4685265054372</v>
      </c>
      <c r="N88" s="10">
        <v>-20850947852</v>
      </c>
      <c r="O88" s="10">
        <v>2315271266681</v>
      </c>
      <c r="P88" s="10">
        <v>-1.309807678654098</v>
      </c>
      <c r="Q88" s="10">
        <v>1</v>
      </c>
      <c r="R88" s="10" t="s">
        <v>240</v>
      </c>
      <c r="S88" s="10">
        <v>-0.24357162045044731</v>
      </c>
      <c r="T88" s="10">
        <v>-2.7705851036716841E-2</v>
      </c>
      <c r="U88" s="10">
        <v>2.9388342442816219E-2</v>
      </c>
      <c r="V88" s="10">
        <v>0.17224149015695989</v>
      </c>
    </row>
    <row r="89" spans="1:22" x14ac:dyDescent="0.3">
      <c r="A89" s="10" t="s">
        <v>111</v>
      </c>
      <c r="B89" s="10">
        <v>2023</v>
      </c>
      <c r="C89" s="10">
        <v>-46306859369</v>
      </c>
      <c r="D89" s="10">
        <v>117733374597</v>
      </c>
      <c r="E89" s="10">
        <v>2680206187969</v>
      </c>
      <c r="F89" s="10">
        <v>1425676108473</v>
      </c>
      <c r="G89" s="10">
        <v>2159141552883</v>
      </c>
      <c r="H89" s="10">
        <v>1693114250515</v>
      </c>
      <c r="I89" s="10">
        <v>460466342496</v>
      </c>
      <c r="J89" s="10">
        <v>-64309673303</v>
      </c>
      <c r="K89" s="10">
        <v>-267438142042</v>
      </c>
      <c r="L89" s="10"/>
      <c r="M89" s="10">
        <v>5425478049944</v>
      </c>
      <c r="N89" s="10">
        <v>-152233515056</v>
      </c>
      <c r="O89" s="10">
        <v>1926989986406</v>
      </c>
      <c r="P89" s="10">
        <v>-0.6249727551063804</v>
      </c>
      <c r="Q89" s="10">
        <v>1</v>
      </c>
      <c r="R89" s="10" t="s">
        <v>240</v>
      </c>
      <c r="S89" s="10">
        <v>-9.9782674647378014E-2</v>
      </c>
      <c r="T89" s="10">
        <v>-2.399430073390452E-2</v>
      </c>
      <c r="U89" s="10">
        <v>-1.7277349622153621E-2</v>
      </c>
      <c r="V89" s="10">
        <v>0.2132636194607811</v>
      </c>
    </row>
    <row r="90" spans="1:22" x14ac:dyDescent="0.3">
      <c r="A90" s="10" t="s">
        <v>111</v>
      </c>
      <c r="B90" s="10">
        <v>2022</v>
      </c>
      <c r="C90" s="10">
        <v>88981718478</v>
      </c>
      <c r="D90" s="10">
        <v>95604259344</v>
      </c>
      <c r="E90" s="10">
        <v>2561664000157</v>
      </c>
      <c r="F90" s="10">
        <v>1429234676110</v>
      </c>
      <c r="G90" s="10">
        <v>1916291204140</v>
      </c>
      <c r="H90" s="10">
        <v>1359463510265</v>
      </c>
      <c r="I90" s="10">
        <v>606893257484</v>
      </c>
      <c r="J90" s="10">
        <v>87923841753</v>
      </c>
      <c r="K90" s="10">
        <v>69771165845</v>
      </c>
      <c r="L90" s="10"/>
      <c r="M90" s="10">
        <v>7505700941167</v>
      </c>
      <c r="N90" s="10">
        <v>-20104462276</v>
      </c>
      <c r="O90" s="10">
        <v>1672107582967</v>
      </c>
      <c r="P90" s="10">
        <v>0.85652764712893736</v>
      </c>
      <c r="Q90" s="10">
        <v>1</v>
      </c>
      <c r="R90" s="10" t="s">
        <v>240</v>
      </c>
      <c r="S90" s="10">
        <v>2.7236657828943939E-2</v>
      </c>
      <c r="T90" s="10">
        <v>3.432294077115941E-2</v>
      </c>
      <c r="U90" s="10">
        <v>3.4735905439802588E-2</v>
      </c>
      <c r="V90" s="10">
        <v>0.31670200028724949</v>
      </c>
    </row>
    <row r="91" spans="1:22" x14ac:dyDescent="0.3">
      <c r="A91" s="10" t="s">
        <v>123</v>
      </c>
      <c r="B91" s="10">
        <v>2023</v>
      </c>
      <c r="C91" s="10">
        <v>217788916777</v>
      </c>
      <c r="D91" s="10">
        <v>167036967875</v>
      </c>
      <c r="E91" s="10">
        <v>3672336125308</v>
      </c>
      <c r="F91" s="10">
        <v>635764556733</v>
      </c>
      <c r="G91" s="10">
        <v>2611145323378</v>
      </c>
      <c r="H91" s="10">
        <v>678326799086</v>
      </c>
      <c r="I91" s="10">
        <v>1061184467843</v>
      </c>
      <c r="J91" s="10">
        <v>-381945769757</v>
      </c>
      <c r="K91" s="10">
        <v>-42562242353</v>
      </c>
      <c r="L91" s="10"/>
      <c r="M91" s="10">
        <v>1184580702742</v>
      </c>
      <c r="N91" s="10">
        <v>2093017594</v>
      </c>
      <c r="O91" s="10">
        <v>2105733327987</v>
      </c>
      <c r="P91" s="10">
        <v>0.41016709387653022</v>
      </c>
      <c r="Q91" s="10">
        <v>1</v>
      </c>
      <c r="R91" s="10" t="s">
        <v>240</v>
      </c>
      <c r="S91" s="10">
        <v>-1.1589963690872739E-2</v>
      </c>
      <c r="T91" s="10">
        <v>-0.1040062120470974</v>
      </c>
      <c r="U91" s="10">
        <v>5.9305278532676253E-2</v>
      </c>
      <c r="V91" s="10">
        <v>0.40640574783105582</v>
      </c>
    </row>
    <row r="92" spans="1:22" x14ac:dyDescent="0.3">
      <c r="A92" s="10" t="s">
        <v>123</v>
      </c>
      <c r="B92" s="10">
        <v>2022</v>
      </c>
      <c r="C92" s="10">
        <v>308884080831</v>
      </c>
      <c r="D92" s="10">
        <v>184936375057</v>
      </c>
      <c r="E92" s="10">
        <v>3035284633562</v>
      </c>
      <c r="F92" s="10">
        <v>330696849531</v>
      </c>
      <c r="G92" s="10">
        <v>2405161276788</v>
      </c>
      <c r="H92" s="10">
        <v>337096783702</v>
      </c>
      <c r="I92" s="10">
        <v>630117293247</v>
      </c>
      <c r="J92" s="10">
        <v>-382378937064</v>
      </c>
      <c r="K92" s="10">
        <v>-6399934171</v>
      </c>
      <c r="L92" s="10"/>
      <c r="M92" s="10">
        <v>1134094562861</v>
      </c>
      <c r="N92" s="10">
        <v>70236297960</v>
      </c>
      <c r="O92" s="10">
        <v>2104601624128</v>
      </c>
      <c r="P92" s="10">
        <v>0.53442190502031028</v>
      </c>
      <c r="Q92" s="10">
        <v>1</v>
      </c>
      <c r="R92" s="10" t="s">
        <v>240</v>
      </c>
      <c r="S92" s="10">
        <v>-2.1085120321943191E-3</v>
      </c>
      <c r="T92" s="10">
        <v>-0.125977950415565</v>
      </c>
      <c r="U92" s="10">
        <v>0.10176445313087989</v>
      </c>
      <c r="V92" s="10">
        <v>0.26198546406355638</v>
      </c>
    </row>
    <row r="93" spans="1:22" x14ac:dyDescent="0.3">
      <c r="A93" s="10" t="s">
        <v>125</v>
      </c>
      <c r="B93" s="10">
        <v>2025</v>
      </c>
      <c r="C93" s="10">
        <v>32239746019</v>
      </c>
      <c r="D93" s="10">
        <v>60302104</v>
      </c>
      <c r="E93" s="10">
        <v>2999626692839</v>
      </c>
      <c r="F93" s="10">
        <v>137464162906</v>
      </c>
      <c r="G93" s="10">
        <v>2894126475647</v>
      </c>
      <c r="H93" s="10">
        <v>2893367850002</v>
      </c>
      <c r="I93" s="10">
        <v>105364902399</v>
      </c>
      <c r="J93" s="10">
        <v>25174781986</v>
      </c>
      <c r="K93" s="10">
        <v>-2755903687096</v>
      </c>
      <c r="L93" s="10"/>
      <c r="M93" s="10">
        <v>216588323439</v>
      </c>
      <c r="N93" s="10">
        <v>28578766364</v>
      </c>
      <c r="O93" s="10">
        <v>1150019744</v>
      </c>
      <c r="P93" s="10">
        <v>-5.8891798987759127</v>
      </c>
      <c r="Q93" s="10">
        <v>1</v>
      </c>
      <c r="R93" s="10" t="s">
        <v>240</v>
      </c>
      <c r="S93" s="10">
        <v>-0.91874888754496042</v>
      </c>
      <c r="T93" s="10">
        <v>8.3926383393305853E-3</v>
      </c>
      <c r="U93" s="10">
        <v>1.0747919431429869E-2</v>
      </c>
      <c r="V93" s="10">
        <v>3.6406460908189928E-2</v>
      </c>
    </row>
    <row r="94" spans="1:22" x14ac:dyDescent="0.3">
      <c r="A94" s="10" t="s">
        <v>125</v>
      </c>
      <c r="B94" s="10">
        <v>2022</v>
      </c>
      <c r="C94" s="10">
        <v>3943413979</v>
      </c>
      <c r="D94" s="10">
        <v>1366407967</v>
      </c>
      <c r="E94" s="10">
        <v>43686325854</v>
      </c>
      <c r="F94" s="10">
        <v>10379496268</v>
      </c>
      <c r="G94" s="10">
        <v>37928981754</v>
      </c>
      <c r="H94" s="10">
        <v>26127727446</v>
      </c>
      <c r="I94" s="10">
        <v>5757344100</v>
      </c>
      <c r="J94" s="10">
        <v>-6538187835</v>
      </c>
      <c r="K94" s="10">
        <v>-15748231178</v>
      </c>
      <c r="L94" s="10"/>
      <c r="M94" s="10">
        <v>44150213935</v>
      </c>
      <c r="N94" s="10">
        <v>2052793241</v>
      </c>
      <c r="O94" s="10">
        <v>15429581569</v>
      </c>
      <c r="P94" s="10">
        <v>-2.086701379677717</v>
      </c>
      <c r="Q94" s="10">
        <v>1</v>
      </c>
      <c r="R94" s="10" t="s">
        <v>240</v>
      </c>
      <c r="S94" s="10">
        <v>-0.36048422178213613</v>
      </c>
      <c r="T94" s="10">
        <v>-0.14966211296529419</v>
      </c>
      <c r="U94" s="10">
        <v>9.0266551418833357E-2</v>
      </c>
      <c r="V94" s="10">
        <v>0.1517927409003757</v>
      </c>
    </row>
    <row r="95" spans="1:22" x14ac:dyDescent="0.3">
      <c r="A95" s="10" t="s">
        <v>127</v>
      </c>
      <c r="B95" s="10">
        <v>2024</v>
      </c>
      <c r="C95" s="10">
        <v>-443067386</v>
      </c>
      <c r="D95" s="10">
        <v>7560736</v>
      </c>
      <c r="E95" s="10">
        <v>257608595</v>
      </c>
      <c r="F95" s="10">
        <v>196434201</v>
      </c>
      <c r="G95" s="10">
        <v>378695344</v>
      </c>
      <c r="H95" s="10">
        <v>373887166</v>
      </c>
      <c r="I95" s="10">
        <v>-103647799</v>
      </c>
      <c r="J95" s="10">
        <v>-307366055</v>
      </c>
      <c r="K95" s="10">
        <v>-177452965</v>
      </c>
      <c r="L95" s="10"/>
      <c r="M95" s="10">
        <v>319930644</v>
      </c>
      <c r="N95" s="10">
        <v>-448310037</v>
      </c>
      <c r="O95" s="10">
        <v>336461103</v>
      </c>
      <c r="P95" s="10">
        <v>-20.25378723139066</v>
      </c>
      <c r="Q95" s="10">
        <v>1</v>
      </c>
      <c r="R95" s="10" t="s">
        <v>240</v>
      </c>
      <c r="S95" s="10">
        <v>-0.68884722188714242</v>
      </c>
      <c r="T95" s="10">
        <v>-1.1931513969865799</v>
      </c>
      <c r="U95" s="10">
        <v>-1.7199247020465289</v>
      </c>
      <c r="V95" s="10">
        <v>-0.27369705131626859</v>
      </c>
    </row>
    <row r="96" spans="1:22" x14ac:dyDescent="0.3">
      <c r="A96" s="10" t="s">
        <v>130</v>
      </c>
      <c r="B96" s="10">
        <v>2024</v>
      </c>
      <c r="C96" s="10">
        <v>-297851413000</v>
      </c>
      <c r="D96" s="10">
        <v>59398262000</v>
      </c>
      <c r="E96" s="10">
        <v>1430039358000</v>
      </c>
      <c r="F96" s="10">
        <v>631111980000</v>
      </c>
      <c r="G96" s="10">
        <v>1036917007000</v>
      </c>
      <c r="H96" s="10">
        <v>662944253000</v>
      </c>
      <c r="I96" s="10">
        <v>379753679000</v>
      </c>
      <c r="J96" s="10">
        <v>-376781704000</v>
      </c>
      <c r="K96" s="10">
        <v>-31832273000</v>
      </c>
      <c r="L96" s="10"/>
      <c r="M96" s="10">
        <v>744694626000</v>
      </c>
      <c r="N96" s="10">
        <v>-285069166000</v>
      </c>
      <c r="O96" s="10">
        <v>746288881000</v>
      </c>
      <c r="P96" s="10">
        <v>-2.0200667240765529</v>
      </c>
      <c r="Q96" s="10">
        <v>1</v>
      </c>
      <c r="R96" s="10" t="s">
        <v>240</v>
      </c>
      <c r="S96" s="10">
        <v>-2.2259718113296849E-2</v>
      </c>
      <c r="T96" s="10">
        <v>-0.26347645740810438</v>
      </c>
      <c r="U96" s="10">
        <v>-0.20828196883795139</v>
      </c>
      <c r="V96" s="10">
        <v>0.36623343665536001</v>
      </c>
    </row>
    <row r="97" spans="1:22" x14ac:dyDescent="0.3">
      <c r="A97" s="10" t="s">
        <v>132</v>
      </c>
      <c r="B97" s="10">
        <v>2025</v>
      </c>
      <c r="C97" s="10">
        <v>16902824221</v>
      </c>
      <c r="D97" s="10">
        <v>10681408022</v>
      </c>
      <c r="E97" s="10">
        <v>666983823941</v>
      </c>
      <c r="F97" s="10">
        <v>190909805635</v>
      </c>
      <c r="G97" s="10">
        <v>457256293403</v>
      </c>
      <c r="H97" s="10">
        <v>214972176135</v>
      </c>
      <c r="I97" s="10">
        <v>209727530538</v>
      </c>
      <c r="J97" s="10">
        <v>73113280538</v>
      </c>
      <c r="K97" s="10">
        <v>-24062370500</v>
      </c>
      <c r="L97" s="10"/>
      <c r="M97" s="10">
        <v>582286075568</v>
      </c>
      <c r="N97" s="10">
        <v>4992596226</v>
      </c>
      <c r="O97" s="10">
        <v>107722068763</v>
      </c>
      <c r="P97" s="10">
        <v>0.77259066579299718</v>
      </c>
      <c r="Q97" s="10">
        <v>1</v>
      </c>
      <c r="R97" s="10" t="s">
        <v>240</v>
      </c>
      <c r="S97" s="10">
        <v>-3.6076392914333268E-2</v>
      </c>
      <c r="T97" s="10">
        <v>0.1096177716964654</v>
      </c>
      <c r="U97" s="10">
        <v>2.5342180146328691E-2</v>
      </c>
      <c r="V97" s="10">
        <v>0.45866515904496902</v>
      </c>
    </row>
    <row r="98" spans="1:22" x14ac:dyDescent="0.3">
      <c r="A98" s="10" t="s">
        <v>133</v>
      </c>
      <c r="B98" s="10">
        <v>2025</v>
      </c>
      <c r="C98" s="10">
        <v>-19047404087</v>
      </c>
      <c r="D98" s="10">
        <v>1594489963</v>
      </c>
      <c r="E98" s="10">
        <v>99704884847</v>
      </c>
      <c r="F98" s="10">
        <v>53848945930</v>
      </c>
      <c r="G98" s="10">
        <v>35087697822</v>
      </c>
      <c r="H98" s="10">
        <v>31670366856</v>
      </c>
      <c r="I98" s="10">
        <v>64616965037</v>
      </c>
      <c r="J98" s="10">
        <v>-79250314527</v>
      </c>
      <c r="K98" s="10">
        <v>22178579074</v>
      </c>
      <c r="L98" s="10"/>
      <c r="M98" s="10">
        <v>23860722908</v>
      </c>
      <c r="N98" s="10">
        <v>-17556780739</v>
      </c>
      <c r="O98" s="10">
        <v>7040749067</v>
      </c>
      <c r="P98" s="10">
        <v>-0.48209643338919839</v>
      </c>
      <c r="Q98" s="10">
        <v>1</v>
      </c>
      <c r="R98" s="10" t="s">
        <v>240</v>
      </c>
      <c r="S98" s="10">
        <v>0.22244225153094219</v>
      </c>
      <c r="T98" s="10">
        <v>-0.79484886471321714</v>
      </c>
      <c r="U98" s="10">
        <v>-0.19103782243195791</v>
      </c>
      <c r="V98" s="10">
        <v>1.84158463073873</v>
      </c>
    </row>
    <row r="99" spans="1:22" x14ac:dyDescent="0.3">
      <c r="A99" s="10" t="s">
        <v>135</v>
      </c>
      <c r="B99" s="10">
        <v>2025</v>
      </c>
      <c r="C99" s="10">
        <v>-12843360267</v>
      </c>
      <c r="D99" s="10">
        <v>2322209481</v>
      </c>
      <c r="E99" s="10">
        <v>241270594453</v>
      </c>
      <c r="F99" s="10">
        <v>113343001352</v>
      </c>
      <c r="G99" s="10">
        <v>129587230269</v>
      </c>
      <c r="H99" s="10">
        <v>98990312828</v>
      </c>
      <c r="I99" s="10">
        <v>111683364184</v>
      </c>
      <c r="J99" s="10">
        <v>-77892787572</v>
      </c>
      <c r="K99" s="10">
        <v>14352688524</v>
      </c>
      <c r="L99" s="10"/>
      <c r="M99" s="10">
        <v>156480922291</v>
      </c>
      <c r="N99" s="10">
        <v>-13108430126</v>
      </c>
      <c r="O99" s="10">
        <v>44022827913</v>
      </c>
      <c r="P99" s="10">
        <v>-0.11501996210801819</v>
      </c>
      <c r="Q99" s="10">
        <v>1</v>
      </c>
      <c r="R99" s="10" t="s">
        <v>240</v>
      </c>
      <c r="S99" s="10">
        <v>5.9487931202473712E-2</v>
      </c>
      <c r="T99" s="10">
        <v>-0.32284409854667828</v>
      </c>
      <c r="U99" s="10">
        <v>-5.3232182297714328E-2</v>
      </c>
      <c r="V99" s="10">
        <v>0.86183927191101495</v>
      </c>
    </row>
    <row r="100" spans="1:22" x14ac:dyDescent="0.3">
      <c r="A100" s="10" t="s">
        <v>139</v>
      </c>
      <c r="B100" s="10">
        <v>2025</v>
      </c>
      <c r="C100" s="10">
        <v>-212734515539</v>
      </c>
      <c r="D100" s="10">
        <v>318135674757</v>
      </c>
      <c r="E100" s="10">
        <v>6771130415153</v>
      </c>
      <c r="F100" s="10">
        <v>1421703959797</v>
      </c>
      <c r="G100" s="10">
        <v>5785948933691</v>
      </c>
      <c r="H100" s="10">
        <v>1145961298872</v>
      </c>
      <c r="I100" s="10">
        <v>766989783194</v>
      </c>
      <c r="J100" s="10">
        <v>-424469290908</v>
      </c>
      <c r="K100" s="10">
        <v>275742660925</v>
      </c>
      <c r="L100" s="10"/>
      <c r="M100" s="10">
        <v>2760422051315</v>
      </c>
      <c r="N100" s="10">
        <v>-379670099679</v>
      </c>
      <c r="O100" s="10">
        <v>4841406144338</v>
      </c>
      <c r="P100" s="10">
        <v>-9.1577736059019477E-3</v>
      </c>
      <c r="Q100" s="10">
        <v>1</v>
      </c>
      <c r="R100" s="10" t="s">
        <v>240</v>
      </c>
      <c r="S100" s="10">
        <v>4.0723283117973942E-2</v>
      </c>
      <c r="T100" s="10">
        <v>-6.2688098571855477E-2</v>
      </c>
      <c r="U100" s="10">
        <v>-3.1417873013186243E-2</v>
      </c>
      <c r="V100" s="10">
        <v>0.13256075917433269</v>
      </c>
    </row>
    <row r="101" spans="1:22" x14ac:dyDescent="0.3">
      <c r="A101" s="10" t="s">
        <v>139</v>
      </c>
      <c r="B101" s="10">
        <v>2024</v>
      </c>
      <c r="C101" s="10">
        <v>-100946414708</v>
      </c>
      <c r="D101" s="10">
        <v>212197581540</v>
      </c>
      <c r="E101" s="10">
        <v>5811090528790</v>
      </c>
      <c r="F101" s="10">
        <v>1537057159394</v>
      </c>
      <c r="G101" s="10">
        <v>4771544419392</v>
      </c>
      <c r="H101" s="10">
        <v>1202279394659</v>
      </c>
      <c r="I101" s="10">
        <v>1039539306829</v>
      </c>
      <c r="J101" s="10">
        <v>-44799191229</v>
      </c>
      <c r="K101" s="10">
        <v>334777764735</v>
      </c>
      <c r="L101" s="10"/>
      <c r="M101" s="10">
        <v>1920811832587</v>
      </c>
      <c r="N101" s="10">
        <v>-330246641604</v>
      </c>
      <c r="O101" s="10">
        <v>3866977225295</v>
      </c>
      <c r="P101" s="10">
        <v>0.4648103226502619</v>
      </c>
      <c r="Q101" s="10">
        <v>1</v>
      </c>
      <c r="R101" s="10" t="s">
        <v>240</v>
      </c>
      <c r="S101" s="10">
        <v>5.7610144443010131E-2</v>
      </c>
      <c r="T101" s="10">
        <v>-7.7092571535498349E-3</v>
      </c>
      <c r="U101" s="10">
        <v>-1.737133748095632E-2</v>
      </c>
      <c r="V101" s="10">
        <v>0.21786222980639469</v>
      </c>
    </row>
    <row r="102" spans="1:22" x14ac:dyDescent="0.3">
      <c r="A102" s="10" t="s">
        <v>140</v>
      </c>
      <c r="B102" s="10">
        <v>2025</v>
      </c>
      <c r="C102" s="10">
        <v>-280212908088</v>
      </c>
      <c r="D102" s="10">
        <v>85025780082</v>
      </c>
      <c r="E102" s="10">
        <v>1831679823755</v>
      </c>
      <c r="F102" s="10">
        <v>941763925753</v>
      </c>
      <c r="G102" s="10">
        <v>1561884536250</v>
      </c>
      <c r="H102" s="10">
        <v>260177195135</v>
      </c>
      <c r="I102" s="10">
        <v>258099759948</v>
      </c>
      <c r="J102" s="10">
        <v>-774182020263</v>
      </c>
      <c r="K102" s="10">
        <v>681586730618</v>
      </c>
      <c r="L102" s="10"/>
      <c r="M102" s="10">
        <v>565585284252</v>
      </c>
      <c r="N102" s="10">
        <v>-362020498475</v>
      </c>
      <c r="O102" s="10">
        <v>1326455709737</v>
      </c>
      <c r="P102" s="10">
        <v>0.2086402444561597</v>
      </c>
      <c r="Q102" s="10">
        <v>1</v>
      </c>
      <c r="R102" s="10" t="s">
        <v>240</v>
      </c>
      <c r="S102" s="10">
        <v>0.37211019184604338</v>
      </c>
      <c r="T102" s="10">
        <v>-0.42266230714705533</v>
      </c>
      <c r="U102" s="10">
        <v>-0.15298138050871521</v>
      </c>
      <c r="V102" s="10">
        <v>0.165248937394363</v>
      </c>
    </row>
    <row r="103" spans="1:22" x14ac:dyDescent="0.3">
      <c r="A103" s="10" t="s">
        <v>140</v>
      </c>
      <c r="B103" s="10">
        <v>2024</v>
      </c>
      <c r="C103" s="10">
        <v>-44666173931</v>
      </c>
      <c r="D103" s="10">
        <v>73613626562</v>
      </c>
      <c r="E103" s="10">
        <v>1479209393792</v>
      </c>
      <c r="F103" s="10">
        <v>1294068387890</v>
      </c>
      <c r="G103" s="10">
        <v>1565825907219</v>
      </c>
      <c r="H103" s="10">
        <v>1492605333524</v>
      </c>
      <c r="I103" s="10">
        <v>-103591345449</v>
      </c>
      <c r="J103" s="10">
        <v>-412161521788</v>
      </c>
      <c r="K103" s="10">
        <v>-198536945634</v>
      </c>
      <c r="L103" s="10"/>
      <c r="M103" s="10">
        <v>885524999245</v>
      </c>
      <c r="N103" s="10">
        <v>-111248675298</v>
      </c>
      <c r="O103" s="10">
        <v>1346018918005</v>
      </c>
      <c r="P103" s="10">
        <v>-2.061208965731093</v>
      </c>
      <c r="Q103" s="10">
        <v>1</v>
      </c>
      <c r="R103" s="10" t="s">
        <v>240</v>
      </c>
      <c r="S103" s="10">
        <v>-0.1342182834068166</v>
      </c>
      <c r="T103" s="10">
        <v>-0.27863636042184059</v>
      </c>
      <c r="U103" s="10">
        <v>-3.0195977742202441E-2</v>
      </c>
      <c r="V103" s="10">
        <v>-6.6157639218643663E-2</v>
      </c>
    </row>
    <row r="104" spans="1:22" x14ac:dyDescent="0.3">
      <c r="A104" s="10" t="s">
        <v>140</v>
      </c>
      <c r="B104" s="10">
        <v>2023</v>
      </c>
      <c r="C104" s="10">
        <v>7450670519</v>
      </c>
      <c r="D104" s="10">
        <v>82039364979</v>
      </c>
      <c r="E104" s="10">
        <v>1547052331875</v>
      </c>
      <c r="F104" s="10">
        <v>1343290751374</v>
      </c>
      <c r="G104" s="10">
        <v>1516126328397</v>
      </c>
      <c r="H104" s="10">
        <v>1155504379852</v>
      </c>
      <c r="I104" s="10">
        <v>9265372505</v>
      </c>
      <c r="J104" s="10">
        <v>-300912846490</v>
      </c>
      <c r="K104" s="10">
        <v>187786371522</v>
      </c>
      <c r="L104" s="10"/>
      <c r="M104" s="10">
        <v>868483140503</v>
      </c>
      <c r="N104" s="10">
        <v>-74626202722</v>
      </c>
      <c r="O104" s="10">
        <v>1313693968421</v>
      </c>
      <c r="P104" s="10">
        <v>0.20096172795011119</v>
      </c>
      <c r="Q104" s="10">
        <v>1</v>
      </c>
      <c r="R104" s="10" t="s">
        <v>240</v>
      </c>
      <c r="S104" s="10">
        <v>0.121383335038451</v>
      </c>
      <c r="T104" s="10">
        <v>-0.19450721885102551</v>
      </c>
      <c r="U104" s="10">
        <v>4.8160429776605666E-3</v>
      </c>
      <c r="V104" s="10">
        <v>6.1112140403209517E-3</v>
      </c>
    </row>
    <row r="105" spans="1:22" x14ac:dyDescent="0.3">
      <c r="A105" s="10" t="s">
        <v>140</v>
      </c>
      <c r="B105" s="10">
        <v>2022</v>
      </c>
      <c r="C105" s="10">
        <v>1803869656</v>
      </c>
      <c r="D105" s="10">
        <v>68031529252</v>
      </c>
      <c r="E105" s="10">
        <v>1661297872791</v>
      </c>
      <c r="F105" s="10">
        <v>1430195053524</v>
      </c>
      <c r="G105" s="10">
        <v>1552521081686</v>
      </c>
      <c r="H105" s="10">
        <v>1189697176680</v>
      </c>
      <c r="I105" s="10">
        <v>85618898084</v>
      </c>
      <c r="J105" s="10">
        <v>-226286643769</v>
      </c>
      <c r="K105" s="10">
        <v>240497876844</v>
      </c>
      <c r="L105" s="10"/>
      <c r="M105" s="10">
        <v>1214494538430</v>
      </c>
      <c r="N105" s="10">
        <v>-64988406391</v>
      </c>
      <c r="O105" s="10">
        <v>1335210028696</v>
      </c>
      <c r="P105" s="10">
        <v>0.57081410496026286</v>
      </c>
      <c r="Q105" s="10">
        <v>1</v>
      </c>
      <c r="R105" s="10" t="s">
        <v>240</v>
      </c>
      <c r="S105" s="10">
        <v>0.14476505434871881</v>
      </c>
      <c r="T105" s="10">
        <v>-0.13621075875383851</v>
      </c>
      <c r="U105" s="10">
        <v>1.0858195183079829E-3</v>
      </c>
      <c r="V105" s="10">
        <v>5.5148299816334838E-2</v>
      </c>
    </row>
    <row r="106" spans="1:22" x14ac:dyDescent="0.3">
      <c r="A106" s="10" t="s">
        <v>141</v>
      </c>
      <c r="B106" s="10">
        <v>2024</v>
      </c>
      <c r="C106" s="10">
        <v>57844558230</v>
      </c>
      <c r="D106" s="10">
        <v>27715305073</v>
      </c>
      <c r="E106" s="10">
        <v>636970180207</v>
      </c>
      <c r="F106" s="10">
        <v>548447627267</v>
      </c>
      <c r="G106" s="10">
        <v>572010868797</v>
      </c>
      <c r="H106" s="10">
        <v>534493362167</v>
      </c>
      <c r="I106" s="10">
        <v>64327935025</v>
      </c>
      <c r="J106" s="10">
        <v>34400894562</v>
      </c>
      <c r="K106" s="10">
        <v>13954265100</v>
      </c>
      <c r="L106" s="10"/>
      <c r="M106" s="10">
        <v>530380755775</v>
      </c>
      <c r="N106" s="10">
        <v>23178055983</v>
      </c>
      <c r="O106" s="10">
        <v>481192044306</v>
      </c>
      <c r="P106" s="10">
        <v>1.0481137437198109</v>
      </c>
      <c r="Q106" s="10">
        <v>1</v>
      </c>
      <c r="R106" s="10" t="s">
        <v>240</v>
      </c>
      <c r="S106" s="10">
        <v>2.1907250187858399E-2</v>
      </c>
      <c r="T106" s="10">
        <v>5.4007072278988849E-2</v>
      </c>
      <c r="U106" s="10">
        <v>9.0812034891809071E-2</v>
      </c>
      <c r="V106" s="10">
        <v>0.1124592879857135</v>
      </c>
    </row>
    <row r="107" spans="1:22" x14ac:dyDescent="0.3">
      <c r="A107" s="10" t="s">
        <v>141</v>
      </c>
      <c r="B107" s="10">
        <v>2023</v>
      </c>
      <c r="C107" s="10">
        <v>41498282904</v>
      </c>
      <c r="D107" s="10">
        <v>25268862982</v>
      </c>
      <c r="E107" s="10">
        <v>494985239718</v>
      </c>
      <c r="F107" s="10">
        <v>392071174555</v>
      </c>
      <c r="G107" s="10">
        <v>456084615082</v>
      </c>
      <c r="H107" s="10">
        <v>406129634488</v>
      </c>
      <c r="I107" s="10">
        <v>38576025291</v>
      </c>
      <c r="J107" s="10">
        <v>25075001842</v>
      </c>
      <c r="K107" s="10">
        <v>-14058459933</v>
      </c>
      <c r="L107" s="10"/>
      <c r="M107" s="10">
        <v>467950155401</v>
      </c>
      <c r="N107" s="10">
        <v>12486082293</v>
      </c>
      <c r="O107" s="10">
        <v>394547058045</v>
      </c>
      <c r="P107" s="10">
        <v>0.63102701216571166</v>
      </c>
      <c r="Q107" s="10">
        <v>1</v>
      </c>
      <c r="R107" s="10" t="s">
        <v>240</v>
      </c>
      <c r="S107" s="10">
        <v>-2.8401776063078771E-2</v>
      </c>
      <c r="T107" s="10">
        <v>5.0658079938475688E-2</v>
      </c>
      <c r="U107" s="10">
        <v>8.3837414884617878E-2</v>
      </c>
      <c r="V107" s="10">
        <v>8.4580851919471942E-2</v>
      </c>
    </row>
    <row r="108" spans="1:22" x14ac:dyDescent="0.3">
      <c r="A108" s="10" t="s">
        <v>141</v>
      </c>
      <c r="B108" s="10">
        <v>2022</v>
      </c>
      <c r="C108" s="10">
        <v>32241921715</v>
      </c>
      <c r="D108" s="10">
        <v>19376708437</v>
      </c>
      <c r="E108" s="10">
        <v>439284057006</v>
      </c>
      <c r="F108" s="10">
        <v>333711196156</v>
      </c>
      <c r="G108" s="10">
        <v>413031225921</v>
      </c>
      <c r="H108" s="10">
        <v>381370342349</v>
      </c>
      <c r="I108" s="10">
        <v>26084298377</v>
      </c>
      <c r="J108" s="10">
        <v>17635074149</v>
      </c>
      <c r="K108" s="10">
        <v>-47659146193</v>
      </c>
      <c r="L108" s="10"/>
      <c r="M108" s="10">
        <v>379455627571</v>
      </c>
      <c r="N108" s="10">
        <v>9989921411</v>
      </c>
      <c r="O108" s="10">
        <v>376269347070</v>
      </c>
      <c r="P108" s="10">
        <v>-2.1304161781173489E-2</v>
      </c>
      <c r="Q108" s="10">
        <v>1</v>
      </c>
      <c r="R108" s="10" t="s">
        <v>240</v>
      </c>
      <c r="S108" s="10">
        <v>-0.108492774624755</v>
      </c>
      <c r="T108" s="10">
        <v>4.014503569556846E-2</v>
      </c>
      <c r="U108" s="10">
        <v>7.3396521455272437E-2</v>
      </c>
      <c r="V108" s="10">
        <v>6.3153332581176599E-2</v>
      </c>
    </row>
    <row r="109" spans="1:22" x14ac:dyDescent="0.3">
      <c r="A109" s="10" t="s">
        <v>148</v>
      </c>
      <c r="B109" s="10">
        <v>2025</v>
      </c>
      <c r="C109" s="10">
        <v>7278598817</v>
      </c>
      <c r="D109" s="10">
        <v>48639230051</v>
      </c>
      <c r="E109" s="10">
        <v>1569197460365</v>
      </c>
      <c r="F109" s="10">
        <v>687763151181</v>
      </c>
      <c r="G109" s="10">
        <v>2256613426882</v>
      </c>
      <c r="H109" s="10">
        <v>1821585075379</v>
      </c>
      <c r="I109" s="10">
        <v>-763526872554</v>
      </c>
      <c r="J109" s="10">
        <v>-78271390052</v>
      </c>
      <c r="K109" s="10">
        <v>-1133821924198</v>
      </c>
      <c r="L109" s="10"/>
      <c r="M109" s="10">
        <v>534021405626</v>
      </c>
      <c r="N109" s="10">
        <v>-43087994671</v>
      </c>
      <c r="O109" s="10">
        <v>953848601602</v>
      </c>
      <c r="P109" s="10">
        <v>-5.2266274268865809</v>
      </c>
      <c r="Q109" s="10">
        <v>1</v>
      </c>
      <c r="R109" s="10" t="s">
        <v>240</v>
      </c>
      <c r="S109" s="10">
        <v>-0.72254891614103789</v>
      </c>
      <c r="T109" s="10">
        <v>-4.9879885756247563E-2</v>
      </c>
      <c r="U109" s="10">
        <v>4.6384212317721798E-3</v>
      </c>
      <c r="V109" s="10">
        <v>-0.33835076201287062</v>
      </c>
    </row>
    <row r="110" spans="1:22" x14ac:dyDescent="0.3">
      <c r="A110" s="10" t="s">
        <v>148</v>
      </c>
      <c r="B110" s="10">
        <v>2024</v>
      </c>
      <c r="C110" s="10">
        <v>30237491390</v>
      </c>
      <c r="D110" s="10">
        <v>49006817292</v>
      </c>
      <c r="E110" s="10">
        <v>806899523671</v>
      </c>
      <c r="F110" s="10">
        <v>211209244654</v>
      </c>
      <c r="G110" s="10">
        <v>1452954863010</v>
      </c>
      <c r="H110" s="10">
        <v>1243690269789</v>
      </c>
      <c r="I110" s="10">
        <v>-720293836665</v>
      </c>
      <c r="J110" s="10">
        <v>-35038354163</v>
      </c>
      <c r="K110" s="10">
        <v>-1032481025135</v>
      </c>
      <c r="L110" s="10"/>
      <c r="M110" s="10">
        <v>435143362568</v>
      </c>
      <c r="N110" s="10">
        <v>-30960092762</v>
      </c>
      <c r="O110" s="10">
        <v>1009809122302</v>
      </c>
      <c r="P110" s="10">
        <v>-8.8042202180383065</v>
      </c>
      <c r="Q110" s="10">
        <v>1</v>
      </c>
      <c r="R110" s="10" t="s">
        <v>240</v>
      </c>
      <c r="S110" s="10">
        <v>-1.2795657883619931</v>
      </c>
      <c r="T110" s="10">
        <v>-4.342344137668163E-2</v>
      </c>
      <c r="U110" s="10">
        <v>3.7473676093442383E-2</v>
      </c>
      <c r="V110" s="10">
        <v>-0.49574412461293538</v>
      </c>
    </row>
    <row r="111" spans="1:22" x14ac:dyDescent="0.3">
      <c r="A111" s="10" t="s">
        <v>148</v>
      </c>
      <c r="B111" s="10">
        <v>2023</v>
      </c>
      <c r="C111" s="10">
        <v>14366856167</v>
      </c>
      <c r="D111" s="10">
        <v>19547188867</v>
      </c>
      <c r="E111" s="10">
        <v>596476287836</v>
      </c>
      <c r="F111" s="10">
        <v>128477450069</v>
      </c>
      <c r="G111" s="10">
        <v>1220048412263</v>
      </c>
      <c r="H111" s="10">
        <v>1013816502571</v>
      </c>
      <c r="I111" s="10">
        <v>-689955339428</v>
      </c>
      <c r="J111" s="10">
        <v>-4699856926</v>
      </c>
      <c r="K111" s="10">
        <v>-885339052502</v>
      </c>
      <c r="L111" s="10"/>
      <c r="M111" s="10">
        <v>297411483210</v>
      </c>
      <c r="N111" s="10">
        <v>-16493526203</v>
      </c>
      <c r="O111" s="10">
        <v>962594735076</v>
      </c>
      <c r="P111" s="10">
        <v>-10.19450814246219</v>
      </c>
      <c r="Q111" s="10">
        <v>1</v>
      </c>
      <c r="R111" s="10" t="s">
        <v>240</v>
      </c>
      <c r="S111" s="10">
        <v>-1.484282058745346</v>
      </c>
      <c r="T111" s="10">
        <v>-7.8793692588366836E-3</v>
      </c>
      <c r="U111" s="10">
        <v>2.4086215093516241E-2</v>
      </c>
      <c r="V111" s="10">
        <v>-0.56551472260698266</v>
      </c>
    </row>
    <row r="112" spans="1:22" x14ac:dyDescent="0.3">
      <c r="A112" s="10" t="s">
        <v>149</v>
      </c>
      <c r="B112" s="10">
        <v>2025</v>
      </c>
      <c r="C112" s="10">
        <v>114416000000</v>
      </c>
      <c r="D112" s="10">
        <v>59376000000</v>
      </c>
      <c r="E112" s="10">
        <v>2886577000000</v>
      </c>
      <c r="F112" s="10">
        <v>1588123000000</v>
      </c>
      <c r="G112" s="10">
        <v>1648217000000</v>
      </c>
      <c r="H112" s="10">
        <v>1263869000000</v>
      </c>
      <c r="I112" s="10">
        <v>1238360000000</v>
      </c>
      <c r="J112" s="10">
        <v>-680597000000</v>
      </c>
      <c r="K112" s="10">
        <v>324254000000</v>
      </c>
      <c r="L112" s="10"/>
      <c r="M112" s="10">
        <v>5441546000000</v>
      </c>
      <c r="N112" s="10">
        <v>29326000000</v>
      </c>
      <c r="O112" s="10">
        <v>599105000000</v>
      </c>
      <c r="P112" s="10">
        <v>1.023515205034667</v>
      </c>
      <c r="Q112" s="10">
        <v>1</v>
      </c>
      <c r="R112" s="10" t="s">
        <v>240</v>
      </c>
      <c r="S112" s="10">
        <v>0.11233166480575441</v>
      </c>
      <c r="T112" s="10">
        <v>-0.23577995667532861</v>
      </c>
      <c r="U112" s="10">
        <v>3.9637258940260392E-2</v>
      </c>
      <c r="V112" s="10">
        <v>0.75133310723041935</v>
      </c>
    </row>
    <row r="113" spans="1:22" x14ac:dyDescent="0.3">
      <c r="A113" s="10" t="s">
        <v>149</v>
      </c>
      <c r="B113" s="10">
        <v>2024</v>
      </c>
      <c r="C113" s="10">
        <v>84168000000</v>
      </c>
      <c r="D113" s="10">
        <v>68319000000</v>
      </c>
      <c r="E113" s="10">
        <v>3119496000000</v>
      </c>
      <c r="F113" s="10">
        <v>1822892000000</v>
      </c>
      <c r="G113" s="10">
        <v>1915653000000</v>
      </c>
      <c r="H113" s="10">
        <v>1790792000000</v>
      </c>
      <c r="I113" s="10">
        <v>1203843000000</v>
      </c>
      <c r="J113" s="10">
        <v>-709258000000</v>
      </c>
      <c r="K113" s="10">
        <v>32100000000</v>
      </c>
      <c r="L113" s="10"/>
      <c r="M113" s="10">
        <v>5360755000000</v>
      </c>
      <c r="N113" s="10">
        <v>3325000000</v>
      </c>
      <c r="O113" s="10">
        <v>1024098000000</v>
      </c>
      <c r="P113" s="10">
        <v>0.16745958424796961</v>
      </c>
      <c r="Q113" s="10">
        <v>1</v>
      </c>
      <c r="R113" s="10" t="s">
        <v>240</v>
      </c>
      <c r="S113" s="10">
        <v>1.0290123789227491E-2</v>
      </c>
      <c r="T113" s="10">
        <v>-0.22736300992211561</v>
      </c>
      <c r="U113" s="10">
        <v>2.6981281591641731E-2</v>
      </c>
      <c r="V113" s="10">
        <v>0.62842435451514445</v>
      </c>
    </row>
    <row r="114" spans="1:22" x14ac:dyDescent="0.3">
      <c r="A114" s="10" t="s">
        <v>149</v>
      </c>
      <c r="B114" s="10">
        <v>2023</v>
      </c>
      <c r="C114" s="10">
        <v>27654000000</v>
      </c>
      <c r="D114" s="10">
        <v>69647000000</v>
      </c>
      <c r="E114" s="10">
        <v>3281471000000</v>
      </c>
      <c r="F114" s="10">
        <v>2122106000000</v>
      </c>
      <c r="G114" s="10">
        <v>2088422000000</v>
      </c>
      <c r="H114" s="10">
        <v>1949230000000</v>
      </c>
      <c r="I114" s="10">
        <v>1193049000000</v>
      </c>
      <c r="J114" s="10">
        <v>-712583000000</v>
      </c>
      <c r="K114" s="10">
        <v>172876000000</v>
      </c>
      <c r="L114" s="10"/>
      <c r="M114" s="10">
        <v>6091342000000</v>
      </c>
      <c r="N114" s="10">
        <v>-17315000000</v>
      </c>
      <c r="O114" s="10">
        <v>1078378000000</v>
      </c>
      <c r="P114" s="10">
        <v>0.29413966066547043</v>
      </c>
      <c r="Q114" s="10">
        <v>1</v>
      </c>
      <c r="R114" s="10" t="s">
        <v>240</v>
      </c>
      <c r="S114" s="10">
        <v>5.2682470757779057E-2</v>
      </c>
      <c r="T114" s="10">
        <v>-0.21715352657390541</v>
      </c>
      <c r="U114" s="10">
        <v>8.4273181143456697E-3</v>
      </c>
      <c r="V114" s="10">
        <v>0.57126816323520824</v>
      </c>
    </row>
    <row r="115" spans="1:22" x14ac:dyDescent="0.3">
      <c r="A115" s="10" t="s">
        <v>149</v>
      </c>
      <c r="B115" s="10">
        <v>2022</v>
      </c>
      <c r="C115" s="10">
        <v>-136959000000</v>
      </c>
      <c r="D115" s="10">
        <v>72090000000</v>
      </c>
      <c r="E115" s="10">
        <v>3002424000000</v>
      </c>
      <c r="F115" s="10">
        <v>1897751000000</v>
      </c>
      <c r="G115" s="10">
        <v>2300107000000</v>
      </c>
      <c r="H115" s="10">
        <v>2174878000000</v>
      </c>
      <c r="I115" s="10">
        <v>702317000000</v>
      </c>
      <c r="J115" s="10">
        <v>-694966000000</v>
      </c>
      <c r="K115" s="10">
        <v>-277127000000</v>
      </c>
      <c r="L115" s="10"/>
      <c r="M115" s="10">
        <v>6047203000000</v>
      </c>
      <c r="N115" s="10">
        <v>-218103000000</v>
      </c>
      <c r="O115" s="10">
        <v>1223402000000</v>
      </c>
      <c r="P115" s="10">
        <v>-1.346014226174135</v>
      </c>
      <c r="Q115" s="10">
        <v>1</v>
      </c>
      <c r="R115" s="10" t="s">
        <v>240</v>
      </c>
      <c r="S115" s="10">
        <v>-9.2301087388057118E-2</v>
      </c>
      <c r="T115" s="10">
        <v>-0.23146830694132481</v>
      </c>
      <c r="U115" s="10">
        <v>-4.5616142157137031E-2</v>
      </c>
      <c r="V115" s="10">
        <v>0.30534101239637979</v>
      </c>
    </row>
    <row r="116" spans="1:22" x14ac:dyDescent="0.3">
      <c r="A116" s="10" t="s">
        <v>160</v>
      </c>
      <c r="B116" s="10">
        <v>2025</v>
      </c>
      <c r="C116" s="10">
        <v>717642169</v>
      </c>
      <c r="D116" s="10"/>
      <c r="E116" s="10">
        <v>367028982980</v>
      </c>
      <c r="F116" s="10">
        <v>181354615581</v>
      </c>
      <c r="G116" s="10">
        <v>165777240938</v>
      </c>
      <c r="H116" s="10">
        <v>130169906988</v>
      </c>
      <c r="I116" s="10">
        <v>201251742042</v>
      </c>
      <c r="J116" s="10">
        <v>-170211281609</v>
      </c>
      <c r="K116" s="10">
        <v>51184708593</v>
      </c>
      <c r="L116" s="10"/>
      <c r="M116" s="10">
        <v>274483465010</v>
      </c>
      <c r="N116" s="10">
        <v>-19074957275</v>
      </c>
      <c r="O116" s="10"/>
      <c r="P116" s="10">
        <v>0.69082571532682813</v>
      </c>
      <c r="Q116" s="10">
        <v>1</v>
      </c>
      <c r="R116" s="10" t="s">
        <v>240</v>
      </c>
      <c r="S116" s="10">
        <v>0.13945685754138151</v>
      </c>
      <c r="T116" s="10">
        <v>-0.46375433413190448</v>
      </c>
      <c r="U116" s="10">
        <v>1.9552738401563928E-3</v>
      </c>
      <c r="V116" s="10">
        <v>1.213988970399545</v>
      </c>
    </row>
    <row r="117" spans="1:22" x14ac:dyDescent="0.3">
      <c r="A117" s="10" t="s">
        <v>160</v>
      </c>
      <c r="B117" s="10">
        <v>2024</v>
      </c>
      <c r="C117" s="10">
        <v>-9785100207</v>
      </c>
      <c r="D117" s="10"/>
      <c r="E117" s="10">
        <v>397551814020</v>
      </c>
      <c r="F117" s="10">
        <v>207379449454</v>
      </c>
      <c r="G117" s="10">
        <v>177741744350</v>
      </c>
      <c r="H117" s="10">
        <v>144555383478</v>
      </c>
      <c r="I117" s="10">
        <v>219810069670</v>
      </c>
      <c r="J117" s="10">
        <v>-151136324334</v>
      </c>
      <c r="K117" s="10">
        <v>62824065976</v>
      </c>
      <c r="L117" s="10"/>
      <c r="M117" s="10">
        <v>235863387767</v>
      </c>
      <c r="N117" s="10">
        <v>-17985743148</v>
      </c>
      <c r="O117" s="10"/>
      <c r="P117" s="10">
        <v>0.93042749759726873</v>
      </c>
      <c r="Q117" s="10">
        <v>1</v>
      </c>
      <c r="R117" s="10" t="s">
        <v>240</v>
      </c>
      <c r="S117" s="10">
        <v>0.15802736589409561</v>
      </c>
      <c r="T117" s="10">
        <v>-0.38016761338786559</v>
      </c>
      <c r="U117" s="10">
        <v>-2.461339594467989E-2</v>
      </c>
      <c r="V117" s="10">
        <v>1.2366823025949449</v>
      </c>
    </row>
    <row r="118" spans="1:22" x14ac:dyDescent="0.3">
      <c r="A118" s="10" t="s">
        <v>162</v>
      </c>
      <c r="B118" s="10">
        <v>2022</v>
      </c>
      <c r="C118" s="10">
        <v>13597064553</v>
      </c>
      <c r="D118" s="10">
        <v>4337424986</v>
      </c>
      <c r="E118" s="10">
        <v>39243837039</v>
      </c>
      <c r="F118" s="10">
        <v>29377361239</v>
      </c>
      <c r="G118" s="10">
        <v>67334507045</v>
      </c>
      <c r="H118" s="10">
        <v>31603965509</v>
      </c>
      <c r="I118" s="10">
        <v>-32158228277</v>
      </c>
      <c r="J118" s="10">
        <v>-87352720521</v>
      </c>
      <c r="K118" s="10">
        <v>-2226604270</v>
      </c>
      <c r="L118" s="10"/>
      <c r="M118" s="10">
        <v>30937826688</v>
      </c>
      <c r="N118" s="10">
        <v>4556617094</v>
      </c>
      <c r="O118" s="10">
        <v>53368664636</v>
      </c>
      <c r="P118" s="10">
        <v>-5.8017688269047092</v>
      </c>
      <c r="Q118" s="10">
        <v>1</v>
      </c>
      <c r="R118" s="10" t="s">
        <v>240</v>
      </c>
      <c r="S118" s="10">
        <v>-5.6737680053742717E-2</v>
      </c>
      <c r="T118" s="10">
        <v>-2.2258965257191861</v>
      </c>
      <c r="U118" s="10">
        <v>0.34647642990381949</v>
      </c>
      <c r="V118" s="10">
        <v>-0.47758912462979031</v>
      </c>
    </row>
    <row r="119" spans="1:22" x14ac:dyDescent="0.3">
      <c r="A119" s="10" t="s">
        <v>164</v>
      </c>
      <c r="B119" s="10">
        <v>2025</v>
      </c>
      <c r="C119" s="10">
        <v>-3477515</v>
      </c>
      <c r="D119" s="10">
        <v>516701</v>
      </c>
      <c r="E119" s="10">
        <v>45899051</v>
      </c>
      <c r="F119" s="10">
        <v>10508752</v>
      </c>
      <c r="G119" s="10">
        <v>32486160</v>
      </c>
      <c r="H119" s="10">
        <v>26011904</v>
      </c>
      <c r="I119" s="10">
        <v>13415223</v>
      </c>
      <c r="J119" s="10">
        <v>-249671398</v>
      </c>
      <c r="K119" s="10">
        <v>-15503152</v>
      </c>
      <c r="L119" s="10"/>
      <c r="M119" s="10">
        <v>16443817</v>
      </c>
      <c r="N119" s="10">
        <v>-3625604</v>
      </c>
      <c r="O119" s="10">
        <v>7481613</v>
      </c>
      <c r="P119" s="10">
        <v>-20.024303505398429</v>
      </c>
      <c r="Q119" s="10">
        <v>1</v>
      </c>
      <c r="R119" s="10" t="s">
        <v>240</v>
      </c>
      <c r="S119" s="10">
        <v>-0.3377662862789908</v>
      </c>
      <c r="T119" s="10">
        <v>-5.4395764740321102</v>
      </c>
      <c r="U119" s="10">
        <v>-7.5764420488780918E-2</v>
      </c>
      <c r="V119" s="10">
        <v>0.41295194630574988</v>
      </c>
    </row>
    <row r="120" spans="1:22" x14ac:dyDescent="0.3">
      <c r="A120" s="10" t="s">
        <v>164</v>
      </c>
      <c r="B120" s="10">
        <v>2024</v>
      </c>
      <c r="C120" s="10">
        <v>-6654450</v>
      </c>
      <c r="D120" s="10">
        <v>149843</v>
      </c>
      <c r="E120" s="10">
        <v>45868347</v>
      </c>
      <c r="F120" s="10">
        <v>9487695</v>
      </c>
      <c r="G120" s="10">
        <v>29359762</v>
      </c>
      <c r="H120" s="10">
        <v>22646857</v>
      </c>
      <c r="I120" s="10">
        <v>16511013</v>
      </c>
      <c r="J120" s="10">
        <v>-246045794</v>
      </c>
      <c r="K120" s="10">
        <v>-13159162</v>
      </c>
      <c r="L120" s="10"/>
      <c r="M120" s="10">
        <v>1293162</v>
      </c>
      <c r="N120" s="10">
        <v>-11469965</v>
      </c>
      <c r="O120" s="10">
        <v>6956547</v>
      </c>
      <c r="P120" s="10">
        <v>-19.753635843488929</v>
      </c>
      <c r="Q120" s="10">
        <v>1</v>
      </c>
      <c r="R120" s="10" t="s">
        <v>240</v>
      </c>
      <c r="S120" s="10">
        <v>-0.28688982404358282</v>
      </c>
      <c r="T120" s="10">
        <v>-5.3641739912711479</v>
      </c>
      <c r="U120" s="10">
        <v>-0.1450771705376695</v>
      </c>
      <c r="V120" s="10">
        <v>0.56236876170862693</v>
      </c>
    </row>
    <row r="121" spans="1:22" x14ac:dyDescent="0.3">
      <c r="A121" s="10" t="s">
        <v>164</v>
      </c>
      <c r="B121" s="10">
        <v>2023</v>
      </c>
      <c r="C121" s="10">
        <v>-15102685</v>
      </c>
      <c r="D121" s="10">
        <v>1476488</v>
      </c>
      <c r="E121" s="10">
        <v>53030906</v>
      </c>
      <c r="F121" s="10">
        <v>10985382</v>
      </c>
      <c r="G121" s="10">
        <v>44067401</v>
      </c>
      <c r="H121" s="10">
        <v>42594070</v>
      </c>
      <c r="I121" s="10">
        <v>8966055</v>
      </c>
      <c r="J121" s="10">
        <v>-234575829</v>
      </c>
      <c r="K121" s="10">
        <v>-31608688</v>
      </c>
      <c r="L121" s="10"/>
      <c r="M121" s="10">
        <v>15510443</v>
      </c>
      <c r="N121" s="10">
        <v>-14128330</v>
      </c>
      <c r="O121" s="10">
        <v>9764618</v>
      </c>
      <c r="P121" s="10">
        <v>-20.030413191672469</v>
      </c>
      <c r="Q121" s="10">
        <v>1</v>
      </c>
      <c r="R121" s="10" t="s">
        <v>240</v>
      </c>
      <c r="S121" s="10">
        <v>-0.59604276796628741</v>
      </c>
      <c r="T121" s="10">
        <v>-4.4233796231955758</v>
      </c>
      <c r="U121" s="10">
        <v>-0.28479025042491263</v>
      </c>
      <c r="V121" s="10">
        <v>0.20346230538987309</v>
      </c>
    </row>
    <row r="122" spans="1:22" x14ac:dyDescent="0.3">
      <c r="A122" s="10" t="s">
        <v>164</v>
      </c>
      <c r="B122" s="10">
        <v>2022</v>
      </c>
      <c r="C122" s="10">
        <v>40387352</v>
      </c>
      <c r="D122" s="10">
        <v>2499927</v>
      </c>
      <c r="E122" s="10">
        <v>61550680</v>
      </c>
      <c r="F122" s="10">
        <v>20560030</v>
      </c>
      <c r="G122" s="10">
        <v>39255820</v>
      </c>
      <c r="H122" s="10">
        <v>37245050</v>
      </c>
      <c r="I122" s="10">
        <v>22297114</v>
      </c>
      <c r="J122" s="10">
        <v>-220447499</v>
      </c>
      <c r="K122" s="10">
        <v>-16685020</v>
      </c>
      <c r="L122" s="10"/>
      <c r="M122" s="10">
        <v>58874463</v>
      </c>
      <c r="N122" s="10">
        <v>15141316</v>
      </c>
      <c r="O122" s="10">
        <v>9445138</v>
      </c>
      <c r="P122" s="10">
        <v>-8.4483398501709388</v>
      </c>
      <c r="Q122" s="10">
        <v>1</v>
      </c>
      <c r="R122" s="10" t="s">
        <v>240</v>
      </c>
      <c r="S122" s="10">
        <v>-0.2710777525122387</v>
      </c>
      <c r="T122" s="10">
        <v>-3.5815607398650999</v>
      </c>
      <c r="U122" s="10">
        <v>0.65616418860035342</v>
      </c>
      <c r="V122" s="10">
        <v>0.56799511511923584</v>
      </c>
    </row>
    <row r="123" spans="1:22" x14ac:dyDescent="0.3">
      <c r="A123" s="10" t="s">
        <v>174</v>
      </c>
      <c r="B123" s="10">
        <v>2025</v>
      </c>
      <c r="C123" s="10">
        <v>157053092738</v>
      </c>
      <c r="D123" s="10">
        <v>139239243054</v>
      </c>
      <c r="E123" s="10">
        <v>3289827867815</v>
      </c>
      <c r="F123" s="10">
        <v>1886097367557</v>
      </c>
      <c r="G123" s="10">
        <v>2323817104268</v>
      </c>
      <c r="H123" s="10">
        <v>1990197578016</v>
      </c>
      <c r="I123" s="10">
        <v>966009777307</v>
      </c>
      <c r="J123" s="10">
        <v>-42181828948</v>
      </c>
      <c r="K123" s="10">
        <v>-104100210459</v>
      </c>
      <c r="L123" s="10"/>
      <c r="M123" s="10">
        <v>3812557187886</v>
      </c>
      <c r="N123" s="10">
        <v>11325989556</v>
      </c>
      <c r="O123" s="10">
        <v>1815154511634</v>
      </c>
      <c r="P123" s="10">
        <v>0.50791279916556786</v>
      </c>
      <c r="Q123" s="10">
        <v>1</v>
      </c>
      <c r="R123" s="10" t="s">
        <v>240</v>
      </c>
      <c r="S123" s="10">
        <v>-3.1643056914141862E-2</v>
      </c>
      <c r="T123" s="10">
        <v>-1.282189544342812E-2</v>
      </c>
      <c r="U123" s="10">
        <v>4.7739000047534307E-2</v>
      </c>
      <c r="V123" s="10">
        <v>0.41569957271284141</v>
      </c>
    </row>
    <row r="124" spans="1:22" x14ac:dyDescent="0.3">
      <c r="A124" s="10" t="s">
        <v>174</v>
      </c>
      <c r="B124" s="10">
        <v>2024</v>
      </c>
      <c r="C124" s="10">
        <v>66038752167</v>
      </c>
      <c r="D124" s="10">
        <v>148006466041</v>
      </c>
      <c r="E124" s="10">
        <v>3329874930800</v>
      </c>
      <c r="F124" s="10">
        <v>1848371933786</v>
      </c>
      <c r="G124" s="10">
        <v>2375131130336</v>
      </c>
      <c r="H124" s="10">
        <v>2349891564422</v>
      </c>
      <c r="I124" s="10">
        <v>954742796308</v>
      </c>
      <c r="J124" s="10">
        <v>-53448809947</v>
      </c>
      <c r="K124" s="10">
        <v>-501519630636</v>
      </c>
      <c r="L124" s="10"/>
      <c r="M124" s="10">
        <v>5178832985240</v>
      </c>
      <c r="N124" s="10">
        <v>-64818911680</v>
      </c>
      <c r="O124" s="10">
        <v>1716974130195</v>
      </c>
      <c r="P124" s="10">
        <v>-0.48499703801604649</v>
      </c>
      <c r="Q124" s="10">
        <v>1</v>
      </c>
      <c r="R124" s="10" t="s">
        <v>240</v>
      </c>
      <c r="S124" s="10">
        <v>-0.1506121524256499</v>
      </c>
      <c r="T124" s="10">
        <v>-1.6051296537482551E-2</v>
      </c>
      <c r="U124" s="10">
        <v>1.9832201971361801E-2</v>
      </c>
      <c r="V124" s="10">
        <v>0.40197477272462701</v>
      </c>
    </row>
    <row r="125" spans="1:22" x14ac:dyDescent="0.3">
      <c r="A125" s="10" t="s">
        <v>174</v>
      </c>
      <c r="B125" s="10">
        <v>2023</v>
      </c>
      <c r="C125" s="10">
        <v>146466224804</v>
      </c>
      <c r="D125" s="10">
        <v>144236355338</v>
      </c>
      <c r="E125" s="10">
        <v>3244327351262</v>
      </c>
      <c r="F125" s="10">
        <v>1843035238496</v>
      </c>
      <c r="G125" s="10">
        <v>2226756045074</v>
      </c>
      <c r="H125" s="10">
        <v>2163187248862</v>
      </c>
      <c r="I125" s="10">
        <v>1017570284541</v>
      </c>
      <c r="J125" s="10">
        <v>9689942211</v>
      </c>
      <c r="K125" s="10">
        <v>-320152010366</v>
      </c>
      <c r="L125" s="10"/>
      <c r="M125" s="10">
        <v>5874659885532</v>
      </c>
      <c r="N125" s="10">
        <v>1556319627</v>
      </c>
      <c r="O125" s="10">
        <v>1777110635153</v>
      </c>
      <c r="P125" s="10">
        <v>0.14559196216177209</v>
      </c>
      <c r="Q125" s="10">
        <v>1</v>
      </c>
      <c r="R125" s="10" t="s">
        <v>240</v>
      </c>
      <c r="S125" s="10">
        <v>-9.8680550913416654E-2</v>
      </c>
      <c r="T125" s="10">
        <v>2.9867338162503062E-3</v>
      </c>
      <c r="U125" s="10">
        <v>4.5145328737257837E-2</v>
      </c>
      <c r="V125" s="10">
        <v>0.45697429980803478</v>
      </c>
    </row>
    <row r="126" spans="1:22" x14ac:dyDescent="0.3">
      <c r="A126" s="10" t="s">
        <v>174</v>
      </c>
      <c r="B126" s="10">
        <v>2022</v>
      </c>
      <c r="C126" s="10">
        <v>171628820762</v>
      </c>
      <c r="D126" s="10">
        <v>100375041626</v>
      </c>
      <c r="E126" s="10">
        <v>3527440735311</v>
      </c>
      <c r="F126" s="10">
        <v>2325072196266</v>
      </c>
      <c r="G126" s="10">
        <v>2500966701681</v>
      </c>
      <c r="H126" s="10">
        <v>2408092701717</v>
      </c>
      <c r="I126" s="10">
        <v>1026473032625</v>
      </c>
      <c r="J126" s="10">
        <v>34483515695</v>
      </c>
      <c r="K126" s="10">
        <v>-83020505451</v>
      </c>
      <c r="L126" s="10"/>
      <c r="M126" s="10">
        <v>3612965915354</v>
      </c>
      <c r="N126" s="10">
        <v>49687918446</v>
      </c>
      <c r="O126" s="10">
        <v>1645063131832</v>
      </c>
      <c r="P126" s="10">
        <v>0.63539130629177698</v>
      </c>
      <c r="Q126" s="10">
        <v>1</v>
      </c>
      <c r="R126" s="10" t="s">
        <v>240</v>
      </c>
      <c r="S126" s="10">
        <v>-2.3535620207572511E-2</v>
      </c>
      <c r="T126" s="10">
        <v>9.7757888176000021E-3</v>
      </c>
      <c r="U126" s="10">
        <v>4.8655337861223683E-2</v>
      </c>
      <c r="V126" s="10">
        <v>0.41043050750538429</v>
      </c>
    </row>
    <row r="127" spans="1:22" x14ac:dyDescent="0.3">
      <c r="A127" s="10" t="s">
        <v>181</v>
      </c>
      <c r="B127" s="10">
        <v>2024</v>
      </c>
      <c r="C127" s="10">
        <v>3823418000000</v>
      </c>
      <c r="D127" s="10">
        <v>72274000000</v>
      </c>
      <c r="E127" s="10">
        <v>16046195000000</v>
      </c>
      <c r="F127" s="10">
        <v>5280548000000</v>
      </c>
      <c r="G127" s="10">
        <v>13896928000000</v>
      </c>
      <c r="H127" s="10">
        <v>11830201000000</v>
      </c>
      <c r="I127" s="10">
        <v>2149267000000</v>
      </c>
      <c r="J127" s="10">
        <v>1961707000000</v>
      </c>
      <c r="K127" s="10">
        <v>-6549653000000</v>
      </c>
      <c r="L127" s="10"/>
      <c r="M127" s="10">
        <v>30622614000000</v>
      </c>
      <c r="N127" s="10">
        <v>3368693000000</v>
      </c>
      <c r="O127" s="10">
        <v>1980632000000</v>
      </c>
      <c r="P127" s="10">
        <v>-0.51547664800337689</v>
      </c>
      <c r="Q127" s="10">
        <v>1</v>
      </c>
      <c r="R127" s="10" t="s">
        <v>240</v>
      </c>
      <c r="S127" s="10">
        <v>-0.40817483521794418</v>
      </c>
      <c r="T127" s="10">
        <v>0.1222537180932925</v>
      </c>
      <c r="U127" s="10">
        <v>0.238275678439655</v>
      </c>
      <c r="V127" s="10">
        <v>0.15465770564544909</v>
      </c>
    </row>
    <row r="128" spans="1:22" x14ac:dyDescent="0.3">
      <c r="A128" s="10" t="s">
        <v>183</v>
      </c>
      <c r="B128" s="10">
        <v>2022</v>
      </c>
      <c r="C128" s="10">
        <v>82480000000</v>
      </c>
      <c r="D128" s="10">
        <v>6627000000</v>
      </c>
      <c r="E128" s="10">
        <v>1032905000000</v>
      </c>
      <c r="F128" s="10">
        <v>335837000000</v>
      </c>
      <c r="G128" s="10">
        <v>758025000000</v>
      </c>
      <c r="H128" s="10">
        <v>450043000000</v>
      </c>
      <c r="I128" s="10">
        <v>182225000000</v>
      </c>
      <c r="J128" s="10">
        <v>-81423000000</v>
      </c>
      <c r="K128" s="10">
        <v>-114206000000</v>
      </c>
      <c r="L128" s="10"/>
      <c r="M128" s="10">
        <v>1071130000000</v>
      </c>
      <c r="N128" s="10">
        <v>49596000000</v>
      </c>
      <c r="O128" s="10">
        <v>188710000000</v>
      </c>
      <c r="P128" s="10">
        <v>-0.19328484554796349</v>
      </c>
      <c r="Q128" s="10">
        <v>1</v>
      </c>
      <c r="R128" s="10" t="s">
        <v>240</v>
      </c>
      <c r="S128" s="10">
        <v>-0.1105677676068951</v>
      </c>
      <c r="T128" s="10">
        <v>-7.8829127557713444E-2</v>
      </c>
      <c r="U128" s="10">
        <v>7.9852454969237249E-2</v>
      </c>
      <c r="V128" s="10">
        <v>0.24039444609346661</v>
      </c>
    </row>
    <row r="129" spans="1:22" x14ac:dyDescent="0.3">
      <c r="A129" s="10" t="s">
        <v>186</v>
      </c>
      <c r="B129" s="10">
        <v>2025</v>
      </c>
      <c r="C129" s="10">
        <v>-45043033610</v>
      </c>
      <c r="D129" s="10">
        <v>38556190151</v>
      </c>
      <c r="E129" s="10">
        <v>2332993951925</v>
      </c>
      <c r="F129" s="10">
        <v>147767536681</v>
      </c>
      <c r="G129" s="10">
        <v>1555093418137</v>
      </c>
      <c r="H129" s="10">
        <v>112144481067</v>
      </c>
      <c r="I129" s="10">
        <v>774445218752</v>
      </c>
      <c r="J129" s="10">
        <v>-135432760751</v>
      </c>
      <c r="K129" s="10">
        <v>35623055614</v>
      </c>
      <c r="L129" s="10"/>
      <c r="M129" s="10">
        <v>740937683190</v>
      </c>
      <c r="N129" s="10">
        <v>-83042544552</v>
      </c>
      <c r="O129" s="10">
        <v>1254220351478</v>
      </c>
      <c r="P129" s="10">
        <v>0.30408286952174429</v>
      </c>
      <c r="Q129" s="10">
        <v>1</v>
      </c>
      <c r="R129" s="10" t="s">
        <v>240</v>
      </c>
      <c r="S129" s="10">
        <v>1.5269244733620809E-2</v>
      </c>
      <c r="T129" s="10">
        <v>-5.8051055228519437E-2</v>
      </c>
      <c r="U129" s="10">
        <v>-1.9306965443624102E-2</v>
      </c>
      <c r="V129" s="10">
        <v>0.49800559228125629</v>
      </c>
    </row>
    <row r="130" spans="1:22" x14ac:dyDescent="0.3">
      <c r="A130" s="10" t="s">
        <v>186</v>
      </c>
      <c r="B130" s="10">
        <v>2024</v>
      </c>
      <c r="C130" s="10">
        <v>-94991166146</v>
      </c>
      <c r="D130" s="10">
        <v>59110967259</v>
      </c>
      <c r="E130" s="10">
        <v>2392824255285</v>
      </c>
      <c r="F130" s="10">
        <v>148424606288</v>
      </c>
      <c r="G130" s="10">
        <v>1535072479477</v>
      </c>
      <c r="H130" s="10">
        <v>425319156395</v>
      </c>
      <c r="I130" s="10">
        <v>854038231346</v>
      </c>
      <c r="J130" s="10">
        <v>-52390216200</v>
      </c>
      <c r="K130" s="10">
        <v>-276894550107</v>
      </c>
      <c r="L130" s="10"/>
      <c r="M130" s="10">
        <v>378126622942</v>
      </c>
      <c r="N130" s="10">
        <v>-120530353779</v>
      </c>
      <c r="O130" s="10">
        <v>1256857472992</v>
      </c>
      <c r="P130" s="10">
        <v>-0.51309650017142328</v>
      </c>
      <c r="Q130" s="10">
        <v>1</v>
      </c>
      <c r="R130" s="10" t="s">
        <v>240</v>
      </c>
      <c r="S130" s="10">
        <v>-0.1157187158628247</v>
      </c>
      <c r="T130" s="10">
        <v>-2.1894719632788079E-2</v>
      </c>
      <c r="U130" s="10">
        <v>-3.9698346393887571E-2</v>
      </c>
      <c r="V130" s="10">
        <v>0.55635042824620973</v>
      </c>
    </row>
    <row r="131" spans="1:22" x14ac:dyDescent="0.3">
      <c r="A131" s="10" t="s">
        <v>186</v>
      </c>
      <c r="B131" s="10">
        <v>2023</v>
      </c>
      <c r="C131" s="10">
        <v>-159314811774</v>
      </c>
      <c r="D131" s="10">
        <v>61301999599</v>
      </c>
      <c r="E131" s="10">
        <v>2468816418317</v>
      </c>
      <c r="F131" s="10">
        <v>214781505991</v>
      </c>
      <c r="G131" s="10">
        <v>1491459810622</v>
      </c>
      <c r="H131" s="10">
        <v>377212307664</v>
      </c>
      <c r="I131" s="10">
        <v>973298960780</v>
      </c>
      <c r="J131" s="10">
        <v>68140137579</v>
      </c>
      <c r="K131" s="10">
        <v>-162430801673</v>
      </c>
      <c r="L131" s="10"/>
      <c r="M131" s="10">
        <v>336684940840</v>
      </c>
      <c r="N131" s="10">
        <v>-220007464532</v>
      </c>
      <c r="O131" s="10">
        <v>1256290849686</v>
      </c>
      <c r="P131" s="10">
        <v>-9.0061713091154183E-2</v>
      </c>
      <c r="Q131" s="10">
        <v>1</v>
      </c>
      <c r="R131" s="10" t="s">
        <v>240</v>
      </c>
      <c r="S131" s="10">
        <v>-6.5792985038445911E-2</v>
      </c>
      <c r="T131" s="10">
        <v>2.760032583769487E-2</v>
      </c>
      <c r="U131" s="10">
        <v>-6.453084587091551E-2</v>
      </c>
      <c r="V131" s="10">
        <v>0.65258141979306461</v>
      </c>
    </row>
    <row r="132" spans="1:22" x14ac:dyDescent="0.3">
      <c r="A132" s="10" t="s">
        <v>186</v>
      </c>
      <c r="B132" s="10">
        <v>2022</v>
      </c>
      <c r="C132" s="10">
        <v>68688850636</v>
      </c>
      <c r="D132" s="10">
        <v>80588715433</v>
      </c>
      <c r="E132" s="10">
        <v>2710571959100</v>
      </c>
      <c r="F132" s="10">
        <v>405439463069</v>
      </c>
      <c r="G132" s="10">
        <v>1512868131940</v>
      </c>
      <c r="H132" s="10">
        <v>718407710160</v>
      </c>
      <c r="I132" s="10">
        <v>1192984383475</v>
      </c>
      <c r="J132" s="10">
        <v>288147602111</v>
      </c>
      <c r="K132" s="10">
        <v>-312968247091</v>
      </c>
      <c r="L132" s="10"/>
      <c r="M132" s="10">
        <v>2457607034533</v>
      </c>
      <c r="N132" s="10">
        <v>-8957865054</v>
      </c>
      <c r="O132" s="10">
        <v>1271081981915</v>
      </c>
      <c r="P132" s="10">
        <v>0.58740153806856232</v>
      </c>
      <c r="Q132" s="10">
        <v>1</v>
      </c>
      <c r="R132" s="10" t="s">
        <v>240</v>
      </c>
      <c r="S132" s="10">
        <v>-0.1154620691918158</v>
      </c>
      <c r="T132" s="10">
        <v>0.1063050922310414</v>
      </c>
      <c r="U132" s="10">
        <v>2.5341090984652179E-2</v>
      </c>
      <c r="V132" s="10">
        <v>0.78855807607315864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perhitungan</vt:lpstr>
      <vt:lpstr>keterangan</vt:lpstr>
      <vt:lpstr>non distress</vt:lpstr>
      <vt:lpstr>distress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WAHYU PAMUNGKAS</cp:lastModifiedBy>
  <dcterms:created xsi:type="dcterms:W3CDTF">2026-08-31T02:45:37Z</dcterms:created>
  <dcterms:modified xsi:type="dcterms:W3CDTF">2026-10-14T13:49:17Z</dcterms:modified>
</cp:coreProperties>
</file>